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MERCIE\Desktop\"/>
    </mc:Choice>
  </mc:AlternateContent>
  <bookViews>
    <workbookView xWindow="3780" yWindow="0" windowWidth="19545" windowHeight="7605" activeTab="1"/>
  </bookViews>
  <sheets>
    <sheet name="Sheet1" sheetId="1" r:id="rId1"/>
    <sheet name="Expense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4" i="1"/>
  <c r="P26" i="1"/>
  <c r="F26" i="1"/>
  <c r="G26" i="1"/>
  <c r="H26" i="1"/>
  <c r="I26" i="1"/>
  <c r="J26" i="1"/>
  <c r="K26" i="1"/>
  <c r="L26" i="1"/>
  <c r="M26" i="1"/>
  <c r="N26" i="1"/>
  <c r="O26" i="1"/>
  <c r="Q26" i="1"/>
  <c r="R26" i="1"/>
  <c r="S26" i="1"/>
  <c r="T26" i="1"/>
  <c r="U26" i="1"/>
  <c r="V26" i="1"/>
  <c r="W26" i="1"/>
  <c r="X26" i="1"/>
  <c r="E26" i="1"/>
  <c r="D26" i="1"/>
  <c r="Y26" i="1" l="1"/>
</calcChain>
</file>

<file path=xl/sharedStrings.xml><?xml version="1.0" encoding="utf-8"?>
<sst xmlns="http://schemas.openxmlformats.org/spreadsheetml/2006/main" count="74" uniqueCount="48">
  <si>
    <t>Coca Cola 25 cl</t>
  </si>
  <si>
    <t>Lenoniada</t>
  </si>
  <si>
    <t>Sernik Brzosk</t>
  </si>
  <si>
    <t>Mojito smakowe</t>
  </si>
  <si>
    <t>Browar Jasne 1L</t>
  </si>
  <si>
    <t>Jack Daniels</t>
  </si>
  <si>
    <t>Woda Stolowa 70C</t>
  </si>
  <si>
    <t>Browar Jasne 40C</t>
  </si>
  <si>
    <t>Losos z salsefia</t>
  </si>
  <si>
    <t>Browar stout</t>
  </si>
  <si>
    <t>Cuba Libre</t>
  </si>
  <si>
    <t>Dilmah</t>
  </si>
  <si>
    <t>Felix Solalis</t>
  </si>
  <si>
    <t>feytki</t>
  </si>
  <si>
    <t>burger bekon</t>
  </si>
  <si>
    <t>Suflet czekolada</t>
  </si>
  <si>
    <t>Browar niodowe 40</t>
  </si>
  <si>
    <t>Browar Aipa</t>
  </si>
  <si>
    <t xml:space="preserve">felix Solalis </t>
  </si>
  <si>
    <t>Browar sliwka 40</t>
  </si>
  <si>
    <t xml:space="preserve">Napiwek </t>
  </si>
  <si>
    <t>Rashad Allahverdiyev</t>
  </si>
  <si>
    <t>Maciej Sokal</t>
  </si>
  <si>
    <t>Ariel Barragan</t>
  </si>
  <si>
    <t>Benjamin Mercier</t>
  </si>
  <si>
    <t>Maxime Godfroid</t>
  </si>
  <si>
    <t>Illknur Sinem Soler</t>
  </si>
  <si>
    <t>Maksym Larionenko</t>
  </si>
  <si>
    <t>Lorenzo Pirola</t>
  </si>
  <si>
    <t>Vyacheslav Krivdin</t>
  </si>
  <si>
    <t>Daniel Krejci</t>
  </si>
  <si>
    <t>Kulwant Rana</t>
  </si>
  <si>
    <t>Diego Casaro</t>
  </si>
  <si>
    <t>Khrystyna Ivanytska</t>
  </si>
  <si>
    <t>Gorkem Zeytin</t>
  </si>
  <si>
    <t>Mario de Santis</t>
  </si>
  <si>
    <t>Izabela Zaborowska</t>
  </si>
  <si>
    <t>Altantuya Amgalan</t>
  </si>
  <si>
    <t>Agata Slomczynska</t>
  </si>
  <si>
    <t>Diana o gravilescu</t>
  </si>
  <si>
    <t>Item</t>
  </si>
  <si>
    <t>Price</t>
  </si>
  <si>
    <t>Quantity</t>
  </si>
  <si>
    <t>Total</t>
  </si>
  <si>
    <r>
      <t>Roman Akamelkov</t>
    </r>
    <r>
      <rPr>
        <sz val="12"/>
        <color rgb="FF000000"/>
        <rFont val="Calibri"/>
        <family val="2"/>
        <scheme val="minor"/>
      </rPr>
      <t xml:space="preserve"> </t>
    </r>
  </si>
  <si>
    <t>Covered</t>
  </si>
  <si>
    <t>Total Quantity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</si>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</sst>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[$zł-415]_-;\-* #,##0.00\ [$zł-415]_-;_-* &quot;-&quot;??\ [$zł-415]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1" fillId="0" borderId="1" xfId="0" applyNumberFormat="1" applyFont="1" applyBorder="1"/>
    <xf numFmtId="0" fontId="0" fillId="0" borderId="1" xfId="0" applyNumberFormat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textRotation="45" wrapText="1"/>
    </xf>
    <xf numFmtId="0" fontId="2" fillId="2" borderId="1" xfId="0" applyFont="1" applyFill="1" applyBorder="1" applyAlignment="1">
      <alignment textRotation="45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Y26"/>
  <sheetViews>
    <sheetView showGridLines="0" workbookViewId="0">
      <pane xSplit="2" ySplit="3" topLeftCell="C16" activePane="bottomRight" state="frozen"/>
      <selection pane="topRight" activeCell="C1" sqref="C1"/>
      <selection pane="bottomLeft" activeCell="A4" sqref="A4"/>
      <selection pane="bottomRight" activeCell="H26" sqref="H26"/>
    </sheetView>
  </sheetViews>
  <sheetFormatPr defaultRowHeight="15" x14ac:dyDescent="0.25"/>
  <cols>
    <col min="2" max="2" width="18.28515625" bestFit="1" customWidth="1"/>
    <col min="3" max="3" width="8.85546875" bestFit="1" customWidth="1"/>
    <col min="4" max="4" width="12.42578125" bestFit="1" customWidth="1"/>
    <col min="24" max="24" width="9.140625" customWidth="1"/>
    <col min="25" max="25" width="15.85546875" customWidth="1"/>
  </cols>
  <sheetData>
    <row r="3" spans="2:25" ht="66.75" customHeight="1" x14ac:dyDescent="0.25">
      <c r="B3" s="8" t="s">
        <v>40</v>
      </c>
      <c r="C3" s="8" t="s">
        <v>41</v>
      </c>
      <c r="D3" s="10" t="s">
        <v>42</v>
      </c>
      <c r="E3" s="11" t="s">
        <v>38</v>
      </c>
      <c r="F3" s="12" t="s">
        <v>37</v>
      </c>
      <c r="G3" s="12" t="s">
        <v>23</v>
      </c>
      <c r="H3" s="12" t="s">
        <v>24</v>
      </c>
      <c r="I3" s="12" t="s">
        <v>30</v>
      </c>
      <c r="J3" s="12" t="s">
        <v>39</v>
      </c>
      <c r="K3" s="12" t="s">
        <v>32</v>
      </c>
      <c r="L3" s="12" t="s">
        <v>34</v>
      </c>
      <c r="M3" s="12" t="s">
        <v>26</v>
      </c>
      <c r="N3" s="12" t="s">
        <v>36</v>
      </c>
      <c r="O3" s="12" t="s">
        <v>33</v>
      </c>
      <c r="P3" s="12" t="s">
        <v>31</v>
      </c>
      <c r="Q3" s="12" t="s">
        <v>28</v>
      </c>
      <c r="R3" s="12" t="s">
        <v>22</v>
      </c>
      <c r="S3" s="12" t="s">
        <v>27</v>
      </c>
      <c r="T3" s="12" t="s">
        <v>35</v>
      </c>
      <c r="U3" s="12" t="s">
        <v>25</v>
      </c>
      <c r="V3" s="12" t="s">
        <v>21</v>
      </c>
      <c r="W3" s="12" t="s">
        <v>44</v>
      </c>
      <c r="X3" s="12" t="s">
        <v>29</v>
      </c>
      <c r="Y3" s="10" t="s">
        <v>45</v>
      </c>
    </row>
    <row r="4" spans="2:25" x14ac:dyDescent="0.25">
      <c r="B4" s="1" t="s">
        <v>0</v>
      </c>
      <c r="C4" s="3">
        <v>8</v>
      </c>
      <c r="D4" s="6">
        <v>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>
        <f>IF((SUM(E4:X4)-D4)=0,"ok",SUM(E4:X4)-D4)</f>
        <v>-2</v>
      </c>
    </row>
    <row r="5" spans="2:25" x14ac:dyDescent="0.25">
      <c r="B5" s="1" t="s">
        <v>1</v>
      </c>
      <c r="C5" s="3">
        <v>10</v>
      </c>
      <c r="D5" s="6">
        <v>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>
        <f t="shared" ref="Y5:Y25" si="0">IF((SUM(E5:X5)-D5)=0,"ok",SUM(E5:X5)-D5)</f>
        <v>-1</v>
      </c>
    </row>
    <row r="6" spans="2:25" x14ac:dyDescent="0.25">
      <c r="B6" s="1" t="s">
        <v>2</v>
      </c>
      <c r="C6" s="3">
        <v>19</v>
      </c>
      <c r="D6" s="6">
        <v>1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>
        <f t="shared" si="0"/>
        <v>-1</v>
      </c>
    </row>
    <row r="7" spans="2:25" x14ac:dyDescent="0.25">
      <c r="B7" s="1" t="s">
        <v>3</v>
      </c>
      <c r="C7" s="4">
        <v>18</v>
      </c>
      <c r="D7" s="7">
        <v>1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>
        <f t="shared" si="0"/>
        <v>-1</v>
      </c>
    </row>
    <row r="8" spans="2:25" x14ac:dyDescent="0.25">
      <c r="B8" s="1" t="s">
        <v>4</v>
      </c>
      <c r="C8" s="4">
        <v>22</v>
      </c>
      <c r="D8" s="7">
        <v>7</v>
      </c>
      <c r="E8" s="2"/>
      <c r="F8" s="2"/>
      <c r="G8" s="2"/>
      <c r="H8" s="2">
        <v>2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>
        <f t="shared" si="0"/>
        <v>-5</v>
      </c>
    </row>
    <row r="9" spans="2:25" x14ac:dyDescent="0.25">
      <c r="B9" s="1" t="s">
        <v>5</v>
      </c>
      <c r="C9" s="4">
        <v>18</v>
      </c>
      <c r="D9" s="7">
        <v>3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>
        <f t="shared" si="0"/>
        <v>-3</v>
      </c>
    </row>
    <row r="10" spans="2:25" x14ac:dyDescent="0.25">
      <c r="B10" s="1" t="s">
        <v>6</v>
      </c>
      <c r="C10" s="4">
        <v>8</v>
      </c>
      <c r="D10" s="7">
        <v>2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>
        <f t="shared" si="0"/>
        <v>-2</v>
      </c>
    </row>
    <row r="11" spans="2:25" x14ac:dyDescent="0.25">
      <c r="B11" s="1" t="s">
        <v>7</v>
      </c>
      <c r="C11" s="4">
        <v>10</v>
      </c>
      <c r="D11" s="7">
        <v>10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>
        <f t="shared" si="0"/>
        <v>-10</v>
      </c>
    </row>
    <row r="12" spans="2:25" x14ac:dyDescent="0.25">
      <c r="B12" s="1" t="s">
        <v>8</v>
      </c>
      <c r="C12" s="4">
        <v>39</v>
      </c>
      <c r="D12" s="7">
        <v>1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>
        <f t="shared" si="0"/>
        <v>-1</v>
      </c>
    </row>
    <row r="13" spans="2:25" x14ac:dyDescent="0.25">
      <c r="B13" s="1" t="s">
        <v>9</v>
      </c>
      <c r="C13" s="4">
        <v>11</v>
      </c>
      <c r="D13" s="7">
        <v>1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>
        <f t="shared" si="0"/>
        <v>-1</v>
      </c>
    </row>
    <row r="14" spans="2:25" x14ac:dyDescent="0.25">
      <c r="B14" s="1" t="s">
        <v>10</v>
      </c>
      <c r="C14" s="4">
        <v>19</v>
      </c>
      <c r="D14" s="7">
        <v>4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>
        <f t="shared" si="0"/>
        <v>-4</v>
      </c>
    </row>
    <row r="15" spans="2:25" x14ac:dyDescent="0.25">
      <c r="B15" s="1" t="s">
        <v>11</v>
      </c>
      <c r="C15" s="4">
        <v>9</v>
      </c>
      <c r="D15" s="7">
        <v>3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>
        <f t="shared" si="0"/>
        <v>-3</v>
      </c>
    </row>
    <row r="16" spans="2:25" x14ac:dyDescent="0.25">
      <c r="B16" s="1" t="s">
        <v>12</v>
      </c>
      <c r="C16" s="4">
        <v>10</v>
      </c>
      <c r="D16" s="7">
        <v>2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>
        <f t="shared" si="0"/>
        <v>-2</v>
      </c>
    </row>
    <row r="17" spans="2:25" x14ac:dyDescent="0.25">
      <c r="B17" s="1" t="s">
        <v>9</v>
      </c>
      <c r="C17" s="4">
        <v>24</v>
      </c>
      <c r="D17" s="7">
        <v>3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>
        <f t="shared" si="0"/>
        <v>-3</v>
      </c>
    </row>
    <row r="18" spans="2:25" x14ac:dyDescent="0.25">
      <c r="B18" s="1" t="s">
        <v>13</v>
      </c>
      <c r="C18" s="4">
        <v>7</v>
      </c>
      <c r="D18" s="7">
        <v>3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f t="shared" si="0"/>
        <v>-3</v>
      </c>
    </row>
    <row r="19" spans="2:25" x14ac:dyDescent="0.25">
      <c r="B19" s="1" t="s">
        <v>14</v>
      </c>
      <c r="C19" s="4">
        <v>30</v>
      </c>
      <c r="D19" s="7">
        <v>3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>
        <f t="shared" si="0"/>
        <v>-3</v>
      </c>
    </row>
    <row r="20" spans="2:25" x14ac:dyDescent="0.25">
      <c r="B20" s="1" t="s">
        <v>15</v>
      </c>
      <c r="C20" s="4">
        <v>19</v>
      </c>
      <c r="D20" s="7">
        <v>1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>
        <f t="shared" si="0"/>
        <v>-1</v>
      </c>
    </row>
    <row r="21" spans="2:25" x14ac:dyDescent="0.25">
      <c r="B21" s="1" t="s">
        <v>16</v>
      </c>
      <c r="C21" s="4">
        <v>11</v>
      </c>
      <c r="D21" s="7">
        <v>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>
        <f t="shared" si="0"/>
        <v>-2</v>
      </c>
    </row>
    <row r="22" spans="2:25" x14ac:dyDescent="0.25">
      <c r="B22" s="1" t="s">
        <v>17</v>
      </c>
      <c r="C22" s="4">
        <v>26</v>
      </c>
      <c r="D22" s="7">
        <v>1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>
        <f t="shared" si="0"/>
        <v>-1</v>
      </c>
    </row>
    <row r="23" spans="2:25" x14ac:dyDescent="0.25">
      <c r="B23" s="1" t="s">
        <v>18</v>
      </c>
      <c r="C23" s="4">
        <v>60</v>
      </c>
      <c r="D23" s="7">
        <v>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>
        <f t="shared" si="0"/>
        <v>-2</v>
      </c>
    </row>
    <row r="24" spans="2:25" x14ac:dyDescent="0.25">
      <c r="B24" s="1" t="s">
        <v>19</v>
      </c>
      <c r="C24" s="4">
        <v>12</v>
      </c>
      <c r="D24" s="7">
        <v>5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>
        <f t="shared" si="0"/>
        <v>-5</v>
      </c>
    </row>
    <row r="25" spans="2:25" x14ac:dyDescent="0.25">
      <c r="B25" s="1" t="s">
        <v>20</v>
      </c>
      <c r="C25" s="4">
        <v>99</v>
      </c>
      <c r="D25" s="7">
        <v>1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>
        <f t="shared" si="0"/>
        <v>-1</v>
      </c>
    </row>
    <row r="26" spans="2:25" x14ac:dyDescent="0.25">
      <c r="B26" s="13" t="s">
        <v>43</v>
      </c>
      <c r="C26" s="13"/>
      <c r="D26" s="5">
        <f>SUMPRODUCT(C4:C25,D4:D25)</f>
        <v>1089</v>
      </c>
      <c r="E26" s="9">
        <f t="shared" ref="E26:O26" si="1">SUM(SUMPRODUCT($C$4:$C$24,E4:E24)+$C$25/20)</f>
        <v>4.95</v>
      </c>
      <c r="F26" s="9">
        <f t="shared" si="1"/>
        <v>4.95</v>
      </c>
      <c r="G26" s="9">
        <f t="shared" si="1"/>
        <v>4.95</v>
      </c>
      <c r="H26" s="9">
        <f t="shared" si="1"/>
        <v>48.95</v>
      </c>
      <c r="I26" s="9">
        <f t="shared" si="1"/>
        <v>4.95</v>
      </c>
      <c r="J26" s="9">
        <f t="shared" si="1"/>
        <v>4.95</v>
      </c>
      <c r="K26" s="9">
        <f t="shared" si="1"/>
        <v>4.95</v>
      </c>
      <c r="L26" s="9">
        <f t="shared" si="1"/>
        <v>4.95</v>
      </c>
      <c r="M26" s="9">
        <f t="shared" si="1"/>
        <v>4.95</v>
      </c>
      <c r="N26" s="9">
        <f t="shared" si="1"/>
        <v>4.95</v>
      </c>
      <c r="O26" s="9">
        <f t="shared" si="1"/>
        <v>4.95</v>
      </c>
      <c r="P26" s="9">
        <f>SUM(SUMPRODUCT($C$4:$C$24,P4:P24)+$C$25/20)+11</f>
        <v>15.95</v>
      </c>
      <c r="Q26" s="9">
        <f t="shared" ref="Q26:X26" si="2">SUM(SUMPRODUCT($C$4:$C$24,Q4:Q24)+$C$25/20)</f>
        <v>4.95</v>
      </c>
      <c r="R26" s="9">
        <f t="shared" si="2"/>
        <v>4.95</v>
      </c>
      <c r="S26" s="9">
        <f t="shared" si="2"/>
        <v>4.95</v>
      </c>
      <c r="T26" s="9">
        <f t="shared" si="2"/>
        <v>4.95</v>
      </c>
      <c r="U26" s="9">
        <f t="shared" si="2"/>
        <v>4.95</v>
      </c>
      <c r="V26" s="9">
        <f t="shared" si="2"/>
        <v>4.95</v>
      </c>
      <c r="W26" s="9">
        <f t="shared" si="2"/>
        <v>4.95</v>
      </c>
      <c r="X26" s="9">
        <f t="shared" si="2"/>
        <v>4.95</v>
      </c>
      <c r="Y26" s="5">
        <f>SUM(E26:X26)</f>
        <v>153.99999999999997</v>
      </c>
    </row>
  </sheetData>
  <sortState ref="B3:B26">
    <sortCondition ref="B2"/>
  </sortState>
  <mergeCells count="1">
    <mergeCell ref="B26:C26"/>
  </mergeCells>
  <conditionalFormatting sqref="Y4:Y25">
    <cfRule type="expression" dxfId="0" priority="1">
      <formula>Y4="ok"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4"/>
  <sheetViews>
    <sheetView showGridLines="0" tabSelected="1" zoomScale="90" zoomScaleNormal="90" workbookViewId="0">
      <selection activeCell="I8" sqref="I8"/>
    </sheetView>
  </sheetViews>
  <sheetFormatPr defaultRowHeight="15" x14ac:dyDescent="0.25"/>
  <cols>
    <col min="2" max="2" width="18.28515625" bestFit="1" customWidth="1"/>
    <col min="3" max="3" width="8.85546875" bestFit="1" customWidth="1"/>
    <col min="4" max="4" width="15.85546875" customWidth="1"/>
  </cols>
  <sheetData>
    <row r="1" spans="1:4" ht="15.75" x14ac:dyDescent="0.25">
      <c r="A1" s="8" t="s">
        <v>47</v>
      </c>
      <c r="B1" s="8" t="s">
        <v>40</v>
      </c>
      <c r="C1" s="8" t="s">
        <v>41</v>
      </c>
      <c r="D1" s="10" t="s">
        <v>46</v>
      </c>
    </row>
    <row r="2" spans="1:4" x14ac:dyDescent="0.25">
      <c r="A2" s="6">
        <v>1</v>
      </c>
      <c r="B2" s="1" t="s">
        <v>0</v>
      </c>
      <c r="C2" s="3">
        <v>8</v>
      </c>
      <c r="D2" s="6">
        <v>2</v>
      </c>
    </row>
    <row r="3" spans="1:4" x14ac:dyDescent="0.25">
      <c r="A3" s="6">
        <v>2</v>
      </c>
      <c r="B3" s="1" t="s">
        <v>1</v>
      </c>
      <c r="C3" s="3">
        <v>10</v>
      </c>
      <c r="D3" s="6">
        <v>1</v>
      </c>
    </row>
    <row r="4" spans="1:4" x14ac:dyDescent="0.25">
      <c r="A4" s="6">
        <v>3</v>
      </c>
      <c r="B4" s="1" t="s">
        <v>2</v>
      </c>
      <c r="C4" s="3">
        <v>19</v>
      </c>
      <c r="D4" s="6">
        <v>1</v>
      </c>
    </row>
    <row r="5" spans="1:4" x14ac:dyDescent="0.25">
      <c r="A5" s="7">
        <v>4</v>
      </c>
      <c r="B5" s="1" t="s">
        <v>3</v>
      </c>
      <c r="C5" s="4">
        <v>18</v>
      </c>
      <c r="D5" s="7">
        <v>1</v>
      </c>
    </row>
    <row r="6" spans="1:4" x14ac:dyDescent="0.25">
      <c r="A6" s="7">
        <v>5</v>
      </c>
      <c r="B6" s="1" t="s">
        <v>4</v>
      </c>
      <c r="C6" s="4">
        <v>22</v>
      </c>
      <c r="D6" s="7">
        <v>7</v>
      </c>
    </row>
    <row r="7" spans="1:4" x14ac:dyDescent="0.25">
      <c r="A7" s="7">
        <v>6</v>
      </c>
      <c r="B7" s="1" t="s">
        <v>5</v>
      </c>
      <c r="C7" s="4">
        <v>18</v>
      </c>
      <c r="D7" s="7">
        <v>3</v>
      </c>
    </row>
    <row r="8" spans="1:4" x14ac:dyDescent="0.25">
      <c r="A8" s="7">
        <v>7</v>
      </c>
      <c r="B8" s="1" t="s">
        <v>6</v>
      </c>
      <c r="C8" s="4">
        <v>8</v>
      </c>
      <c r="D8" s="7">
        <v>2</v>
      </c>
    </row>
    <row r="9" spans="1:4" x14ac:dyDescent="0.25">
      <c r="A9" s="7">
        <v>8</v>
      </c>
      <c r="B9" s="1" t="s">
        <v>7</v>
      </c>
      <c r="C9" s="4">
        <v>10</v>
      </c>
      <c r="D9" s="7">
        <v>10</v>
      </c>
    </row>
    <row r="10" spans="1:4" x14ac:dyDescent="0.25">
      <c r="A10" s="7">
        <v>9</v>
      </c>
      <c r="B10" s="1" t="s">
        <v>8</v>
      </c>
      <c r="C10" s="4">
        <v>39</v>
      </c>
      <c r="D10" s="7">
        <v>1</v>
      </c>
    </row>
    <row r="11" spans="1:4" x14ac:dyDescent="0.25">
      <c r="A11" s="7">
        <v>10</v>
      </c>
      <c r="B11" s="1" t="s">
        <v>9</v>
      </c>
      <c r="C11" s="4">
        <v>11</v>
      </c>
      <c r="D11" s="7">
        <v>1</v>
      </c>
    </row>
    <row r="12" spans="1:4" x14ac:dyDescent="0.25">
      <c r="A12" s="7">
        <v>11</v>
      </c>
      <c r="B12" s="1" t="s">
        <v>10</v>
      </c>
      <c r="C12" s="4">
        <v>19</v>
      </c>
      <c r="D12" s="7">
        <v>4</v>
      </c>
    </row>
    <row r="13" spans="1:4" x14ac:dyDescent="0.25">
      <c r="A13" s="7">
        <v>12</v>
      </c>
      <c r="B13" s="1" t="s">
        <v>11</v>
      </c>
      <c r="C13" s="4">
        <v>9</v>
      </c>
      <c r="D13" s="7">
        <v>3</v>
      </c>
    </row>
    <row r="14" spans="1:4" x14ac:dyDescent="0.25">
      <c r="A14" s="7">
        <v>13</v>
      </c>
      <c r="B14" s="1" t="s">
        <v>12</v>
      </c>
      <c r="C14" s="4">
        <v>10</v>
      </c>
      <c r="D14" s="7">
        <v>2</v>
      </c>
    </row>
    <row r="15" spans="1:4" x14ac:dyDescent="0.25">
      <c r="A15" s="7">
        <v>14</v>
      </c>
      <c r="B15" s="1" t="s">
        <v>9</v>
      </c>
      <c r="C15" s="4">
        <v>24</v>
      </c>
      <c r="D15" s="7">
        <v>3</v>
      </c>
    </row>
    <row r="16" spans="1:4" x14ac:dyDescent="0.25">
      <c r="A16" s="7">
        <v>15</v>
      </c>
      <c r="B16" s="1" t="s">
        <v>13</v>
      </c>
      <c r="C16" s="4">
        <v>7</v>
      </c>
      <c r="D16" s="7">
        <v>3</v>
      </c>
    </row>
    <row r="17" spans="1:4" x14ac:dyDescent="0.25">
      <c r="A17" s="7">
        <v>16</v>
      </c>
      <c r="B17" s="1" t="s">
        <v>14</v>
      </c>
      <c r="C17" s="4">
        <v>30</v>
      </c>
      <c r="D17" s="7">
        <v>3</v>
      </c>
    </row>
    <row r="18" spans="1:4" x14ac:dyDescent="0.25">
      <c r="A18" s="7">
        <v>17</v>
      </c>
      <c r="B18" s="1" t="s">
        <v>15</v>
      </c>
      <c r="C18" s="4">
        <v>19</v>
      </c>
      <c r="D18" s="7">
        <v>1</v>
      </c>
    </row>
    <row r="19" spans="1:4" x14ac:dyDescent="0.25">
      <c r="A19" s="7">
        <v>18</v>
      </c>
      <c r="B19" s="1" t="s">
        <v>16</v>
      </c>
      <c r="C19" s="4">
        <v>11</v>
      </c>
      <c r="D19" s="7">
        <v>2</v>
      </c>
    </row>
    <row r="20" spans="1:4" x14ac:dyDescent="0.25">
      <c r="A20" s="7">
        <v>19</v>
      </c>
      <c r="B20" s="1" t="s">
        <v>17</v>
      </c>
      <c r="C20" s="4">
        <v>26</v>
      </c>
      <c r="D20" s="7">
        <v>1</v>
      </c>
    </row>
    <row r="21" spans="1:4" x14ac:dyDescent="0.25">
      <c r="A21" s="7">
        <v>20</v>
      </c>
      <c r="B21" s="1" t="s">
        <v>18</v>
      </c>
      <c r="C21" s="4">
        <v>60</v>
      </c>
      <c r="D21" s="7">
        <v>2</v>
      </c>
    </row>
    <row r="22" spans="1:4" x14ac:dyDescent="0.25">
      <c r="A22" s="7">
        <v>21</v>
      </c>
      <c r="B22" s="1" t="s">
        <v>19</v>
      </c>
      <c r="C22" s="4">
        <v>12</v>
      </c>
      <c r="D22" s="7">
        <v>5</v>
      </c>
    </row>
    <row r="23" spans="1:4" x14ac:dyDescent="0.25">
      <c r="A23" s="7">
        <v>22</v>
      </c>
      <c r="B23" s="1" t="s">
        <v>20</v>
      </c>
      <c r="C23" s="4">
        <v>99</v>
      </c>
      <c r="D23" s="7">
        <v>1</v>
      </c>
    </row>
    <row r="24" spans="1:4" x14ac:dyDescent="0.25">
      <c r="B24" s="13" t="s">
        <v>43</v>
      </c>
      <c r="C24" s="13"/>
      <c r="D24" s="5">
        <v>1089</v>
      </c>
    </row>
  </sheetData>
  <mergeCells count="1">
    <mergeCell ref="B24:C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Expenses</vt:lpstr>
    </vt:vector>
  </TitlesOfParts>
  <Company>International Paper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Mercier</dc:creator>
  <cp:lastModifiedBy>Benjamin Mercier</cp:lastModifiedBy>
  <dcterms:created xsi:type="dcterms:W3CDTF">2019-01-26T13:31:00Z</dcterms:created>
  <dcterms:modified xsi:type="dcterms:W3CDTF">2019-01-27T22:17:25Z</dcterms:modified>
</cp:coreProperties>
</file>