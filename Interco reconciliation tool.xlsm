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3.xml" ContentType="application/vnd.openxmlformats-officedocument.drawing+xml"/>
  <Override PartName="/xl/customProperty5.bin" ContentType="application/vnd.openxmlformats-officedocument.spreadsheetml.customProperty"/>
  <Override PartName="/xl/drawings/drawing4.xml" ContentType="application/vnd.openxmlformats-officedocument.drawing+xml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MERCIE\Desktop\"/>
    </mc:Choice>
  </mc:AlternateContent>
  <bookViews>
    <workbookView xWindow="9300" yWindow="0" windowWidth="21360" windowHeight="12285" activeTab="1"/>
  </bookViews>
  <sheets>
    <sheet name="Summary Interco" sheetId="2" r:id="rId1"/>
    <sheet name="Data" sheetId="1" r:id="rId2"/>
    <sheet name="missing documents" sheetId="5" r:id="rId3"/>
    <sheet name="Accounts" sheetId="6" r:id="rId4"/>
    <sheet name="Template" sheetId="7" r:id="rId5"/>
    <sheet name="UPLOAD" sheetId="8" r:id="rId6"/>
    <sheet name="List of PC" sheetId="3" state="hidden" r:id="rId7"/>
  </sheets>
  <externalReferences>
    <externalReference r:id="rId8"/>
    <externalReference r:id="rId9"/>
  </externalReferences>
  <definedNames>
    <definedName name="_xlnm._FilterDatabase" localSheetId="3" hidden="1">Accounts!$A$1:$T$3004</definedName>
    <definedName name="_xlnm._FilterDatabase" localSheetId="1" hidden="1">Data!$A$8:$O$3192</definedName>
    <definedName name="_xlnm._FilterDatabase" localSheetId="2" hidden="1">'missing documents'!$A$1:$F$1</definedName>
    <definedName name="DocType" localSheetId="5">[1]Template!$B$121:$B$122</definedName>
    <definedName name="DocType">Template!$B$121:$B$122</definedName>
    <definedName name="_xlnm.Print_Area" localSheetId="4">Template!$A$1:$I$127</definedName>
  </definedNames>
  <calcPr calcId="162913"/>
  <pivotCaches>
    <pivotCache cacheId="0" r:id="rId10"/>
  </pivotCaches>
</workbook>
</file>

<file path=xl/calcChain.xml><?xml version="1.0" encoding="utf-8"?>
<calcChain xmlns="http://schemas.openxmlformats.org/spreadsheetml/2006/main">
  <c r="F7" i="5" l="1"/>
  <c r="D7" i="5"/>
  <c r="B7" i="5"/>
  <c r="B6" i="5"/>
  <c r="C6" i="5"/>
  <c r="D6" i="5"/>
  <c r="E6" i="5"/>
  <c r="F6" i="5"/>
  <c r="B4" i="5"/>
  <c r="D4" i="5"/>
  <c r="F4" i="5"/>
  <c r="B8" i="5"/>
  <c r="C8" i="5"/>
  <c r="D8" i="5"/>
  <c r="E8" i="5"/>
  <c r="F8" i="5"/>
  <c r="B9" i="5"/>
  <c r="C9" i="5"/>
  <c r="D9" i="5"/>
  <c r="E9" i="5"/>
  <c r="F9" i="5"/>
  <c r="B10" i="5"/>
  <c r="C10" i="5"/>
  <c r="D10" i="5"/>
  <c r="E10" i="5"/>
  <c r="F10" i="5"/>
  <c r="B11" i="5"/>
  <c r="C11" i="5"/>
  <c r="D11" i="5"/>
  <c r="E11" i="5"/>
  <c r="F11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19" i="5"/>
  <c r="C19" i="5"/>
  <c r="D19" i="5"/>
  <c r="E19" i="5"/>
  <c r="F19" i="5"/>
  <c r="B20" i="5"/>
  <c r="C20" i="5"/>
  <c r="D20" i="5"/>
  <c r="E20" i="5"/>
  <c r="F20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F26" i="5"/>
  <c r="B27" i="5"/>
  <c r="C27" i="5"/>
  <c r="D27" i="5"/>
  <c r="E27" i="5"/>
  <c r="F27" i="5"/>
  <c r="B28" i="5"/>
  <c r="C28" i="5"/>
  <c r="D28" i="5"/>
  <c r="E28" i="5"/>
  <c r="F28" i="5"/>
  <c r="B29" i="5"/>
  <c r="C29" i="5"/>
  <c r="D29" i="5"/>
  <c r="E29" i="5"/>
  <c r="F29" i="5"/>
  <c r="M374" i="8" l="1"/>
  <c r="L374" i="8"/>
  <c r="K374" i="8"/>
  <c r="J374" i="8"/>
  <c r="I374" i="8"/>
  <c r="O374" i="8" s="1"/>
  <c r="M373" i="8"/>
  <c r="L373" i="8"/>
  <c r="K373" i="8"/>
  <c r="J373" i="8"/>
  <c r="I373" i="8"/>
  <c r="N373" i="8" s="1"/>
  <c r="N372" i="8"/>
  <c r="M372" i="8"/>
  <c r="L372" i="8"/>
  <c r="K372" i="8"/>
  <c r="J372" i="8"/>
  <c r="I372" i="8"/>
  <c r="O372" i="8" s="1"/>
  <c r="M371" i="8"/>
  <c r="L371" i="8"/>
  <c r="K371" i="8"/>
  <c r="J371" i="8"/>
  <c r="I371" i="8"/>
  <c r="M370" i="8"/>
  <c r="L370" i="8"/>
  <c r="K370" i="8"/>
  <c r="J370" i="8"/>
  <c r="I370" i="8"/>
  <c r="O370" i="8" s="1"/>
  <c r="O369" i="8"/>
  <c r="M369" i="8"/>
  <c r="L369" i="8"/>
  <c r="K369" i="8"/>
  <c r="J369" i="8"/>
  <c r="I369" i="8"/>
  <c r="N369" i="8" s="1"/>
  <c r="M368" i="8"/>
  <c r="L368" i="8"/>
  <c r="K368" i="8"/>
  <c r="J368" i="8"/>
  <c r="I368" i="8"/>
  <c r="O368" i="8" s="1"/>
  <c r="M367" i="8"/>
  <c r="L367" i="8"/>
  <c r="K367" i="8"/>
  <c r="J367" i="8"/>
  <c r="I367" i="8"/>
  <c r="M366" i="8"/>
  <c r="L366" i="8"/>
  <c r="K366" i="8"/>
  <c r="J366" i="8"/>
  <c r="I366" i="8"/>
  <c r="O366" i="8" s="1"/>
  <c r="M365" i="8"/>
  <c r="L365" i="8"/>
  <c r="K365" i="8"/>
  <c r="J365" i="8"/>
  <c r="I365" i="8"/>
  <c r="N365" i="8" s="1"/>
  <c r="N364" i="8"/>
  <c r="M364" i="8"/>
  <c r="L364" i="8"/>
  <c r="K364" i="8"/>
  <c r="J364" i="8"/>
  <c r="I364" i="8"/>
  <c r="O364" i="8" s="1"/>
  <c r="M363" i="8"/>
  <c r="L363" i="8"/>
  <c r="K363" i="8"/>
  <c r="J363" i="8"/>
  <c r="I363" i="8"/>
  <c r="M362" i="8"/>
  <c r="L362" i="8"/>
  <c r="K362" i="8"/>
  <c r="J362" i="8"/>
  <c r="I362" i="8"/>
  <c r="O362" i="8" s="1"/>
  <c r="O361" i="8"/>
  <c r="M361" i="8"/>
  <c r="L361" i="8"/>
  <c r="K361" i="8"/>
  <c r="J361" i="8"/>
  <c r="I361" i="8"/>
  <c r="N361" i="8" s="1"/>
  <c r="M360" i="8"/>
  <c r="L360" i="8"/>
  <c r="K360" i="8"/>
  <c r="J360" i="8"/>
  <c r="I360" i="8"/>
  <c r="O360" i="8" s="1"/>
  <c r="M359" i="8"/>
  <c r="L359" i="8"/>
  <c r="K359" i="8"/>
  <c r="J359" i="8"/>
  <c r="I359" i="8"/>
  <c r="M358" i="8"/>
  <c r="L358" i="8"/>
  <c r="K358" i="8"/>
  <c r="J358" i="8"/>
  <c r="I358" i="8"/>
  <c r="O358" i="8" s="1"/>
  <c r="M357" i="8"/>
  <c r="L357" i="8"/>
  <c r="K357" i="8"/>
  <c r="J357" i="8"/>
  <c r="I357" i="8"/>
  <c r="N357" i="8" s="1"/>
  <c r="N356" i="8"/>
  <c r="M356" i="8"/>
  <c r="L356" i="8"/>
  <c r="K356" i="8"/>
  <c r="J356" i="8"/>
  <c r="I356" i="8"/>
  <c r="O356" i="8" s="1"/>
  <c r="M355" i="8"/>
  <c r="L355" i="8"/>
  <c r="K355" i="8"/>
  <c r="J355" i="8"/>
  <c r="I355" i="8"/>
  <c r="M354" i="8"/>
  <c r="L354" i="8"/>
  <c r="K354" i="8"/>
  <c r="J354" i="8"/>
  <c r="I354" i="8"/>
  <c r="O354" i="8" s="1"/>
  <c r="O353" i="8"/>
  <c r="M353" i="8"/>
  <c r="L353" i="8"/>
  <c r="K353" i="8"/>
  <c r="J353" i="8"/>
  <c r="I353" i="8"/>
  <c r="N353" i="8" s="1"/>
  <c r="M352" i="8"/>
  <c r="L352" i="8"/>
  <c r="K352" i="8"/>
  <c r="J352" i="8"/>
  <c r="I352" i="8"/>
  <c r="O352" i="8" s="1"/>
  <c r="M351" i="8"/>
  <c r="L351" i="8"/>
  <c r="K351" i="8"/>
  <c r="J351" i="8"/>
  <c r="I351" i="8"/>
  <c r="M350" i="8"/>
  <c r="L350" i="8"/>
  <c r="K350" i="8"/>
  <c r="J350" i="8"/>
  <c r="I350" i="8"/>
  <c r="O350" i="8" s="1"/>
  <c r="M349" i="8"/>
  <c r="L349" i="8"/>
  <c r="K349" i="8"/>
  <c r="J349" i="8"/>
  <c r="I349" i="8"/>
  <c r="N349" i="8" s="1"/>
  <c r="N348" i="8"/>
  <c r="M348" i="8"/>
  <c r="L348" i="8"/>
  <c r="K348" i="8"/>
  <c r="J348" i="8"/>
  <c r="I348" i="8"/>
  <c r="O348" i="8" s="1"/>
  <c r="M347" i="8"/>
  <c r="L347" i="8"/>
  <c r="K347" i="8"/>
  <c r="J347" i="8"/>
  <c r="I347" i="8"/>
  <c r="M346" i="8"/>
  <c r="L346" i="8"/>
  <c r="K346" i="8"/>
  <c r="J346" i="8"/>
  <c r="I346" i="8"/>
  <c r="M345" i="8"/>
  <c r="L345" i="8"/>
  <c r="K345" i="8"/>
  <c r="J345" i="8"/>
  <c r="I345" i="8"/>
  <c r="O345" i="8" s="1"/>
  <c r="N344" i="8"/>
  <c r="M344" i="8"/>
  <c r="L344" i="8"/>
  <c r="K344" i="8"/>
  <c r="J344" i="8"/>
  <c r="I344" i="8"/>
  <c r="O344" i="8" s="1"/>
  <c r="M343" i="8"/>
  <c r="L343" i="8"/>
  <c r="K343" i="8"/>
  <c r="J343" i="8"/>
  <c r="I343" i="8"/>
  <c r="M342" i="8"/>
  <c r="L342" i="8"/>
  <c r="K342" i="8"/>
  <c r="J342" i="8"/>
  <c r="I342" i="8"/>
  <c r="M341" i="8"/>
  <c r="L341" i="8"/>
  <c r="K341" i="8"/>
  <c r="J341" i="8"/>
  <c r="I341" i="8"/>
  <c r="O341" i="8" s="1"/>
  <c r="N340" i="8"/>
  <c r="M340" i="8"/>
  <c r="L340" i="8"/>
  <c r="K340" i="8"/>
  <c r="J340" i="8"/>
  <c r="I340" i="8"/>
  <c r="O340" i="8" s="1"/>
  <c r="M339" i="8"/>
  <c r="L339" i="8"/>
  <c r="K339" i="8"/>
  <c r="J339" i="8"/>
  <c r="I339" i="8"/>
  <c r="M338" i="8"/>
  <c r="L338" i="8"/>
  <c r="K338" i="8"/>
  <c r="J338" i="8"/>
  <c r="I338" i="8"/>
  <c r="M337" i="8"/>
  <c r="L337" i="8"/>
  <c r="K337" i="8"/>
  <c r="J337" i="8"/>
  <c r="I337" i="8"/>
  <c r="O337" i="8" s="1"/>
  <c r="N336" i="8"/>
  <c r="M336" i="8"/>
  <c r="L336" i="8"/>
  <c r="K336" i="8"/>
  <c r="J336" i="8"/>
  <c r="I336" i="8"/>
  <c r="O336" i="8" s="1"/>
  <c r="M335" i="8"/>
  <c r="L335" i="8"/>
  <c r="K335" i="8"/>
  <c r="J335" i="8"/>
  <c r="I335" i="8"/>
  <c r="M334" i="8"/>
  <c r="L334" i="8"/>
  <c r="K334" i="8"/>
  <c r="J334" i="8"/>
  <c r="I334" i="8"/>
  <c r="M333" i="8"/>
  <c r="L333" i="8"/>
  <c r="K333" i="8"/>
  <c r="J333" i="8"/>
  <c r="I333" i="8"/>
  <c r="O333" i="8" s="1"/>
  <c r="N332" i="8"/>
  <c r="M332" i="8"/>
  <c r="L332" i="8"/>
  <c r="K332" i="8"/>
  <c r="J332" i="8"/>
  <c r="I332" i="8"/>
  <c r="O332" i="8" s="1"/>
  <c r="M331" i="8"/>
  <c r="L331" i="8"/>
  <c r="K331" i="8"/>
  <c r="J331" i="8"/>
  <c r="I331" i="8"/>
  <c r="M330" i="8"/>
  <c r="L330" i="8"/>
  <c r="K330" i="8"/>
  <c r="J330" i="8"/>
  <c r="I330" i="8"/>
  <c r="M329" i="8"/>
  <c r="L329" i="8"/>
  <c r="K329" i="8"/>
  <c r="J329" i="8"/>
  <c r="I329" i="8"/>
  <c r="O329" i="8" s="1"/>
  <c r="N328" i="8"/>
  <c r="M328" i="8"/>
  <c r="L328" i="8"/>
  <c r="K328" i="8"/>
  <c r="J328" i="8"/>
  <c r="I328" i="8"/>
  <c r="O328" i="8" s="1"/>
  <c r="M327" i="8"/>
  <c r="L327" i="8"/>
  <c r="K327" i="8"/>
  <c r="J327" i="8"/>
  <c r="I327" i="8"/>
  <c r="M326" i="8"/>
  <c r="L326" i="8"/>
  <c r="K326" i="8"/>
  <c r="J326" i="8"/>
  <c r="I326" i="8"/>
  <c r="M325" i="8"/>
  <c r="L325" i="8"/>
  <c r="K325" i="8"/>
  <c r="J325" i="8"/>
  <c r="I325" i="8"/>
  <c r="O325" i="8" s="1"/>
  <c r="N324" i="8"/>
  <c r="M324" i="8"/>
  <c r="L324" i="8"/>
  <c r="K324" i="8"/>
  <c r="J324" i="8"/>
  <c r="I324" i="8"/>
  <c r="O324" i="8" s="1"/>
  <c r="M323" i="8"/>
  <c r="L323" i="8"/>
  <c r="K323" i="8"/>
  <c r="J323" i="8"/>
  <c r="I323" i="8"/>
  <c r="M322" i="8"/>
  <c r="L322" i="8"/>
  <c r="K322" i="8"/>
  <c r="J322" i="8"/>
  <c r="I322" i="8"/>
  <c r="O321" i="8"/>
  <c r="M321" i="8"/>
  <c r="L321" i="8"/>
  <c r="K321" i="8"/>
  <c r="J321" i="8"/>
  <c r="I321" i="8"/>
  <c r="N321" i="8" s="1"/>
  <c r="N320" i="8"/>
  <c r="M320" i="8"/>
  <c r="L320" i="8"/>
  <c r="K320" i="8"/>
  <c r="J320" i="8"/>
  <c r="I320" i="8"/>
  <c r="O320" i="8" s="1"/>
  <c r="M319" i="8"/>
  <c r="L319" i="8"/>
  <c r="K319" i="8"/>
  <c r="J319" i="8"/>
  <c r="I319" i="8"/>
  <c r="M318" i="8"/>
  <c r="L318" i="8"/>
  <c r="K318" i="8"/>
  <c r="J318" i="8"/>
  <c r="I318" i="8"/>
  <c r="O317" i="8"/>
  <c r="M317" i="8"/>
  <c r="L317" i="8"/>
  <c r="K317" i="8"/>
  <c r="J317" i="8"/>
  <c r="I317" i="8"/>
  <c r="N317" i="8" s="1"/>
  <c r="N316" i="8"/>
  <c r="M316" i="8"/>
  <c r="L316" i="8"/>
  <c r="K316" i="8"/>
  <c r="J316" i="8"/>
  <c r="I316" i="8"/>
  <c r="O316" i="8" s="1"/>
  <c r="M315" i="8"/>
  <c r="L315" i="8"/>
  <c r="K315" i="8"/>
  <c r="J315" i="8"/>
  <c r="I315" i="8"/>
  <c r="M314" i="8"/>
  <c r="L314" i="8"/>
  <c r="K314" i="8"/>
  <c r="J314" i="8"/>
  <c r="I314" i="8"/>
  <c r="O313" i="8"/>
  <c r="M313" i="8"/>
  <c r="L313" i="8"/>
  <c r="K313" i="8"/>
  <c r="J313" i="8"/>
  <c r="I313" i="8"/>
  <c r="N313" i="8" s="1"/>
  <c r="N312" i="8"/>
  <c r="M312" i="8"/>
  <c r="L312" i="8"/>
  <c r="K312" i="8"/>
  <c r="J312" i="8"/>
  <c r="I312" i="8"/>
  <c r="O312" i="8" s="1"/>
  <c r="M311" i="8"/>
  <c r="L311" i="8"/>
  <c r="K311" i="8"/>
  <c r="J311" i="8"/>
  <c r="I311" i="8"/>
  <c r="M310" i="8"/>
  <c r="L310" i="8"/>
  <c r="K310" i="8"/>
  <c r="J310" i="8"/>
  <c r="I310" i="8"/>
  <c r="O309" i="8"/>
  <c r="M309" i="8"/>
  <c r="L309" i="8"/>
  <c r="K309" i="8"/>
  <c r="J309" i="8"/>
  <c r="I309" i="8"/>
  <c r="N309" i="8" s="1"/>
  <c r="N308" i="8"/>
  <c r="M308" i="8"/>
  <c r="L308" i="8"/>
  <c r="K308" i="8"/>
  <c r="J308" i="8"/>
  <c r="I308" i="8"/>
  <c r="O308" i="8" s="1"/>
  <c r="M307" i="8"/>
  <c r="L307" i="8"/>
  <c r="K307" i="8"/>
  <c r="J307" i="8"/>
  <c r="I307" i="8"/>
  <c r="M306" i="8"/>
  <c r="L306" i="8"/>
  <c r="K306" i="8"/>
  <c r="J306" i="8"/>
  <c r="I306" i="8"/>
  <c r="O305" i="8"/>
  <c r="M305" i="8"/>
  <c r="L305" i="8"/>
  <c r="K305" i="8"/>
  <c r="J305" i="8"/>
  <c r="I305" i="8"/>
  <c r="N305" i="8" s="1"/>
  <c r="N304" i="8"/>
  <c r="M304" i="8"/>
  <c r="L304" i="8"/>
  <c r="K304" i="8"/>
  <c r="J304" i="8"/>
  <c r="I304" i="8"/>
  <c r="O304" i="8" s="1"/>
  <c r="M303" i="8"/>
  <c r="L303" i="8"/>
  <c r="K303" i="8"/>
  <c r="J303" i="8"/>
  <c r="I303" i="8"/>
  <c r="M302" i="8"/>
  <c r="L302" i="8"/>
  <c r="K302" i="8"/>
  <c r="J302" i="8"/>
  <c r="I302" i="8"/>
  <c r="O301" i="8"/>
  <c r="M301" i="8"/>
  <c r="L301" i="8"/>
  <c r="K301" i="8"/>
  <c r="J301" i="8"/>
  <c r="I301" i="8"/>
  <c r="N301" i="8" s="1"/>
  <c r="N300" i="8"/>
  <c r="M300" i="8"/>
  <c r="L300" i="8"/>
  <c r="K300" i="8"/>
  <c r="J300" i="8"/>
  <c r="I300" i="8"/>
  <c r="O300" i="8" s="1"/>
  <c r="M299" i="8"/>
  <c r="L299" i="8"/>
  <c r="K299" i="8"/>
  <c r="J299" i="8"/>
  <c r="I299" i="8"/>
  <c r="M298" i="8"/>
  <c r="L298" i="8"/>
  <c r="K298" i="8"/>
  <c r="J298" i="8"/>
  <c r="I298" i="8"/>
  <c r="O297" i="8"/>
  <c r="M297" i="8"/>
  <c r="L297" i="8"/>
  <c r="K297" i="8"/>
  <c r="J297" i="8"/>
  <c r="I297" i="8"/>
  <c r="N297" i="8" s="1"/>
  <c r="N296" i="8"/>
  <c r="M296" i="8"/>
  <c r="L296" i="8"/>
  <c r="K296" i="8"/>
  <c r="J296" i="8"/>
  <c r="I296" i="8"/>
  <c r="O296" i="8" s="1"/>
  <c r="M295" i="8"/>
  <c r="L295" i="8"/>
  <c r="K295" i="8"/>
  <c r="J295" i="8"/>
  <c r="I295" i="8"/>
  <c r="M294" i="8"/>
  <c r="L294" i="8"/>
  <c r="K294" i="8"/>
  <c r="J294" i="8"/>
  <c r="I294" i="8"/>
  <c r="O293" i="8"/>
  <c r="M293" i="8"/>
  <c r="L293" i="8"/>
  <c r="K293" i="8"/>
  <c r="J293" i="8"/>
  <c r="I293" i="8"/>
  <c r="N293" i="8" s="1"/>
  <c r="N292" i="8"/>
  <c r="M292" i="8"/>
  <c r="L292" i="8"/>
  <c r="K292" i="8"/>
  <c r="J292" i="8"/>
  <c r="I292" i="8"/>
  <c r="O292" i="8" s="1"/>
  <c r="M291" i="8"/>
  <c r="L291" i="8"/>
  <c r="K291" i="8"/>
  <c r="J291" i="8"/>
  <c r="I291" i="8"/>
  <c r="M290" i="8"/>
  <c r="L290" i="8"/>
  <c r="K290" i="8"/>
  <c r="J290" i="8"/>
  <c r="I290" i="8"/>
  <c r="O289" i="8"/>
  <c r="M289" i="8"/>
  <c r="L289" i="8"/>
  <c r="K289" i="8"/>
  <c r="J289" i="8"/>
  <c r="I289" i="8"/>
  <c r="N289" i="8" s="1"/>
  <c r="N288" i="8"/>
  <c r="M288" i="8"/>
  <c r="L288" i="8"/>
  <c r="K288" i="8"/>
  <c r="J288" i="8"/>
  <c r="I288" i="8"/>
  <c r="O288" i="8" s="1"/>
  <c r="M287" i="8"/>
  <c r="L287" i="8"/>
  <c r="K287" i="8"/>
  <c r="J287" i="8"/>
  <c r="I287" i="8"/>
  <c r="M286" i="8"/>
  <c r="L286" i="8"/>
  <c r="K286" i="8"/>
  <c r="J286" i="8"/>
  <c r="I286" i="8"/>
  <c r="O285" i="8"/>
  <c r="M285" i="8"/>
  <c r="L285" i="8"/>
  <c r="K285" i="8"/>
  <c r="J285" i="8"/>
  <c r="I285" i="8"/>
  <c r="N285" i="8" s="1"/>
  <c r="N284" i="8"/>
  <c r="M284" i="8"/>
  <c r="L284" i="8"/>
  <c r="K284" i="8"/>
  <c r="J284" i="8"/>
  <c r="I284" i="8"/>
  <c r="O284" i="8" s="1"/>
  <c r="M283" i="8"/>
  <c r="L283" i="8"/>
  <c r="K283" i="8"/>
  <c r="J283" i="8"/>
  <c r="I283" i="8"/>
  <c r="M282" i="8"/>
  <c r="L282" i="8"/>
  <c r="K282" i="8"/>
  <c r="J282" i="8"/>
  <c r="I282" i="8"/>
  <c r="O281" i="8"/>
  <c r="M281" i="8"/>
  <c r="L281" i="8"/>
  <c r="K281" i="8"/>
  <c r="J281" i="8"/>
  <c r="I281" i="8"/>
  <c r="N281" i="8" s="1"/>
  <c r="N280" i="8"/>
  <c r="M280" i="8"/>
  <c r="L280" i="8"/>
  <c r="K280" i="8"/>
  <c r="J280" i="8"/>
  <c r="I280" i="8"/>
  <c r="O280" i="8" s="1"/>
  <c r="M279" i="8"/>
  <c r="L279" i="8"/>
  <c r="K279" i="8"/>
  <c r="J279" i="8"/>
  <c r="I279" i="8"/>
  <c r="M278" i="8"/>
  <c r="L278" i="8"/>
  <c r="K278" i="8"/>
  <c r="J278" i="8"/>
  <c r="I278" i="8"/>
  <c r="O277" i="8"/>
  <c r="M277" i="8"/>
  <c r="L277" i="8"/>
  <c r="K277" i="8"/>
  <c r="J277" i="8"/>
  <c r="I277" i="8"/>
  <c r="N277" i="8" s="1"/>
  <c r="N276" i="8"/>
  <c r="M276" i="8"/>
  <c r="L276" i="8"/>
  <c r="K276" i="8"/>
  <c r="J276" i="8"/>
  <c r="I276" i="8"/>
  <c r="O276" i="8" s="1"/>
  <c r="M275" i="8"/>
  <c r="L275" i="8"/>
  <c r="K275" i="8"/>
  <c r="J275" i="8"/>
  <c r="I275" i="8"/>
  <c r="M274" i="8"/>
  <c r="L274" i="8"/>
  <c r="K274" i="8"/>
  <c r="J274" i="8"/>
  <c r="I274" i="8"/>
  <c r="O273" i="8"/>
  <c r="M273" i="8"/>
  <c r="L273" i="8"/>
  <c r="K273" i="8"/>
  <c r="J273" i="8"/>
  <c r="I273" i="8"/>
  <c r="N273" i="8" s="1"/>
  <c r="N272" i="8"/>
  <c r="M272" i="8"/>
  <c r="L272" i="8"/>
  <c r="K272" i="8"/>
  <c r="J272" i="8"/>
  <c r="I272" i="8"/>
  <c r="O272" i="8" s="1"/>
  <c r="M271" i="8"/>
  <c r="L271" i="8"/>
  <c r="K271" i="8"/>
  <c r="J271" i="8"/>
  <c r="I271" i="8"/>
  <c r="M270" i="8"/>
  <c r="L270" i="8"/>
  <c r="K270" i="8"/>
  <c r="J270" i="8"/>
  <c r="I270" i="8"/>
  <c r="O269" i="8"/>
  <c r="M269" i="8"/>
  <c r="L269" i="8"/>
  <c r="K269" i="8"/>
  <c r="J269" i="8"/>
  <c r="I269" i="8"/>
  <c r="N269" i="8" s="1"/>
  <c r="N268" i="8"/>
  <c r="M268" i="8"/>
  <c r="L268" i="8"/>
  <c r="K268" i="8"/>
  <c r="J268" i="8"/>
  <c r="I268" i="8"/>
  <c r="O268" i="8" s="1"/>
  <c r="M267" i="8"/>
  <c r="L267" i="8"/>
  <c r="K267" i="8"/>
  <c r="J267" i="8"/>
  <c r="I267" i="8"/>
  <c r="M266" i="8"/>
  <c r="L266" i="8"/>
  <c r="K266" i="8"/>
  <c r="J266" i="8"/>
  <c r="I266" i="8"/>
  <c r="O265" i="8"/>
  <c r="M265" i="8"/>
  <c r="L265" i="8"/>
  <c r="K265" i="8"/>
  <c r="J265" i="8"/>
  <c r="I265" i="8"/>
  <c r="N265" i="8" s="1"/>
  <c r="N264" i="8"/>
  <c r="M264" i="8"/>
  <c r="L264" i="8"/>
  <c r="K264" i="8"/>
  <c r="J264" i="8"/>
  <c r="I264" i="8"/>
  <c r="O264" i="8" s="1"/>
  <c r="M263" i="8"/>
  <c r="L263" i="8"/>
  <c r="K263" i="8"/>
  <c r="J263" i="8"/>
  <c r="I263" i="8"/>
  <c r="M262" i="8"/>
  <c r="L262" i="8"/>
  <c r="K262" i="8"/>
  <c r="J262" i="8"/>
  <c r="I262" i="8"/>
  <c r="O261" i="8"/>
  <c r="M261" i="8"/>
  <c r="L261" i="8"/>
  <c r="K261" i="8"/>
  <c r="J261" i="8"/>
  <c r="I261" i="8"/>
  <c r="N261" i="8" s="1"/>
  <c r="N260" i="8"/>
  <c r="M260" i="8"/>
  <c r="L260" i="8"/>
  <c r="K260" i="8"/>
  <c r="J260" i="8"/>
  <c r="I260" i="8"/>
  <c r="O260" i="8" s="1"/>
  <c r="M259" i="8"/>
  <c r="L259" i="8"/>
  <c r="K259" i="8"/>
  <c r="J259" i="8"/>
  <c r="I259" i="8"/>
  <c r="M258" i="8"/>
  <c r="L258" i="8"/>
  <c r="K258" i="8"/>
  <c r="J258" i="8"/>
  <c r="I258" i="8"/>
  <c r="O257" i="8"/>
  <c r="M257" i="8"/>
  <c r="L257" i="8"/>
  <c r="K257" i="8"/>
  <c r="J257" i="8"/>
  <c r="I257" i="8"/>
  <c r="N257" i="8" s="1"/>
  <c r="N256" i="8"/>
  <c r="M256" i="8"/>
  <c r="L256" i="8"/>
  <c r="K256" i="8"/>
  <c r="J256" i="8"/>
  <c r="I256" i="8"/>
  <c r="O256" i="8" s="1"/>
  <c r="M255" i="8"/>
  <c r="L255" i="8"/>
  <c r="K255" i="8"/>
  <c r="J255" i="8"/>
  <c r="I255" i="8"/>
  <c r="M254" i="8"/>
  <c r="L254" i="8"/>
  <c r="K254" i="8"/>
  <c r="J254" i="8"/>
  <c r="I254" i="8"/>
  <c r="O253" i="8"/>
  <c r="M253" i="8"/>
  <c r="L253" i="8"/>
  <c r="K253" i="8"/>
  <c r="J253" i="8"/>
  <c r="I253" i="8"/>
  <c r="N253" i="8" s="1"/>
  <c r="N252" i="8"/>
  <c r="M252" i="8"/>
  <c r="L252" i="8"/>
  <c r="K252" i="8"/>
  <c r="J252" i="8"/>
  <c r="I252" i="8"/>
  <c r="O252" i="8" s="1"/>
  <c r="M251" i="8"/>
  <c r="L251" i="8"/>
  <c r="K251" i="8"/>
  <c r="J251" i="8"/>
  <c r="I251" i="8"/>
  <c r="M250" i="8"/>
  <c r="L250" i="8"/>
  <c r="K250" i="8"/>
  <c r="J250" i="8"/>
  <c r="I250" i="8"/>
  <c r="O249" i="8"/>
  <c r="M249" i="8"/>
  <c r="L249" i="8"/>
  <c r="K249" i="8"/>
  <c r="J249" i="8"/>
  <c r="I249" i="8"/>
  <c r="N249" i="8" s="1"/>
  <c r="N248" i="8"/>
  <c r="M248" i="8"/>
  <c r="L248" i="8"/>
  <c r="K248" i="8"/>
  <c r="J248" i="8"/>
  <c r="I248" i="8"/>
  <c r="O248" i="8" s="1"/>
  <c r="M247" i="8"/>
  <c r="L247" i="8"/>
  <c r="K247" i="8"/>
  <c r="J247" i="8"/>
  <c r="I247" i="8"/>
  <c r="M246" i="8"/>
  <c r="L246" i="8"/>
  <c r="K246" i="8"/>
  <c r="J246" i="8"/>
  <c r="I246" i="8"/>
  <c r="O245" i="8"/>
  <c r="M245" i="8"/>
  <c r="L245" i="8"/>
  <c r="K245" i="8"/>
  <c r="J245" i="8"/>
  <c r="I245" i="8"/>
  <c r="N245" i="8" s="1"/>
  <c r="N244" i="8"/>
  <c r="M244" i="8"/>
  <c r="L244" i="8"/>
  <c r="K244" i="8"/>
  <c r="J244" i="8"/>
  <c r="I244" i="8"/>
  <c r="O244" i="8" s="1"/>
  <c r="M243" i="8"/>
  <c r="L243" i="8"/>
  <c r="K243" i="8"/>
  <c r="J243" i="8"/>
  <c r="I243" i="8"/>
  <c r="M242" i="8"/>
  <c r="L242" i="8"/>
  <c r="K242" i="8"/>
  <c r="J242" i="8"/>
  <c r="I242" i="8"/>
  <c r="O241" i="8"/>
  <c r="M241" i="8"/>
  <c r="L241" i="8"/>
  <c r="K241" i="8"/>
  <c r="J241" i="8"/>
  <c r="I241" i="8"/>
  <c r="N241" i="8" s="1"/>
  <c r="N240" i="8"/>
  <c r="M240" i="8"/>
  <c r="L240" i="8"/>
  <c r="K240" i="8"/>
  <c r="J240" i="8"/>
  <c r="I240" i="8"/>
  <c r="O240" i="8" s="1"/>
  <c r="M239" i="8"/>
  <c r="L239" i="8"/>
  <c r="K239" i="8"/>
  <c r="J239" i="8"/>
  <c r="I239" i="8"/>
  <c r="M238" i="8"/>
  <c r="L238" i="8"/>
  <c r="K238" i="8"/>
  <c r="J238" i="8"/>
  <c r="I238" i="8"/>
  <c r="O237" i="8"/>
  <c r="M237" i="8"/>
  <c r="L237" i="8"/>
  <c r="K237" i="8"/>
  <c r="J237" i="8"/>
  <c r="I237" i="8"/>
  <c r="N237" i="8" s="1"/>
  <c r="N236" i="8"/>
  <c r="M236" i="8"/>
  <c r="L236" i="8"/>
  <c r="K236" i="8"/>
  <c r="J236" i="8"/>
  <c r="I236" i="8"/>
  <c r="O236" i="8" s="1"/>
  <c r="M235" i="8"/>
  <c r="L235" i="8"/>
  <c r="K235" i="8"/>
  <c r="J235" i="8"/>
  <c r="I235" i="8"/>
  <c r="M234" i="8"/>
  <c r="L234" i="8"/>
  <c r="K234" i="8"/>
  <c r="J234" i="8"/>
  <c r="I234" i="8"/>
  <c r="O233" i="8"/>
  <c r="M233" i="8"/>
  <c r="L233" i="8"/>
  <c r="K233" i="8"/>
  <c r="J233" i="8"/>
  <c r="I233" i="8"/>
  <c r="N233" i="8" s="1"/>
  <c r="N232" i="8"/>
  <c r="M232" i="8"/>
  <c r="L232" i="8"/>
  <c r="K232" i="8"/>
  <c r="J232" i="8"/>
  <c r="I232" i="8"/>
  <c r="O232" i="8" s="1"/>
  <c r="M231" i="8"/>
  <c r="L231" i="8"/>
  <c r="K231" i="8"/>
  <c r="J231" i="8"/>
  <c r="I231" i="8"/>
  <c r="M230" i="8"/>
  <c r="L230" i="8"/>
  <c r="K230" i="8"/>
  <c r="J230" i="8"/>
  <c r="I230" i="8"/>
  <c r="O229" i="8"/>
  <c r="M229" i="8"/>
  <c r="L229" i="8"/>
  <c r="K229" i="8"/>
  <c r="J229" i="8"/>
  <c r="I229" i="8"/>
  <c r="N229" i="8" s="1"/>
  <c r="N228" i="8"/>
  <c r="M228" i="8"/>
  <c r="L228" i="8"/>
  <c r="K228" i="8"/>
  <c r="J228" i="8"/>
  <c r="I228" i="8"/>
  <c r="O228" i="8" s="1"/>
  <c r="M227" i="8"/>
  <c r="L227" i="8"/>
  <c r="K227" i="8"/>
  <c r="J227" i="8"/>
  <c r="I227" i="8"/>
  <c r="M226" i="8"/>
  <c r="L226" i="8"/>
  <c r="K226" i="8"/>
  <c r="J226" i="8"/>
  <c r="I226" i="8"/>
  <c r="O225" i="8"/>
  <c r="M225" i="8"/>
  <c r="L225" i="8"/>
  <c r="K225" i="8"/>
  <c r="J225" i="8"/>
  <c r="I225" i="8"/>
  <c r="N225" i="8" s="1"/>
  <c r="N224" i="8"/>
  <c r="M224" i="8"/>
  <c r="L224" i="8"/>
  <c r="K224" i="8"/>
  <c r="J224" i="8"/>
  <c r="I224" i="8"/>
  <c r="O224" i="8" s="1"/>
  <c r="M223" i="8"/>
  <c r="L223" i="8"/>
  <c r="K223" i="8"/>
  <c r="J223" i="8"/>
  <c r="I223" i="8"/>
  <c r="M222" i="8"/>
  <c r="L222" i="8"/>
  <c r="K222" i="8"/>
  <c r="J222" i="8"/>
  <c r="I222" i="8"/>
  <c r="O221" i="8"/>
  <c r="M221" i="8"/>
  <c r="L221" i="8"/>
  <c r="K221" i="8"/>
  <c r="J221" i="8"/>
  <c r="I221" i="8"/>
  <c r="N221" i="8" s="1"/>
  <c r="N220" i="8"/>
  <c r="M220" i="8"/>
  <c r="L220" i="8"/>
  <c r="K220" i="8"/>
  <c r="J220" i="8"/>
  <c r="I220" i="8"/>
  <c r="O220" i="8" s="1"/>
  <c r="M219" i="8"/>
  <c r="L219" i="8"/>
  <c r="K219" i="8"/>
  <c r="J219" i="8"/>
  <c r="I219" i="8"/>
  <c r="M218" i="8"/>
  <c r="L218" i="8"/>
  <c r="K218" i="8"/>
  <c r="J218" i="8"/>
  <c r="I218" i="8"/>
  <c r="O217" i="8"/>
  <c r="M217" i="8"/>
  <c r="L217" i="8"/>
  <c r="K217" i="8"/>
  <c r="J217" i="8"/>
  <c r="I217" i="8"/>
  <c r="N217" i="8" s="1"/>
  <c r="N216" i="8"/>
  <c r="M216" i="8"/>
  <c r="L216" i="8"/>
  <c r="K216" i="8"/>
  <c r="J216" i="8"/>
  <c r="I216" i="8"/>
  <c r="O216" i="8" s="1"/>
  <c r="M215" i="8"/>
  <c r="L215" i="8"/>
  <c r="K215" i="8"/>
  <c r="J215" i="8"/>
  <c r="I215" i="8"/>
  <c r="M214" i="8"/>
  <c r="L214" i="8"/>
  <c r="K214" i="8"/>
  <c r="J214" i="8"/>
  <c r="I214" i="8"/>
  <c r="O213" i="8"/>
  <c r="M213" i="8"/>
  <c r="L213" i="8"/>
  <c r="K213" i="8"/>
  <c r="J213" i="8"/>
  <c r="I213" i="8"/>
  <c r="N213" i="8" s="1"/>
  <c r="N212" i="8"/>
  <c r="M212" i="8"/>
  <c r="L212" i="8"/>
  <c r="K212" i="8"/>
  <c r="J212" i="8"/>
  <c r="I212" i="8"/>
  <c r="O212" i="8" s="1"/>
  <c r="M211" i="8"/>
  <c r="L211" i="8"/>
  <c r="K211" i="8"/>
  <c r="J211" i="8"/>
  <c r="I211" i="8"/>
  <c r="M210" i="8"/>
  <c r="L210" i="8"/>
  <c r="K210" i="8"/>
  <c r="J210" i="8"/>
  <c r="I210" i="8"/>
  <c r="O209" i="8"/>
  <c r="M209" i="8"/>
  <c r="L209" i="8"/>
  <c r="K209" i="8"/>
  <c r="J209" i="8"/>
  <c r="I209" i="8"/>
  <c r="N209" i="8" s="1"/>
  <c r="N208" i="8"/>
  <c r="M208" i="8"/>
  <c r="L208" i="8"/>
  <c r="K208" i="8"/>
  <c r="J208" i="8"/>
  <c r="I208" i="8"/>
  <c r="O208" i="8" s="1"/>
  <c r="M207" i="8"/>
  <c r="L207" i="8"/>
  <c r="K207" i="8"/>
  <c r="J207" i="8"/>
  <c r="I207" i="8"/>
  <c r="O207" i="8" s="1"/>
  <c r="O206" i="8"/>
  <c r="M206" i="8"/>
  <c r="L206" i="8"/>
  <c r="K206" i="8"/>
  <c r="J206" i="8"/>
  <c r="I206" i="8"/>
  <c r="N206" i="8" s="1"/>
  <c r="M205" i="8"/>
  <c r="L205" i="8"/>
  <c r="K205" i="8"/>
  <c r="J205" i="8"/>
  <c r="I205" i="8"/>
  <c r="N204" i="8"/>
  <c r="M204" i="8"/>
  <c r="L204" i="8"/>
  <c r="K204" i="8"/>
  <c r="J204" i="8"/>
  <c r="I204" i="8"/>
  <c r="O204" i="8" s="1"/>
  <c r="M203" i="8"/>
  <c r="L203" i="8"/>
  <c r="K203" i="8"/>
  <c r="J203" i="8"/>
  <c r="I203" i="8"/>
  <c r="N202" i="8"/>
  <c r="M202" i="8"/>
  <c r="L202" i="8"/>
  <c r="K202" i="8"/>
  <c r="J202" i="8"/>
  <c r="I202" i="8"/>
  <c r="O202" i="8" s="1"/>
  <c r="M201" i="8"/>
  <c r="L201" i="8"/>
  <c r="K201" i="8"/>
  <c r="J201" i="8"/>
  <c r="I201" i="8"/>
  <c r="O200" i="8"/>
  <c r="N200" i="8"/>
  <c r="M200" i="8"/>
  <c r="L200" i="8"/>
  <c r="K200" i="8"/>
  <c r="J200" i="8"/>
  <c r="I200" i="8"/>
  <c r="N199" i="8"/>
  <c r="M199" i="8"/>
  <c r="L199" i="8"/>
  <c r="K199" i="8"/>
  <c r="J199" i="8"/>
  <c r="I199" i="8"/>
  <c r="O199" i="8" s="1"/>
  <c r="N198" i="8"/>
  <c r="M198" i="8"/>
  <c r="L198" i="8"/>
  <c r="K198" i="8"/>
  <c r="J198" i="8"/>
  <c r="I198" i="8"/>
  <c r="O198" i="8" s="1"/>
  <c r="M197" i="8"/>
  <c r="L197" i="8"/>
  <c r="K197" i="8"/>
  <c r="J197" i="8"/>
  <c r="I197" i="8"/>
  <c r="O196" i="8"/>
  <c r="N196" i="8"/>
  <c r="M196" i="8"/>
  <c r="L196" i="8"/>
  <c r="K196" i="8"/>
  <c r="J196" i="8"/>
  <c r="I196" i="8"/>
  <c r="O195" i="8"/>
  <c r="N195" i="8"/>
  <c r="M195" i="8"/>
  <c r="L195" i="8"/>
  <c r="K195" i="8"/>
  <c r="J195" i="8"/>
  <c r="I195" i="8"/>
  <c r="M194" i="8"/>
  <c r="L194" i="8"/>
  <c r="K194" i="8"/>
  <c r="J194" i="8"/>
  <c r="I194" i="8"/>
  <c r="M193" i="8"/>
  <c r="L193" i="8"/>
  <c r="K193" i="8"/>
  <c r="J193" i="8"/>
  <c r="I193" i="8"/>
  <c r="M192" i="8"/>
  <c r="L192" i="8"/>
  <c r="K192" i="8"/>
  <c r="J192" i="8"/>
  <c r="I192" i="8"/>
  <c r="O191" i="8"/>
  <c r="N191" i="8"/>
  <c r="M191" i="8"/>
  <c r="L191" i="8"/>
  <c r="K191" i="8"/>
  <c r="J191" i="8"/>
  <c r="I191" i="8"/>
  <c r="N190" i="8"/>
  <c r="M190" i="8"/>
  <c r="L190" i="8"/>
  <c r="K190" i="8"/>
  <c r="J190" i="8"/>
  <c r="I190" i="8"/>
  <c r="O190" i="8" s="1"/>
  <c r="M189" i="8"/>
  <c r="L189" i="8"/>
  <c r="K189" i="8"/>
  <c r="J189" i="8"/>
  <c r="I189" i="8"/>
  <c r="N188" i="8"/>
  <c r="M188" i="8"/>
  <c r="L188" i="8"/>
  <c r="K188" i="8"/>
  <c r="J188" i="8"/>
  <c r="I188" i="8"/>
  <c r="O188" i="8" s="1"/>
  <c r="M187" i="8"/>
  <c r="L187" i="8"/>
  <c r="K187" i="8"/>
  <c r="J187" i="8"/>
  <c r="I187" i="8"/>
  <c r="N186" i="8"/>
  <c r="M186" i="8"/>
  <c r="L186" i="8"/>
  <c r="K186" i="8"/>
  <c r="J186" i="8"/>
  <c r="I186" i="8"/>
  <c r="O186" i="8" s="1"/>
  <c r="M185" i="8"/>
  <c r="L185" i="8"/>
  <c r="K185" i="8"/>
  <c r="J185" i="8"/>
  <c r="I185" i="8"/>
  <c r="O184" i="8"/>
  <c r="N184" i="8"/>
  <c r="M184" i="8"/>
  <c r="L184" i="8"/>
  <c r="K184" i="8"/>
  <c r="J184" i="8"/>
  <c r="I184" i="8"/>
  <c r="N183" i="8"/>
  <c r="M183" i="8"/>
  <c r="L183" i="8"/>
  <c r="K183" i="8"/>
  <c r="J183" i="8"/>
  <c r="I183" i="8"/>
  <c r="O183" i="8" s="1"/>
  <c r="N182" i="8"/>
  <c r="M182" i="8"/>
  <c r="L182" i="8"/>
  <c r="K182" i="8"/>
  <c r="J182" i="8"/>
  <c r="I182" i="8"/>
  <c r="O182" i="8" s="1"/>
  <c r="M181" i="8"/>
  <c r="L181" i="8"/>
  <c r="K181" i="8"/>
  <c r="J181" i="8"/>
  <c r="I181" i="8"/>
  <c r="O180" i="8"/>
  <c r="N180" i="8"/>
  <c r="M180" i="8"/>
  <c r="L180" i="8"/>
  <c r="K180" i="8"/>
  <c r="J180" i="8"/>
  <c r="I180" i="8"/>
  <c r="O179" i="8"/>
  <c r="N179" i="8"/>
  <c r="M179" i="8"/>
  <c r="L179" i="8"/>
  <c r="K179" i="8"/>
  <c r="J179" i="8"/>
  <c r="I179" i="8"/>
  <c r="M178" i="8"/>
  <c r="L178" i="8"/>
  <c r="K178" i="8"/>
  <c r="J178" i="8"/>
  <c r="I178" i="8"/>
  <c r="M177" i="8"/>
  <c r="L177" i="8"/>
  <c r="K177" i="8"/>
  <c r="J177" i="8"/>
  <c r="I177" i="8"/>
  <c r="M176" i="8"/>
  <c r="L176" i="8"/>
  <c r="K176" i="8"/>
  <c r="J176" i="8"/>
  <c r="I176" i="8"/>
  <c r="O175" i="8"/>
  <c r="N175" i="8"/>
  <c r="M175" i="8"/>
  <c r="L175" i="8"/>
  <c r="K175" i="8"/>
  <c r="J175" i="8"/>
  <c r="I175" i="8"/>
  <c r="N174" i="8"/>
  <c r="M174" i="8"/>
  <c r="L174" i="8"/>
  <c r="K174" i="8"/>
  <c r="J174" i="8"/>
  <c r="I174" i="8"/>
  <c r="O174" i="8" s="1"/>
  <c r="M173" i="8"/>
  <c r="L173" i="8"/>
  <c r="K173" i="8"/>
  <c r="J173" i="8"/>
  <c r="I173" i="8"/>
  <c r="N172" i="8"/>
  <c r="M172" i="8"/>
  <c r="L172" i="8"/>
  <c r="K172" i="8"/>
  <c r="J172" i="8"/>
  <c r="I172" i="8"/>
  <c r="O172" i="8" s="1"/>
  <c r="M171" i="8"/>
  <c r="L171" i="8"/>
  <c r="K171" i="8"/>
  <c r="J171" i="8"/>
  <c r="I171" i="8"/>
  <c r="N170" i="8"/>
  <c r="M170" i="8"/>
  <c r="L170" i="8"/>
  <c r="K170" i="8"/>
  <c r="J170" i="8"/>
  <c r="I170" i="8"/>
  <c r="O170" i="8" s="1"/>
  <c r="M169" i="8"/>
  <c r="L169" i="8"/>
  <c r="K169" i="8"/>
  <c r="J169" i="8"/>
  <c r="I169" i="8"/>
  <c r="O168" i="8"/>
  <c r="N168" i="8"/>
  <c r="M168" i="8"/>
  <c r="L168" i="8"/>
  <c r="K168" i="8"/>
  <c r="J168" i="8"/>
  <c r="I168" i="8"/>
  <c r="N167" i="8"/>
  <c r="M167" i="8"/>
  <c r="L167" i="8"/>
  <c r="K167" i="8"/>
  <c r="J167" i="8"/>
  <c r="I167" i="8"/>
  <c r="O167" i="8" s="1"/>
  <c r="N166" i="8"/>
  <c r="M166" i="8"/>
  <c r="L166" i="8"/>
  <c r="K166" i="8"/>
  <c r="J166" i="8"/>
  <c r="I166" i="8"/>
  <c r="O166" i="8" s="1"/>
  <c r="M165" i="8"/>
  <c r="L165" i="8"/>
  <c r="K165" i="8"/>
  <c r="J165" i="8"/>
  <c r="I165" i="8"/>
  <c r="O164" i="8"/>
  <c r="N164" i="8"/>
  <c r="M164" i="8"/>
  <c r="L164" i="8"/>
  <c r="K164" i="8"/>
  <c r="J164" i="8"/>
  <c r="I164" i="8"/>
  <c r="O163" i="8"/>
  <c r="N163" i="8"/>
  <c r="M163" i="8"/>
  <c r="L163" i="8"/>
  <c r="K163" i="8"/>
  <c r="J163" i="8"/>
  <c r="I163" i="8"/>
  <c r="M162" i="8"/>
  <c r="L162" i="8"/>
  <c r="K162" i="8"/>
  <c r="J162" i="8"/>
  <c r="I162" i="8"/>
  <c r="M161" i="8"/>
  <c r="L161" i="8"/>
  <c r="K161" i="8"/>
  <c r="J161" i="8"/>
  <c r="I161" i="8"/>
  <c r="M160" i="8"/>
  <c r="L160" i="8"/>
  <c r="K160" i="8"/>
  <c r="J160" i="8"/>
  <c r="I160" i="8"/>
  <c r="O159" i="8"/>
  <c r="N159" i="8"/>
  <c r="M159" i="8"/>
  <c r="L159" i="8"/>
  <c r="K159" i="8"/>
  <c r="J159" i="8"/>
  <c r="I159" i="8"/>
  <c r="N158" i="8"/>
  <c r="M158" i="8"/>
  <c r="L158" i="8"/>
  <c r="K158" i="8"/>
  <c r="J158" i="8"/>
  <c r="I158" i="8"/>
  <c r="O158" i="8" s="1"/>
  <c r="M157" i="8"/>
  <c r="L157" i="8"/>
  <c r="K157" i="8"/>
  <c r="J157" i="8"/>
  <c r="I157" i="8"/>
  <c r="N156" i="8"/>
  <c r="M156" i="8"/>
  <c r="L156" i="8"/>
  <c r="K156" i="8"/>
  <c r="J156" i="8"/>
  <c r="I156" i="8"/>
  <c r="O156" i="8" s="1"/>
  <c r="M155" i="8"/>
  <c r="L155" i="8"/>
  <c r="K155" i="8"/>
  <c r="J155" i="8"/>
  <c r="I155" i="8"/>
  <c r="N154" i="8"/>
  <c r="M154" i="8"/>
  <c r="L154" i="8"/>
  <c r="K154" i="8"/>
  <c r="J154" i="8"/>
  <c r="I154" i="8"/>
  <c r="O154" i="8" s="1"/>
  <c r="M153" i="8"/>
  <c r="L153" i="8"/>
  <c r="K153" i="8"/>
  <c r="J153" i="8"/>
  <c r="I153" i="8"/>
  <c r="O152" i="8"/>
  <c r="N152" i="8"/>
  <c r="M152" i="8"/>
  <c r="L152" i="8"/>
  <c r="K152" i="8"/>
  <c r="J152" i="8"/>
  <c r="I152" i="8"/>
  <c r="N151" i="8"/>
  <c r="M151" i="8"/>
  <c r="L151" i="8"/>
  <c r="K151" i="8"/>
  <c r="J151" i="8"/>
  <c r="I151" i="8"/>
  <c r="O151" i="8" s="1"/>
  <c r="N150" i="8"/>
  <c r="M150" i="8"/>
  <c r="L150" i="8"/>
  <c r="K150" i="8"/>
  <c r="J150" i="8"/>
  <c r="I150" i="8"/>
  <c r="O150" i="8" s="1"/>
  <c r="M149" i="8"/>
  <c r="L149" i="8"/>
  <c r="K149" i="8"/>
  <c r="J149" i="8"/>
  <c r="I149" i="8"/>
  <c r="O148" i="8"/>
  <c r="N148" i="8"/>
  <c r="M148" i="8"/>
  <c r="L148" i="8"/>
  <c r="K148" i="8"/>
  <c r="J148" i="8"/>
  <c r="I148" i="8"/>
  <c r="O147" i="8"/>
  <c r="N147" i="8"/>
  <c r="M147" i="8"/>
  <c r="L147" i="8"/>
  <c r="K147" i="8"/>
  <c r="J147" i="8"/>
  <c r="I147" i="8"/>
  <c r="M146" i="8"/>
  <c r="L146" i="8"/>
  <c r="K146" i="8"/>
  <c r="J146" i="8"/>
  <c r="I146" i="8"/>
  <c r="M145" i="8"/>
  <c r="L145" i="8"/>
  <c r="K145" i="8"/>
  <c r="J145" i="8"/>
  <c r="I145" i="8"/>
  <c r="M144" i="8"/>
  <c r="L144" i="8"/>
  <c r="K144" i="8"/>
  <c r="J144" i="8"/>
  <c r="I144" i="8"/>
  <c r="O143" i="8"/>
  <c r="N143" i="8"/>
  <c r="M143" i="8"/>
  <c r="L143" i="8"/>
  <c r="K143" i="8"/>
  <c r="J143" i="8"/>
  <c r="I143" i="8"/>
  <c r="N142" i="8"/>
  <c r="M142" i="8"/>
  <c r="L142" i="8"/>
  <c r="K142" i="8"/>
  <c r="J142" i="8"/>
  <c r="I142" i="8"/>
  <c r="O142" i="8" s="1"/>
  <c r="M141" i="8"/>
  <c r="L141" i="8"/>
  <c r="K141" i="8"/>
  <c r="J141" i="8"/>
  <c r="I141" i="8"/>
  <c r="N140" i="8"/>
  <c r="M140" i="8"/>
  <c r="L140" i="8"/>
  <c r="K140" i="8"/>
  <c r="J140" i="8"/>
  <c r="I140" i="8"/>
  <c r="O140" i="8" s="1"/>
  <c r="M139" i="8"/>
  <c r="L139" i="8"/>
  <c r="K139" i="8"/>
  <c r="J139" i="8"/>
  <c r="I139" i="8"/>
  <c r="N138" i="8"/>
  <c r="M138" i="8"/>
  <c r="L138" i="8"/>
  <c r="K138" i="8"/>
  <c r="J138" i="8"/>
  <c r="I138" i="8"/>
  <c r="O138" i="8" s="1"/>
  <c r="M137" i="8"/>
  <c r="L137" i="8"/>
  <c r="K137" i="8"/>
  <c r="J137" i="8"/>
  <c r="I137" i="8"/>
  <c r="O136" i="8"/>
  <c r="N136" i="8"/>
  <c r="M136" i="8"/>
  <c r="L136" i="8"/>
  <c r="K136" i="8"/>
  <c r="J136" i="8"/>
  <c r="I136" i="8"/>
  <c r="N135" i="8"/>
  <c r="M135" i="8"/>
  <c r="L135" i="8"/>
  <c r="K135" i="8"/>
  <c r="J135" i="8"/>
  <c r="I135" i="8"/>
  <c r="O135" i="8" s="1"/>
  <c r="N134" i="8"/>
  <c r="M134" i="8"/>
  <c r="L134" i="8"/>
  <c r="K134" i="8"/>
  <c r="J134" i="8"/>
  <c r="I134" i="8"/>
  <c r="O134" i="8" s="1"/>
  <c r="M133" i="8"/>
  <c r="L133" i="8"/>
  <c r="K133" i="8"/>
  <c r="J133" i="8"/>
  <c r="I133" i="8"/>
  <c r="O132" i="8"/>
  <c r="N132" i="8"/>
  <c r="M132" i="8"/>
  <c r="L132" i="8"/>
  <c r="K132" i="8"/>
  <c r="J132" i="8"/>
  <c r="I132" i="8"/>
  <c r="O131" i="8"/>
  <c r="M131" i="8"/>
  <c r="L131" i="8"/>
  <c r="K131" i="8"/>
  <c r="J131" i="8"/>
  <c r="I131" i="8"/>
  <c r="N131" i="8" s="1"/>
  <c r="M130" i="8"/>
  <c r="L130" i="8"/>
  <c r="K130" i="8"/>
  <c r="J130" i="8"/>
  <c r="I130" i="8"/>
  <c r="M129" i="8"/>
  <c r="L129" i="8"/>
  <c r="K129" i="8"/>
  <c r="J129" i="8"/>
  <c r="I129" i="8"/>
  <c r="M128" i="8"/>
  <c r="L128" i="8"/>
  <c r="K128" i="8"/>
  <c r="J128" i="8"/>
  <c r="I128" i="8"/>
  <c r="O127" i="8"/>
  <c r="N127" i="8"/>
  <c r="M127" i="8"/>
  <c r="L127" i="8"/>
  <c r="K127" i="8"/>
  <c r="J127" i="8"/>
  <c r="I127" i="8"/>
  <c r="N126" i="8"/>
  <c r="M126" i="8"/>
  <c r="L126" i="8"/>
  <c r="K126" i="8"/>
  <c r="J126" i="8"/>
  <c r="I126" i="8"/>
  <c r="O126" i="8" s="1"/>
  <c r="M125" i="8"/>
  <c r="L125" i="8"/>
  <c r="K125" i="8"/>
  <c r="J125" i="8"/>
  <c r="I125" i="8"/>
  <c r="N124" i="8"/>
  <c r="M124" i="8"/>
  <c r="L124" i="8"/>
  <c r="K124" i="8"/>
  <c r="J124" i="8"/>
  <c r="I124" i="8"/>
  <c r="O124" i="8" s="1"/>
  <c r="M123" i="8"/>
  <c r="L123" i="8"/>
  <c r="K123" i="8"/>
  <c r="J123" i="8"/>
  <c r="I123" i="8"/>
  <c r="M122" i="8"/>
  <c r="L122" i="8"/>
  <c r="K122" i="8"/>
  <c r="J122" i="8"/>
  <c r="I122" i="8"/>
  <c r="O122" i="8" s="1"/>
  <c r="M121" i="8"/>
  <c r="L121" i="8"/>
  <c r="K121" i="8"/>
  <c r="J121" i="8"/>
  <c r="I121" i="8"/>
  <c r="N120" i="8"/>
  <c r="M120" i="8"/>
  <c r="L120" i="8"/>
  <c r="K120" i="8"/>
  <c r="J120" i="8"/>
  <c r="I120" i="8"/>
  <c r="O120" i="8" s="1"/>
  <c r="M119" i="8"/>
  <c r="L119" i="8"/>
  <c r="K119" i="8"/>
  <c r="J119" i="8"/>
  <c r="I119" i="8"/>
  <c r="M118" i="8"/>
  <c r="L118" i="8"/>
  <c r="K118" i="8"/>
  <c r="J118" i="8"/>
  <c r="I118" i="8"/>
  <c r="O118" i="8" s="1"/>
  <c r="M117" i="8"/>
  <c r="L117" i="8"/>
  <c r="K117" i="8"/>
  <c r="J117" i="8"/>
  <c r="I117" i="8"/>
  <c r="N116" i="8"/>
  <c r="M116" i="8"/>
  <c r="L116" i="8"/>
  <c r="K116" i="8"/>
  <c r="J116" i="8"/>
  <c r="I116" i="8"/>
  <c r="O116" i="8" s="1"/>
  <c r="M115" i="8"/>
  <c r="L115" i="8"/>
  <c r="K115" i="8"/>
  <c r="J115" i="8"/>
  <c r="I115" i="8"/>
  <c r="M114" i="8"/>
  <c r="L114" i="8"/>
  <c r="K114" i="8"/>
  <c r="J114" i="8"/>
  <c r="I114" i="8"/>
  <c r="O114" i="8" s="1"/>
  <c r="M113" i="8"/>
  <c r="L113" i="8"/>
  <c r="K113" i="8"/>
  <c r="J113" i="8"/>
  <c r="I113" i="8"/>
  <c r="N112" i="8"/>
  <c r="M112" i="8"/>
  <c r="L112" i="8"/>
  <c r="K112" i="8"/>
  <c r="J112" i="8"/>
  <c r="I112" i="8"/>
  <c r="O112" i="8" s="1"/>
  <c r="M111" i="8"/>
  <c r="L111" i="8"/>
  <c r="K111" i="8"/>
  <c r="J111" i="8"/>
  <c r="I111" i="8"/>
  <c r="N110" i="8"/>
  <c r="M110" i="8"/>
  <c r="L110" i="8"/>
  <c r="K110" i="8"/>
  <c r="J110" i="8"/>
  <c r="I110" i="8"/>
  <c r="O110" i="8" s="1"/>
  <c r="M109" i="8"/>
  <c r="L109" i="8"/>
  <c r="K109" i="8"/>
  <c r="J109" i="8"/>
  <c r="I109" i="8"/>
  <c r="O108" i="8"/>
  <c r="N108" i="8"/>
  <c r="M108" i="8"/>
  <c r="L108" i="8"/>
  <c r="K108" i="8"/>
  <c r="J108" i="8"/>
  <c r="I108" i="8"/>
  <c r="N107" i="8"/>
  <c r="M107" i="8"/>
  <c r="L107" i="8"/>
  <c r="K107" i="8"/>
  <c r="J107" i="8"/>
  <c r="I107" i="8"/>
  <c r="O107" i="8" s="1"/>
  <c r="O85" i="8"/>
  <c r="N85" i="8"/>
  <c r="O84" i="8"/>
  <c r="N84" i="8"/>
  <c r="O83" i="8"/>
  <c r="N83" i="8"/>
  <c r="O82" i="8"/>
  <c r="N82" i="8"/>
  <c r="O81" i="8"/>
  <c r="N81" i="8"/>
  <c r="O80" i="8"/>
  <c r="N80" i="8"/>
  <c r="O79" i="8"/>
  <c r="N79" i="8"/>
  <c r="O78" i="8"/>
  <c r="N78" i="8"/>
  <c r="O77" i="8"/>
  <c r="N77" i="8"/>
  <c r="O76" i="8"/>
  <c r="N76" i="8"/>
  <c r="M75" i="8"/>
  <c r="L75" i="8"/>
  <c r="K75" i="8"/>
  <c r="J75" i="8"/>
  <c r="I75" i="8"/>
  <c r="O75" i="8" s="1"/>
  <c r="M74" i="8"/>
  <c r="L74" i="8"/>
  <c r="K74" i="8"/>
  <c r="J74" i="8"/>
  <c r="I74" i="8"/>
  <c r="M73" i="8"/>
  <c r="L73" i="8"/>
  <c r="J73" i="8"/>
  <c r="I73" i="8"/>
  <c r="N73" i="8" s="1"/>
  <c r="M72" i="8"/>
  <c r="L72" i="8"/>
  <c r="K72" i="8"/>
  <c r="J72" i="8"/>
  <c r="I72" i="8"/>
  <c r="O72" i="8" s="1"/>
  <c r="M71" i="8"/>
  <c r="L71" i="8"/>
  <c r="K71" i="8"/>
  <c r="J71" i="8"/>
  <c r="I71" i="8"/>
  <c r="N70" i="8"/>
  <c r="M70" i="8"/>
  <c r="L70" i="8"/>
  <c r="K70" i="8"/>
  <c r="J70" i="8"/>
  <c r="I70" i="8"/>
  <c r="O70" i="8" s="1"/>
  <c r="M69" i="8"/>
  <c r="L69" i="8"/>
  <c r="K69" i="8"/>
  <c r="J69" i="8"/>
  <c r="I69" i="8"/>
  <c r="M68" i="8"/>
  <c r="L68" i="8"/>
  <c r="K68" i="8"/>
  <c r="J68" i="8"/>
  <c r="I68" i="8"/>
  <c r="O68" i="8" s="1"/>
  <c r="M67" i="8"/>
  <c r="L67" i="8"/>
  <c r="K67" i="8"/>
  <c r="J67" i="8"/>
  <c r="I67" i="8"/>
  <c r="N66" i="8"/>
  <c r="M66" i="8"/>
  <c r="L66" i="8"/>
  <c r="K66" i="8"/>
  <c r="J66" i="8"/>
  <c r="I66" i="8"/>
  <c r="O66" i="8" s="1"/>
  <c r="M65" i="8"/>
  <c r="L65" i="8"/>
  <c r="K65" i="8"/>
  <c r="J65" i="8"/>
  <c r="I65" i="8"/>
  <c r="M64" i="8"/>
  <c r="L64" i="8"/>
  <c r="K64" i="8"/>
  <c r="J64" i="8"/>
  <c r="I64" i="8"/>
  <c r="O64" i="8" s="1"/>
  <c r="M63" i="8"/>
  <c r="L63" i="8"/>
  <c r="K63" i="8"/>
  <c r="J63" i="8"/>
  <c r="I63" i="8"/>
  <c r="N62" i="8"/>
  <c r="M62" i="8"/>
  <c r="L62" i="8"/>
  <c r="K62" i="8"/>
  <c r="J62" i="8"/>
  <c r="I62" i="8"/>
  <c r="O62" i="8" s="1"/>
  <c r="M61" i="8"/>
  <c r="L61" i="8"/>
  <c r="K61" i="8"/>
  <c r="J61" i="8"/>
  <c r="I61" i="8"/>
  <c r="N60" i="8"/>
  <c r="M60" i="8"/>
  <c r="L60" i="8"/>
  <c r="K60" i="8"/>
  <c r="J60" i="8"/>
  <c r="I60" i="8"/>
  <c r="O60" i="8" s="1"/>
  <c r="M59" i="8"/>
  <c r="L59" i="8"/>
  <c r="K59" i="8"/>
  <c r="J59" i="8"/>
  <c r="I59" i="8"/>
  <c r="O58" i="8"/>
  <c r="N58" i="8"/>
  <c r="M58" i="8"/>
  <c r="L58" i="8"/>
  <c r="K58" i="8"/>
  <c r="J58" i="8"/>
  <c r="I58" i="8"/>
  <c r="N57" i="8"/>
  <c r="M57" i="8"/>
  <c r="L57" i="8"/>
  <c r="K57" i="8"/>
  <c r="J57" i="8"/>
  <c r="I57" i="8"/>
  <c r="O57" i="8" s="1"/>
  <c r="M56" i="8"/>
  <c r="L56" i="8"/>
  <c r="K56" i="8"/>
  <c r="J56" i="8"/>
  <c r="I56" i="8"/>
  <c r="O56" i="8" s="1"/>
  <c r="M55" i="8"/>
  <c r="L55" i="8"/>
  <c r="K55" i="8"/>
  <c r="J55" i="8"/>
  <c r="I55" i="8"/>
  <c r="O54" i="8"/>
  <c r="N54" i="8"/>
  <c r="M54" i="8"/>
  <c r="L54" i="8"/>
  <c r="K54" i="8"/>
  <c r="J54" i="8"/>
  <c r="I54" i="8"/>
  <c r="N53" i="8"/>
  <c r="M53" i="8"/>
  <c r="L53" i="8"/>
  <c r="K53" i="8"/>
  <c r="J53" i="8"/>
  <c r="I53" i="8"/>
  <c r="O53" i="8" s="1"/>
  <c r="M52" i="8"/>
  <c r="L52" i="8"/>
  <c r="K52" i="8"/>
  <c r="J52" i="8"/>
  <c r="I52" i="8"/>
  <c r="O52" i="8" s="1"/>
  <c r="M51" i="8"/>
  <c r="L51" i="8"/>
  <c r="K51" i="8"/>
  <c r="J51" i="8"/>
  <c r="I51" i="8"/>
  <c r="O50" i="8"/>
  <c r="N50" i="8"/>
  <c r="M50" i="8"/>
  <c r="L50" i="8"/>
  <c r="K50" i="8"/>
  <c r="J50" i="8"/>
  <c r="I50" i="8"/>
  <c r="N49" i="8"/>
  <c r="M49" i="8"/>
  <c r="L49" i="8"/>
  <c r="K49" i="8"/>
  <c r="J49" i="8"/>
  <c r="I49" i="8"/>
  <c r="O49" i="8" s="1"/>
  <c r="M48" i="8"/>
  <c r="L48" i="8"/>
  <c r="K48" i="8"/>
  <c r="J48" i="8"/>
  <c r="I48" i="8"/>
  <c r="O48" i="8" s="1"/>
  <c r="M47" i="8"/>
  <c r="L47" i="8"/>
  <c r="K47" i="8"/>
  <c r="J47" i="8"/>
  <c r="I47" i="8"/>
  <c r="O46" i="8"/>
  <c r="M46" i="8"/>
  <c r="L46" i="8"/>
  <c r="K46" i="8"/>
  <c r="J46" i="8"/>
  <c r="I46" i="8"/>
  <c r="N46" i="8" s="1"/>
  <c r="M45" i="8"/>
  <c r="L45" i="8"/>
  <c r="K45" i="8"/>
  <c r="J45" i="8"/>
  <c r="I45" i="8"/>
  <c r="O45" i="8" s="1"/>
  <c r="N44" i="8"/>
  <c r="M44" i="8"/>
  <c r="L44" i="8"/>
  <c r="K44" i="8"/>
  <c r="J44" i="8"/>
  <c r="I44" i="8"/>
  <c r="O44" i="8" s="1"/>
  <c r="M43" i="8"/>
  <c r="L43" i="8"/>
  <c r="K43" i="8"/>
  <c r="J43" i="8"/>
  <c r="I43" i="8"/>
  <c r="N43" i="8" s="1"/>
  <c r="N42" i="8"/>
  <c r="M42" i="8"/>
  <c r="L42" i="8"/>
  <c r="K42" i="8"/>
  <c r="J42" i="8"/>
  <c r="I42" i="8"/>
  <c r="O42" i="8" s="1"/>
  <c r="M41" i="8"/>
  <c r="L41" i="8"/>
  <c r="K41" i="8"/>
  <c r="J41" i="8"/>
  <c r="I41" i="8"/>
  <c r="M40" i="8"/>
  <c r="L40" i="8"/>
  <c r="K40" i="8"/>
  <c r="J40" i="8"/>
  <c r="I40" i="8"/>
  <c r="O40" i="8" s="1"/>
  <c r="O39" i="8"/>
  <c r="M39" i="8"/>
  <c r="L39" i="8"/>
  <c r="K39" i="8"/>
  <c r="J39" i="8"/>
  <c r="I39" i="8"/>
  <c r="N39" i="8" s="1"/>
  <c r="O38" i="8"/>
  <c r="N38" i="8"/>
  <c r="M38" i="8"/>
  <c r="L38" i="8"/>
  <c r="K38" i="8"/>
  <c r="J38" i="8"/>
  <c r="I38" i="8"/>
  <c r="M37" i="8"/>
  <c r="L37" i="8"/>
  <c r="K37" i="8"/>
  <c r="J37" i="8"/>
  <c r="I37" i="8"/>
  <c r="O37" i="8" s="1"/>
  <c r="M36" i="8"/>
  <c r="L36" i="8"/>
  <c r="K36" i="8"/>
  <c r="J36" i="8"/>
  <c r="I36" i="8"/>
  <c r="O36" i="8" s="1"/>
  <c r="M35" i="8"/>
  <c r="L35" i="8"/>
  <c r="K35" i="8"/>
  <c r="J35" i="8"/>
  <c r="I35" i="8"/>
  <c r="N35" i="8" s="1"/>
  <c r="M34" i="8"/>
  <c r="L34" i="8"/>
  <c r="K34" i="8"/>
  <c r="J34" i="8"/>
  <c r="I34" i="8"/>
  <c r="O34" i="8" s="1"/>
  <c r="O33" i="8"/>
  <c r="M33" i="8"/>
  <c r="L33" i="8"/>
  <c r="K33" i="8"/>
  <c r="J33" i="8"/>
  <c r="I33" i="8"/>
  <c r="N33" i="8" s="1"/>
  <c r="M32" i="8"/>
  <c r="L32" i="8"/>
  <c r="K32" i="8"/>
  <c r="J32" i="8"/>
  <c r="I32" i="8"/>
  <c r="O32" i="8" s="1"/>
  <c r="O31" i="8"/>
  <c r="M31" i="8"/>
  <c r="L31" i="8"/>
  <c r="K31" i="8"/>
  <c r="J31" i="8"/>
  <c r="I31" i="8"/>
  <c r="N31" i="8" s="1"/>
  <c r="M30" i="8"/>
  <c r="L30" i="8"/>
  <c r="K30" i="8"/>
  <c r="J30" i="8"/>
  <c r="I30" i="8"/>
  <c r="O30" i="8" s="1"/>
  <c r="M29" i="8"/>
  <c r="L29" i="8"/>
  <c r="K29" i="8"/>
  <c r="J29" i="8"/>
  <c r="I29" i="8"/>
  <c r="O29" i="8" s="1"/>
  <c r="N28" i="8"/>
  <c r="M28" i="8"/>
  <c r="L28" i="8"/>
  <c r="K28" i="8"/>
  <c r="J28" i="8"/>
  <c r="I28" i="8"/>
  <c r="O28" i="8" s="1"/>
  <c r="M27" i="8"/>
  <c r="L27" i="8"/>
  <c r="K27" i="8"/>
  <c r="J27" i="8"/>
  <c r="I27" i="8"/>
  <c r="N27" i="8" s="1"/>
  <c r="N26" i="8"/>
  <c r="M26" i="8"/>
  <c r="L26" i="8"/>
  <c r="K26" i="8"/>
  <c r="J26" i="8"/>
  <c r="I26" i="8"/>
  <c r="O26" i="8" s="1"/>
  <c r="M25" i="8"/>
  <c r="L25" i="8"/>
  <c r="K25" i="8"/>
  <c r="J25" i="8"/>
  <c r="I25" i="8"/>
  <c r="N25" i="8" s="1"/>
  <c r="M24" i="8"/>
  <c r="L24" i="8"/>
  <c r="K24" i="8"/>
  <c r="J24" i="8"/>
  <c r="I24" i="8"/>
  <c r="O24" i="8" s="1"/>
  <c r="O23" i="8"/>
  <c r="M23" i="8"/>
  <c r="L23" i="8"/>
  <c r="K23" i="8"/>
  <c r="J23" i="8"/>
  <c r="I23" i="8"/>
  <c r="N23" i="8" s="1"/>
  <c r="O22" i="8"/>
  <c r="N22" i="8"/>
  <c r="M22" i="8"/>
  <c r="L22" i="8"/>
  <c r="K22" i="8"/>
  <c r="J22" i="8"/>
  <c r="I22" i="8"/>
  <c r="M21" i="8"/>
  <c r="L21" i="8"/>
  <c r="K21" i="8"/>
  <c r="J21" i="8"/>
  <c r="I21" i="8"/>
  <c r="M20" i="8"/>
  <c r="L20" i="8"/>
  <c r="K20" i="8"/>
  <c r="J20" i="8"/>
  <c r="I20" i="8"/>
  <c r="O20" i="8" s="1"/>
  <c r="M19" i="8"/>
  <c r="L19" i="8"/>
  <c r="K19" i="8"/>
  <c r="J19" i="8"/>
  <c r="I19" i="8"/>
  <c r="N19" i="8" s="1"/>
  <c r="M18" i="8"/>
  <c r="L18" i="8"/>
  <c r="K18" i="8"/>
  <c r="J18" i="8"/>
  <c r="I18" i="8"/>
  <c r="O18" i="8" s="1"/>
  <c r="N17" i="8"/>
  <c r="M17" i="8"/>
  <c r="L17" i="8"/>
  <c r="K17" i="8"/>
  <c r="J17" i="8"/>
  <c r="I17" i="8"/>
  <c r="O17" i="8" s="1"/>
  <c r="L16" i="8"/>
  <c r="K16" i="8"/>
  <c r="J16" i="8"/>
  <c r="I16" i="8"/>
  <c r="L15" i="8"/>
  <c r="K15" i="8"/>
  <c r="J15" i="8"/>
  <c r="I15" i="8"/>
  <c r="L14" i="8"/>
  <c r="K14" i="8"/>
  <c r="J14" i="8"/>
  <c r="I14" i="8"/>
  <c r="L13" i="8"/>
  <c r="K13" i="8"/>
  <c r="J13" i="8"/>
  <c r="I13" i="8"/>
  <c r="M12" i="8"/>
  <c r="L12" i="8"/>
  <c r="K12" i="8"/>
  <c r="J12" i="8"/>
  <c r="I12" i="8"/>
  <c r="O12" i="8" s="1"/>
  <c r="O11" i="8"/>
  <c r="M11" i="8"/>
  <c r="L11" i="8"/>
  <c r="K11" i="8"/>
  <c r="J11" i="8"/>
  <c r="I11" i="8"/>
  <c r="N11" i="8" s="1"/>
  <c r="M10" i="8"/>
  <c r="L10" i="8"/>
  <c r="K10" i="8"/>
  <c r="J10" i="8"/>
  <c r="I10" i="8"/>
  <c r="O10" i="8" s="1"/>
  <c r="O9" i="8"/>
  <c r="M9" i="8"/>
  <c r="L9" i="8"/>
  <c r="K9" i="8"/>
  <c r="J9" i="8"/>
  <c r="I9" i="8"/>
  <c r="N9" i="8" s="1"/>
  <c r="M8" i="8"/>
  <c r="L8" i="8"/>
  <c r="K8" i="8"/>
  <c r="J8" i="8"/>
  <c r="I8" i="8"/>
  <c r="O8" i="8" s="1"/>
  <c r="M7" i="8"/>
  <c r="L7" i="8"/>
  <c r="K7" i="8"/>
  <c r="J7" i="8"/>
  <c r="I7" i="8"/>
  <c r="N7" i="8" s="1"/>
  <c r="M6" i="8"/>
  <c r="L6" i="8"/>
  <c r="K6" i="8"/>
  <c r="J6" i="8"/>
  <c r="I6" i="8"/>
  <c r="O6" i="8" s="1"/>
  <c r="N5" i="8"/>
  <c r="M5" i="8"/>
  <c r="L5" i="8"/>
  <c r="K5" i="8"/>
  <c r="J5" i="8"/>
  <c r="I5" i="8"/>
  <c r="O5" i="8" s="1"/>
  <c r="G5" i="8" s="1"/>
  <c r="H5" i="8" s="1"/>
  <c r="C5" i="8"/>
  <c r="B5" i="8"/>
  <c r="A5" i="8"/>
  <c r="E5" i="8" s="1"/>
  <c r="H32" i="7"/>
  <c r="F32" i="7"/>
  <c r="B22" i="7"/>
  <c r="O69" i="8" l="1"/>
  <c r="N69" i="8"/>
  <c r="N302" i="8"/>
  <c r="O302" i="8"/>
  <c r="N310" i="8"/>
  <c r="O310" i="8"/>
  <c r="N318" i="8"/>
  <c r="O318" i="8"/>
  <c r="N8" i="8"/>
  <c r="N36" i="8"/>
  <c r="O41" i="8"/>
  <c r="N41" i="8"/>
  <c r="O73" i="8"/>
  <c r="O115" i="8"/>
  <c r="N115" i="8"/>
  <c r="O160" i="8"/>
  <c r="N160" i="8"/>
  <c r="O171" i="8"/>
  <c r="N171" i="8"/>
  <c r="O194" i="8"/>
  <c r="N194" i="8"/>
  <c r="N334" i="8"/>
  <c r="O334" i="8"/>
  <c r="O128" i="8"/>
  <c r="N128" i="8"/>
  <c r="O144" i="8"/>
  <c r="N144" i="8"/>
  <c r="N230" i="8"/>
  <c r="O230" i="8"/>
  <c r="N238" i="8"/>
  <c r="O238" i="8"/>
  <c r="N270" i="8"/>
  <c r="O270" i="8"/>
  <c r="N278" i="8"/>
  <c r="O278" i="8"/>
  <c r="N286" i="8"/>
  <c r="O286" i="8"/>
  <c r="N294" i="8"/>
  <c r="O294" i="8"/>
  <c r="N346" i="8"/>
  <c r="O346" i="8"/>
  <c r="N6" i="8"/>
  <c r="N10" i="8"/>
  <c r="N18" i="8"/>
  <c r="N20" i="8"/>
  <c r="K1" i="8"/>
  <c r="N21" i="8"/>
  <c r="O21" i="8"/>
  <c r="O25" i="8"/>
  <c r="N30" i="8"/>
  <c r="N34" i="8"/>
  <c r="O61" i="8"/>
  <c r="N61" i="8"/>
  <c r="O119" i="8"/>
  <c r="N119" i="8"/>
  <c r="O130" i="8"/>
  <c r="N130" i="8"/>
  <c r="O146" i="8"/>
  <c r="N146" i="8"/>
  <c r="O176" i="8"/>
  <c r="N176" i="8"/>
  <c r="O187" i="8"/>
  <c r="N187" i="8"/>
  <c r="N210" i="8"/>
  <c r="O210" i="8"/>
  <c r="N218" i="8"/>
  <c r="O218" i="8"/>
  <c r="N226" i="8"/>
  <c r="O226" i="8"/>
  <c r="N234" i="8"/>
  <c r="O234" i="8"/>
  <c r="N242" i="8"/>
  <c r="O242" i="8"/>
  <c r="N250" i="8"/>
  <c r="O250" i="8"/>
  <c r="N258" i="8"/>
  <c r="O258" i="8"/>
  <c r="N266" i="8"/>
  <c r="O266" i="8"/>
  <c r="N274" i="8"/>
  <c r="O274" i="8"/>
  <c r="N282" i="8"/>
  <c r="O282" i="8"/>
  <c r="N290" i="8"/>
  <c r="O290" i="8"/>
  <c r="N298" i="8"/>
  <c r="O298" i="8"/>
  <c r="N306" i="8"/>
  <c r="O306" i="8"/>
  <c r="N314" i="8"/>
  <c r="O314" i="8"/>
  <c r="N322" i="8"/>
  <c r="O322" i="8"/>
  <c r="N338" i="8"/>
  <c r="O338" i="8"/>
  <c r="O111" i="8"/>
  <c r="N111" i="8"/>
  <c r="O155" i="8"/>
  <c r="N155" i="8"/>
  <c r="O178" i="8"/>
  <c r="N178" i="8"/>
  <c r="N214" i="8"/>
  <c r="O214" i="8"/>
  <c r="N222" i="8"/>
  <c r="O222" i="8"/>
  <c r="N246" i="8"/>
  <c r="O246" i="8"/>
  <c r="N254" i="8"/>
  <c r="O254" i="8"/>
  <c r="N262" i="8"/>
  <c r="O262" i="8"/>
  <c r="N330" i="8"/>
  <c r="O330" i="8"/>
  <c r="O65" i="8"/>
  <c r="N65" i="8"/>
  <c r="O123" i="8"/>
  <c r="N123" i="8"/>
  <c r="O139" i="8"/>
  <c r="N139" i="8"/>
  <c r="O162" i="8"/>
  <c r="N162" i="8"/>
  <c r="O192" i="8"/>
  <c r="N192" i="8"/>
  <c r="O203" i="8"/>
  <c r="N203" i="8"/>
  <c r="N326" i="8"/>
  <c r="O326" i="8"/>
  <c r="N342" i="8"/>
  <c r="O342" i="8"/>
  <c r="N207" i="8"/>
  <c r="N325" i="8"/>
  <c r="N329" i="8"/>
  <c r="N333" i="8"/>
  <c r="N337" i="8"/>
  <c r="N341" i="8"/>
  <c r="N345" i="8"/>
  <c r="O349" i="8"/>
  <c r="N352" i="8"/>
  <c r="O357" i="8"/>
  <c r="N360" i="8"/>
  <c r="O365" i="8"/>
  <c r="N368" i="8"/>
  <c r="O373" i="8"/>
  <c r="D5" i="8"/>
  <c r="O51" i="8"/>
  <c r="N51" i="8"/>
  <c r="O181" i="8"/>
  <c r="N181" i="8"/>
  <c r="N48" i="8"/>
  <c r="O55" i="8"/>
  <c r="N55" i="8"/>
  <c r="N64" i="8"/>
  <c r="O71" i="8"/>
  <c r="N71" i="8"/>
  <c r="O74" i="8"/>
  <c r="N74" i="8"/>
  <c r="N114" i="8"/>
  <c r="O121" i="8"/>
  <c r="N121" i="8"/>
  <c r="O137" i="8"/>
  <c r="N137" i="8"/>
  <c r="O153" i="8"/>
  <c r="N153" i="8"/>
  <c r="O169" i="8"/>
  <c r="N169" i="8"/>
  <c r="O185" i="8"/>
  <c r="N185" i="8"/>
  <c r="O201" i="8"/>
  <c r="N201" i="8"/>
  <c r="O67" i="8"/>
  <c r="N67" i="8"/>
  <c r="O117" i="8"/>
  <c r="N117" i="8"/>
  <c r="O133" i="8"/>
  <c r="N133" i="8"/>
  <c r="O149" i="8"/>
  <c r="N149" i="8"/>
  <c r="O165" i="8"/>
  <c r="N165" i="8"/>
  <c r="O197" i="8"/>
  <c r="N197" i="8"/>
  <c r="O351" i="8"/>
  <c r="N351" i="8"/>
  <c r="O359" i="8"/>
  <c r="N359" i="8"/>
  <c r="O367" i="8"/>
  <c r="N367" i="8"/>
  <c r="L1" i="8"/>
  <c r="M1" i="8" s="1"/>
  <c r="O7" i="8"/>
  <c r="N12" i="8"/>
  <c r="O19" i="8"/>
  <c r="N24" i="8"/>
  <c r="O27" i="8"/>
  <c r="N29" i="8"/>
  <c r="N32" i="8"/>
  <c r="O35" i="8"/>
  <c r="N37" i="8"/>
  <c r="N40" i="8"/>
  <c r="O43" i="8"/>
  <c r="N45" i="8"/>
  <c r="N52" i="8"/>
  <c r="O59" i="8"/>
  <c r="N59" i="8"/>
  <c r="N68" i="8"/>
  <c r="O109" i="8"/>
  <c r="N109" i="8"/>
  <c r="N118" i="8"/>
  <c r="O125" i="8"/>
  <c r="N125" i="8"/>
  <c r="O141" i="8"/>
  <c r="N141" i="8"/>
  <c r="O157" i="8"/>
  <c r="N157" i="8"/>
  <c r="O173" i="8"/>
  <c r="N173" i="8"/>
  <c r="O189" i="8"/>
  <c r="N189" i="8"/>
  <c r="O205" i="8"/>
  <c r="N205" i="8"/>
  <c r="O47" i="8"/>
  <c r="N47" i="8"/>
  <c r="N56" i="8"/>
  <c r="O63" i="8"/>
  <c r="N63" i="8"/>
  <c r="N72" i="8"/>
  <c r="N75" i="8"/>
  <c r="O113" i="8"/>
  <c r="N113" i="8"/>
  <c r="N122" i="8"/>
  <c r="O129" i="8"/>
  <c r="N129" i="8"/>
  <c r="O145" i="8"/>
  <c r="N145" i="8"/>
  <c r="O161" i="8"/>
  <c r="N161" i="8"/>
  <c r="O177" i="8"/>
  <c r="N177" i="8"/>
  <c r="O193" i="8"/>
  <c r="N193" i="8"/>
  <c r="O211" i="8"/>
  <c r="N211" i="8"/>
  <c r="O215" i="8"/>
  <c r="N215" i="8"/>
  <c r="O219" i="8"/>
  <c r="N219" i="8"/>
  <c r="O223" i="8"/>
  <c r="N223" i="8"/>
  <c r="O227" i="8"/>
  <c r="N227" i="8"/>
  <c r="O231" i="8"/>
  <c r="N231" i="8"/>
  <c r="O235" i="8"/>
  <c r="N235" i="8"/>
  <c r="O239" i="8"/>
  <c r="N239" i="8"/>
  <c r="O243" i="8"/>
  <c r="N243" i="8"/>
  <c r="O247" i="8"/>
  <c r="N247" i="8"/>
  <c r="O251" i="8"/>
  <c r="N251" i="8"/>
  <c r="O255" i="8"/>
  <c r="N255" i="8"/>
  <c r="O259" i="8"/>
  <c r="N259" i="8"/>
  <c r="O263" i="8"/>
  <c r="N263" i="8"/>
  <c r="O267" i="8"/>
  <c r="N267" i="8"/>
  <c r="O271" i="8"/>
  <c r="N271" i="8"/>
  <c r="O275" i="8"/>
  <c r="N275" i="8"/>
  <c r="O279" i="8"/>
  <c r="N279" i="8"/>
  <c r="O283" i="8"/>
  <c r="N283" i="8"/>
  <c r="O287" i="8"/>
  <c r="N287" i="8"/>
  <c r="O291" i="8"/>
  <c r="N291" i="8"/>
  <c r="O295" i="8"/>
  <c r="N295" i="8"/>
  <c r="O299" i="8"/>
  <c r="N299" i="8"/>
  <c r="O303" i="8"/>
  <c r="N303" i="8"/>
  <c r="O307" i="8"/>
  <c r="N307" i="8"/>
  <c r="O311" i="8"/>
  <c r="N311" i="8"/>
  <c r="O315" i="8"/>
  <c r="N315" i="8"/>
  <c r="O319" i="8"/>
  <c r="N319" i="8"/>
  <c r="O323" i="8"/>
  <c r="N323" i="8"/>
  <c r="O327" i="8"/>
  <c r="N327" i="8"/>
  <c r="O331" i="8"/>
  <c r="N331" i="8"/>
  <c r="O335" i="8"/>
  <c r="N335" i="8"/>
  <c r="O339" i="8"/>
  <c r="N339" i="8"/>
  <c r="O343" i="8"/>
  <c r="N343" i="8"/>
  <c r="O347" i="8"/>
  <c r="N347" i="8"/>
  <c r="O355" i="8"/>
  <c r="N355" i="8"/>
  <c r="O363" i="8"/>
  <c r="N363" i="8"/>
  <c r="O371" i="8"/>
  <c r="N371" i="8"/>
  <c r="N350" i="8"/>
  <c r="N354" i="8"/>
  <c r="N358" i="8"/>
  <c r="N362" i="8"/>
  <c r="N366" i="8"/>
  <c r="N370" i="8"/>
  <c r="N374" i="8"/>
  <c r="Q1257" i="1" l="1"/>
  <c r="B2" i="5" l="1"/>
  <c r="C2" i="5"/>
  <c r="D2" i="5"/>
  <c r="E2" i="5"/>
  <c r="F2" i="5"/>
  <c r="B3" i="5"/>
  <c r="C3" i="5"/>
  <c r="D3" i="5"/>
  <c r="E3" i="5"/>
  <c r="F3" i="5"/>
  <c r="A7" i="6" l="1"/>
  <c r="A10" i="1" l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9" i="1"/>
  <c r="A3" i="6"/>
  <c r="A4" i="6"/>
  <c r="A5" i="6"/>
  <c r="A6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2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R579" i="6"/>
  <c r="R580" i="6"/>
  <c r="R581" i="6"/>
  <c r="R582" i="6"/>
  <c r="R583" i="6"/>
  <c r="R584" i="6"/>
  <c r="R585" i="6"/>
  <c r="R586" i="6"/>
  <c r="R587" i="6"/>
  <c r="R588" i="6"/>
  <c r="R589" i="6"/>
  <c r="R590" i="6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R912" i="6"/>
  <c r="R913" i="6"/>
  <c r="R914" i="6"/>
  <c r="R915" i="6"/>
  <c r="R916" i="6"/>
  <c r="R917" i="6"/>
  <c r="R918" i="6"/>
  <c r="R919" i="6"/>
  <c r="R920" i="6"/>
  <c r="R921" i="6"/>
  <c r="R922" i="6"/>
  <c r="R923" i="6"/>
  <c r="R924" i="6"/>
  <c r="R925" i="6"/>
  <c r="R926" i="6"/>
  <c r="R927" i="6"/>
  <c r="R928" i="6"/>
  <c r="R929" i="6"/>
  <c r="R930" i="6"/>
  <c r="R931" i="6"/>
  <c r="R932" i="6"/>
  <c r="R933" i="6"/>
  <c r="R934" i="6"/>
  <c r="R935" i="6"/>
  <c r="R936" i="6"/>
  <c r="R937" i="6"/>
  <c r="R938" i="6"/>
  <c r="R939" i="6"/>
  <c r="R940" i="6"/>
  <c r="R941" i="6"/>
  <c r="R942" i="6"/>
  <c r="R943" i="6"/>
  <c r="R944" i="6"/>
  <c r="R945" i="6"/>
  <c r="R946" i="6"/>
  <c r="R947" i="6"/>
  <c r="R948" i="6"/>
  <c r="R949" i="6"/>
  <c r="R950" i="6"/>
  <c r="R951" i="6"/>
  <c r="R952" i="6"/>
  <c r="R953" i="6"/>
  <c r="R954" i="6"/>
  <c r="R955" i="6"/>
  <c r="R956" i="6"/>
  <c r="R957" i="6"/>
  <c r="R958" i="6"/>
  <c r="R959" i="6"/>
  <c r="R960" i="6"/>
  <c r="R961" i="6"/>
  <c r="R962" i="6"/>
  <c r="R963" i="6"/>
  <c r="R964" i="6"/>
  <c r="R965" i="6"/>
  <c r="R966" i="6"/>
  <c r="R967" i="6"/>
  <c r="R968" i="6"/>
  <c r="R969" i="6"/>
  <c r="R970" i="6"/>
  <c r="R971" i="6"/>
  <c r="R972" i="6"/>
  <c r="R973" i="6"/>
  <c r="R974" i="6"/>
  <c r="R975" i="6"/>
  <c r="R976" i="6"/>
  <c r="R977" i="6"/>
  <c r="R978" i="6"/>
  <c r="R979" i="6"/>
  <c r="R980" i="6"/>
  <c r="R981" i="6"/>
  <c r="R982" i="6"/>
  <c r="R983" i="6"/>
  <c r="R984" i="6"/>
  <c r="R985" i="6"/>
  <c r="R986" i="6"/>
  <c r="R987" i="6"/>
  <c r="R988" i="6"/>
  <c r="R989" i="6"/>
  <c r="R990" i="6"/>
  <c r="R991" i="6"/>
  <c r="R992" i="6"/>
  <c r="R993" i="6"/>
  <c r="R994" i="6"/>
  <c r="R995" i="6"/>
  <c r="R996" i="6"/>
  <c r="R997" i="6"/>
  <c r="R998" i="6"/>
  <c r="R999" i="6"/>
  <c r="R1000" i="6"/>
  <c r="R1001" i="6"/>
  <c r="R1002" i="6"/>
  <c r="R1003" i="6"/>
  <c r="R1004" i="6"/>
  <c r="R1005" i="6"/>
  <c r="R1006" i="6"/>
  <c r="R1007" i="6"/>
  <c r="R1008" i="6"/>
  <c r="R1009" i="6"/>
  <c r="R1010" i="6"/>
  <c r="R1011" i="6"/>
  <c r="R1012" i="6"/>
  <c r="R1013" i="6"/>
  <c r="R1014" i="6"/>
  <c r="R1015" i="6"/>
  <c r="R1016" i="6"/>
  <c r="R1017" i="6"/>
  <c r="R1018" i="6"/>
  <c r="R1019" i="6"/>
  <c r="R1020" i="6"/>
  <c r="R1021" i="6"/>
  <c r="R1022" i="6"/>
  <c r="R1023" i="6"/>
  <c r="R1024" i="6"/>
  <c r="R1025" i="6"/>
  <c r="R1026" i="6"/>
  <c r="R1027" i="6"/>
  <c r="R1028" i="6"/>
  <c r="R1029" i="6"/>
  <c r="R1030" i="6"/>
  <c r="R1031" i="6"/>
  <c r="R1032" i="6"/>
  <c r="R1033" i="6"/>
  <c r="R1034" i="6"/>
  <c r="R1035" i="6"/>
  <c r="R1036" i="6"/>
  <c r="R1037" i="6"/>
  <c r="R1038" i="6"/>
  <c r="R1039" i="6"/>
  <c r="R1040" i="6"/>
  <c r="R1041" i="6"/>
  <c r="R1042" i="6"/>
  <c r="R1043" i="6"/>
  <c r="R1044" i="6"/>
  <c r="R1045" i="6"/>
  <c r="R1046" i="6"/>
  <c r="R1047" i="6"/>
  <c r="R1048" i="6"/>
  <c r="R1049" i="6"/>
  <c r="R1050" i="6"/>
  <c r="R1051" i="6"/>
  <c r="R1052" i="6"/>
  <c r="R1053" i="6"/>
  <c r="R1054" i="6"/>
  <c r="R1055" i="6"/>
  <c r="R1056" i="6"/>
  <c r="R1057" i="6"/>
  <c r="R1058" i="6"/>
  <c r="R1059" i="6"/>
  <c r="R1060" i="6"/>
  <c r="R1061" i="6"/>
  <c r="R1062" i="6"/>
  <c r="R1063" i="6"/>
  <c r="R1064" i="6"/>
  <c r="R1065" i="6"/>
  <c r="R1066" i="6"/>
  <c r="R1067" i="6"/>
  <c r="R1068" i="6"/>
  <c r="R1069" i="6"/>
  <c r="R1070" i="6"/>
  <c r="R1071" i="6"/>
  <c r="R1072" i="6"/>
  <c r="R1073" i="6"/>
  <c r="R1074" i="6"/>
  <c r="R1075" i="6"/>
  <c r="R1076" i="6"/>
  <c r="R1077" i="6"/>
  <c r="R1078" i="6"/>
  <c r="R1079" i="6"/>
  <c r="R1080" i="6"/>
  <c r="R1081" i="6"/>
  <c r="R1082" i="6"/>
  <c r="R1083" i="6"/>
  <c r="R1084" i="6"/>
  <c r="R1085" i="6"/>
  <c r="R1086" i="6"/>
  <c r="R1087" i="6"/>
  <c r="R1088" i="6"/>
  <c r="R1089" i="6"/>
  <c r="R1090" i="6"/>
  <c r="R1091" i="6"/>
  <c r="R1092" i="6"/>
  <c r="R1093" i="6"/>
  <c r="R1094" i="6"/>
  <c r="R1095" i="6"/>
  <c r="R1096" i="6"/>
  <c r="R1097" i="6"/>
  <c r="R1098" i="6"/>
  <c r="R1099" i="6"/>
  <c r="R1100" i="6"/>
  <c r="R1101" i="6"/>
  <c r="R1102" i="6"/>
  <c r="R1103" i="6"/>
  <c r="R1104" i="6"/>
  <c r="R1105" i="6"/>
  <c r="R1106" i="6"/>
  <c r="R1107" i="6"/>
  <c r="R1108" i="6"/>
  <c r="R1109" i="6"/>
  <c r="R1110" i="6"/>
  <c r="R1111" i="6"/>
  <c r="R1112" i="6"/>
  <c r="R1113" i="6"/>
  <c r="R1114" i="6"/>
  <c r="R1115" i="6"/>
  <c r="R1116" i="6"/>
  <c r="R1117" i="6"/>
  <c r="R1118" i="6"/>
  <c r="R1119" i="6"/>
  <c r="R1120" i="6"/>
  <c r="R1121" i="6"/>
  <c r="R1122" i="6"/>
  <c r="R1123" i="6"/>
  <c r="R1124" i="6"/>
  <c r="R1125" i="6"/>
  <c r="R1126" i="6"/>
  <c r="R1127" i="6"/>
  <c r="R1128" i="6"/>
  <c r="R1129" i="6"/>
  <c r="R1130" i="6"/>
  <c r="R1131" i="6"/>
  <c r="R1132" i="6"/>
  <c r="R1133" i="6"/>
  <c r="R1134" i="6"/>
  <c r="R1135" i="6"/>
  <c r="R1136" i="6"/>
  <c r="R1137" i="6"/>
  <c r="R1138" i="6"/>
  <c r="R1139" i="6"/>
  <c r="R1140" i="6"/>
  <c r="R1141" i="6"/>
  <c r="R1142" i="6"/>
  <c r="R1143" i="6"/>
  <c r="R1144" i="6"/>
  <c r="R1145" i="6"/>
  <c r="R1146" i="6"/>
  <c r="R1147" i="6"/>
  <c r="R1148" i="6"/>
  <c r="R1149" i="6"/>
  <c r="R1150" i="6"/>
  <c r="R1151" i="6"/>
  <c r="R1152" i="6"/>
  <c r="R1153" i="6"/>
  <c r="R1154" i="6"/>
  <c r="R1155" i="6"/>
  <c r="R1156" i="6"/>
  <c r="R1157" i="6"/>
  <c r="R1158" i="6"/>
  <c r="R1159" i="6"/>
  <c r="R1160" i="6"/>
  <c r="R1161" i="6"/>
  <c r="R1162" i="6"/>
  <c r="R1163" i="6"/>
  <c r="R1164" i="6"/>
  <c r="R1165" i="6"/>
  <c r="R1166" i="6"/>
  <c r="R1167" i="6"/>
  <c r="R1168" i="6"/>
  <c r="R1169" i="6"/>
  <c r="R1170" i="6"/>
  <c r="R1171" i="6"/>
  <c r="R1172" i="6"/>
  <c r="R1173" i="6"/>
  <c r="R1174" i="6"/>
  <c r="R1175" i="6"/>
  <c r="R1176" i="6"/>
  <c r="R1177" i="6"/>
  <c r="R1178" i="6"/>
  <c r="R1179" i="6"/>
  <c r="R1180" i="6"/>
  <c r="R1181" i="6"/>
  <c r="R1182" i="6"/>
  <c r="R1183" i="6"/>
  <c r="R1184" i="6"/>
  <c r="R1185" i="6"/>
  <c r="R1186" i="6"/>
  <c r="R1187" i="6"/>
  <c r="R1188" i="6"/>
  <c r="R1189" i="6"/>
  <c r="R1190" i="6"/>
  <c r="R1191" i="6"/>
  <c r="R1192" i="6"/>
  <c r="R1193" i="6"/>
  <c r="R1194" i="6"/>
  <c r="R1195" i="6"/>
  <c r="R1196" i="6"/>
  <c r="R1197" i="6"/>
  <c r="R1198" i="6"/>
  <c r="R1199" i="6"/>
  <c r="R1200" i="6"/>
  <c r="R1201" i="6"/>
  <c r="R1202" i="6"/>
  <c r="R1203" i="6"/>
  <c r="R1204" i="6"/>
  <c r="R1205" i="6"/>
  <c r="R1206" i="6"/>
  <c r="R1207" i="6"/>
  <c r="R1208" i="6"/>
  <c r="R1209" i="6"/>
  <c r="R1210" i="6"/>
  <c r="R1211" i="6"/>
  <c r="R1212" i="6"/>
  <c r="R1213" i="6"/>
  <c r="R1214" i="6"/>
  <c r="R1215" i="6"/>
  <c r="R1216" i="6"/>
  <c r="R1217" i="6"/>
  <c r="R1218" i="6"/>
  <c r="R1219" i="6"/>
  <c r="R1220" i="6"/>
  <c r="R1221" i="6"/>
  <c r="R1222" i="6"/>
  <c r="R1223" i="6"/>
  <c r="R1224" i="6"/>
  <c r="R1225" i="6"/>
  <c r="R1226" i="6"/>
  <c r="R1227" i="6"/>
  <c r="R1228" i="6"/>
  <c r="R1229" i="6"/>
  <c r="R1230" i="6"/>
  <c r="R1231" i="6"/>
  <c r="R1232" i="6"/>
  <c r="R1233" i="6"/>
  <c r="R1234" i="6"/>
  <c r="R1235" i="6"/>
  <c r="R1236" i="6"/>
  <c r="R1237" i="6"/>
  <c r="R1238" i="6"/>
  <c r="R1239" i="6"/>
  <c r="R1240" i="6"/>
  <c r="R1241" i="6"/>
  <c r="R1242" i="6"/>
  <c r="R1243" i="6"/>
  <c r="R1244" i="6"/>
  <c r="R1245" i="6"/>
  <c r="R1246" i="6"/>
  <c r="R1247" i="6"/>
  <c r="R1248" i="6"/>
  <c r="R1249" i="6"/>
  <c r="R1250" i="6"/>
  <c r="R1251" i="6"/>
  <c r="R1252" i="6"/>
  <c r="R1253" i="6"/>
  <c r="R1254" i="6"/>
  <c r="R1255" i="6"/>
  <c r="R1256" i="6"/>
  <c r="R1257" i="6"/>
  <c r="R1258" i="6"/>
  <c r="R1259" i="6"/>
  <c r="R1260" i="6"/>
  <c r="R1261" i="6"/>
  <c r="R1262" i="6"/>
  <c r="R1263" i="6"/>
  <c r="R1264" i="6"/>
  <c r="R1265" i="6"/>
  <c r="R1266" i="6"/>
  <c r="R1267" i="6"/>
  <c r="R1268" i="6"/>
  <c r="R1269" i="6"/>
  <c r="R1270" i="6"/>
  <c r="R1271" i="6"/>
  <c r="R1272" i="6"/>
  <c r="R1273" i="6"/>
  <c r="R1274" i="6"/>
  <c r="R1275" i="6"/>
  <c r="R1276" i="6"/>
  <c r="R1277" i="6"/>
  <c r="R1278" i="6"/>
  <c r="R1279" i="6"/>
  <c r="R1280" i="6"/>
  <c r="R1281" i="6"/>
  <c r="R1282" i="6"/>
  <c r="R1283" i="6"/>
  <c r="R1284" i="6"/>
  <c r="R1285" i="6"/>
  <c r="R1286" i="6"/>
  <c r="R1287" i="6"/>
  <c r="R1288" i="6"/>
  <c r="R1289" i="6"/>
  <c r="R1290" i="6"/>
  <c r="R1291" i="6"/>
  <c r="R1292" i="6"/>
  <c r="R1293" i="6"/>
  <c r="R1294" i="6"/>
  <c r="R1295" i="6"/>
  <c r="R1296" i="6"/>
  <c r="R1297" i="6"/>
  <c r="R1298" i="6"/>
  <c r="R1299" i="6"/>
  <c r="R1300" i="6"/>
  <c r="R1301" i="6"/>
  <c r="R1302" i="6"/>
  <c r="R1303" i="6"/>
  <c r="R1304" i="6"/>
  <c r="R1305" i="6"/>
  <c r="R1306" i="6"/>
  <c r="R1307" i="6"/>
  <c r="R1308" i="6"/>
  <c r="R1309" i="6"/>
  <c r="R1310" i="6"/>
  <c r="R1311" i="6"/>
  <c r="R1312" i="6"/>
  <c r="R1313" i="6"/>
  <c r="R1314" i="6"/>
  <c r="R1315" i="6"/>
  <c r="R1316" i="6"/>
  <c r="R1317" i="6"/>
  <c r="R1318" i="6"/>
  <c r="R1319" i="6"/>
  <c r="R1320" i="6"/>
  <c r="R1321" i="6"/>
  <c r="R1322" i="6"/>
  <c r="R1323" i="6"/>
  <c r="R1324" i="6"/>
  <c r="R1325" i="6"/>
  <c r="R1326" i="6"/>
  <c r="R1327" i="6"/>
  <c r="R1328" i="6"/>
  <c r="R1329" i="6"/>
  <c r="R1330" i="6"/>
  <c r="R1331" i="6"/>
  <c r="R1332" i="6"/>
  <c r="R1333" i="6"/>
  <c r="R1334" i="6"/>
  <c r="R1335" i="6"/>
  <c r="R1336" i="6"/>
  <c r="R1337" i="6"/>
  <c r="R1338" i="6"/>
  <c r="R1339" i="6"/>
  <c r="R1340" i="6"/>
  <c r="R1341" i="6"/>
  <c r="R1342" i="6"/>
  <c r="R1343" i="6"/>
  <c r="R1344" i="6"/>
  <c r="R1345" i="6"/>
  <c r="R1346" i="6"/>
  <c r="R1347" i="6"/>
  <c r="R1348" i="6"/>
  <c r="R1349" i="6"/>
  <c r="R1350" i="6"/>
  <c r="R1351" i="6"/>
  <c r="R1352" i="6"/>
  <c r="R1353" i="6"/>
  <c r="R1354" i="6"/>
  <c r="R1355" i="6"/>
  <c r="R1356" i="6"/>
  <c r="R1357" i="6"/>
  <c r="R1358" i="6"/>
  <c r="R1359" i="6"/>
  <c r="R1360" i="6"/>
  <c r="R1361" i="6"/>
  <c r="R1362" i="6"/>
  <c r="R1363" i="6"/>
  <c r="R1364" i="6"/>
  <c r="R1365" i="6"/>
  <c r="R1366" i="6"/>
  <c r="R1367" i="6"/>
  <c r="R1368" i="6"/>
  <c r="R1369" i="6"/>
  <c r="R1370" i="6"/>
  <c r="R1371" i="6"/>
  <c r="R1372" i="6"/>
  <c r="R1373" i="6"/>
  <c r="R1374" i="6"/>
  <c r="R1375" i="6"/>
  <c r="R1376" i="6"/>
  <c r="R1377" i="6"/>
  <c r="R1378" i="6"/>
  <c r="R1379" i="6"/>
  <c r="R1380" i="6"/>
  <c r="R1381" i="6"/>
  <c r="R1382" i="6"/>
  <c r="R1383" i="6"/>
  <c r="R1384" i="6"/>
  <c r="R1385" i="6"/>
  <c r="R1386" i="6"/>
  <c r="R1387" i="6"/>
  <c r="R1388" i="6"/>
  <c r="R1389" i="6"/>
  <c r="R1390" i="6"/>
  <c r="R1391" i="6"/>
  <c r="R1392" i="6"/>
  <c r="R1393" i="6"/>
  <c r="R1394" i="6"/>
  <c r="R1395" i="6"/>
  <c r="R1396" i="6"/>
  <c r="R1397" i="6"/>
  <c r="R1398" i="6"/>
  <c r="R1399" i="6"/>
  <c r="R1400" i="6"/>
  <c r="R1401" i="6"/>
  <c r="R1402" i="6"/>
  <c r="R1403" i="6"/>
  <c r="R1404" i="6"/>
  <c r="R1405" i="6"/>
  <c r="R1406" i="6"/>
  <c r="R1407" i="6"/>
  <c r="R1408" i="6"/>
  <c r="R1409" i="6"/>
  <c r="R1410" i="6"/>
  <c r="R1411" i="6"/>
  <c r="R1412" i="6"/>
  <c r="R1413" i="6"/>
  <c r="R1414" i="6"/>
  <c r="R1415" i="6"/>
  <c r="R1416" i="6"/>
  <c r="R1417" i="6"/>
  <c r="R1418" i="6"/>
  <c r="R1419" i="6"/>
  <c r="R1420" i="6"/>
  <c r="R1421" i="6"/>
  <c r="R1422" i="6"/>
  <c r="R1423" i="6"/>
  <c r="R1424" i="6"/>
  <c r="R1425" i="6"/>
  <c r="R1426" i="6"/>
  <c r="R1427" i="6"/>
  <c r="R1428" i="6"/>
  <c r="R1429" i="6"/>
  <c r="R1430" i="6"/>
  <c r="R1431" i="6"/>
  <c r="R1432" i="6"/>
  <c r="R1433" i="6"/>
  <c r="R1434" i="6"/>
  <c r="R1435" i="6"/>
  <c r="R1436" i="6"/>
  <c r="R1437" i="6"/>
  <c r="R1438" i="6"/>
  <c r="R1439" i="6"/>
  <c r="R1440" i="6"/>
  <c r="R1441" i="6"/>
  <c r="R1442" i="6"/>
  <c r="R1443" i="6"/>
  <c r="R1444" i="6"/>
  <c r="R1445" i="6"/>
  <c r="R1446" i="6"/>
  <c r="R1447" i="6"/>
  <c r="R1448" i="6"/>
  <c r="R1449" i="6"/>
  <c r="R1450" i="6"/>
  <c r="R1451" i="6"/>
  <c r="R1452" i="6"/>
  <c r="R1453" i="6"/>
  <c r="R1454" i="6"/>
  <c r="R1455" i="6"/>
  <c r="R1456" i="6"/>
  <c r="R1457" i="6"/>
  <c r="R1458" i="6"/>
  <c r="R1459" i="6"/>
  <c r="R1460" i="6"/>
  <c r="R1461" i="6"/>
  <c r="R1462" i="6"/>
  <c r="R1463" i="6"/>
  <c r="R1464" i="6"/>
  <c r="R1465" i="6"/>
  <c r="R1466" i="6"/>
  <c r="R1467" i="6"/>
  <c r="R1468" i="6"/>
  <c r="R1469" i="6"/>
  <c r="R1470" i="6"/>
  <c r="R1471" i="6"/>
  <c r="R1472" i="6"/>
  <c r="R1473" i="6"/>
  <c r="R1474" i="6"/>
  <c r="R1475" i="6"/>
  <c r="R1476" i="6"/>
  <c r="R1477" i="6"/>
  <c r="R1478" i="6"/>
  <c r="R1479" i="6"/>
  <c r="R1480" i="6"/>
  <c r="R1481" i="6"/>
  <c r="R1482" i="6"/>
  <c r="R1483" i="6"/>
  <c r="R1484" i="6"/>
  <c r="R1485" i="6"/>
  <c r="R1486" i="6"/>
  <c r="R1487" i="6"/>
  <c r="R1488" i="6"/>
  <c r="R1489" i="6"/>
  <c r="R1490" i="6"/>
  <c r="R1491" i="6"/>
  <c r="R1492" i="6"/>
  <c r="R1493" i="6"/>
  <c r="R1494" i="6"/>
  <c r="R1495" i="6"/>
  <c r="R1496" i="6"/>
  <c r="R1497" i="6"/>
  <c r="R1498" i="6"/>
  <c r="R1499" i="6"/>
  <c r="R1500" i="6"/>
  <c r="R1501" i="6"/>
  <c r="R1502" i="6"/>
  <c r="R1503" i="6"/>
  <c r="R1504" i="6"/>
  <c r="R1505" i="6"/>
  <c r="R1506" i="6"/>
  <c r="R1507" i="6"/>
  <c r="R1508" i="6"/>
  <c r="R1509" i="6"/>
  <c r="R1510" i="6"/>
  <c r="R1511" i="6"/>
  <c r="R1512" i="6"/>
  <c r="R1513" i="6"/>
  <c r="R1514" i="6"/>
  <c r="R1515" i="6"/>
  <c r="R1516" i="6"/>
  <c r="R1517" i="6"/>
  <c r="R1518" i="6"/>
  <c r="R1519" i="6"/>
  <c r="R1520" i="6"/>
  <c r="R1521" i="6"/>
  <c r="R1522" i="6"/>
  <c r="R1523" i="6"/>
  <c r="R1524" i="6"/>
  <c r="R1525" i="6"/>
  <c r="R1526" i="6"/>
  <c r="R1527" i="6"/>
  <c r="R1528" i="6"/>
  <c r="R1529" i="6"/>
  <c r="R1530" i="6"/>
  <c r="R1531" i="6"/>
  <c r="R1532" i="6"/>
  <c r="R1533" i="6"/>
  <c r="R1534" i="6"/>
  <c r="R1535" i="6"/>
  <c r="R1536" i="6"/>
  <c r="R1537" i="6"/>
  <c r="R1538" i="6"/>
  <c r="R1539" i="6"/>
  <c r="R1540" i="6"/>
  <c r="R1541" i="6"/>
  <c r="R1542" i="6"/>
  <c r="R1543" i="6"/>
  <c r="R1544" i="6"/>
  <c r="R1545" i="6"/>
  <c r="R1546" i="6"/>
  <c r="R1547" i="6"/>
  <c r="R1548" i="6"/>
  <c r="R1549" i="6"/>
  <c r="R1550" i="6"/>
  <c r="R1551" i="6"/>
  <c r="R1552" i="6"/>
  <c r="R1553" i="6"/>
  <c r="R1554" i="6"/>
  <c r="R1555" i="6"/>
  <c r="R1556" i="6"/>
  <c r="R1557" i="6"/>
  <c r="R1558" i="6"/>
  <c r="R1559" i="6"/>
  <c r="R1560" i="6"/>
  <c r="R1561" i="6"/>
  <c r="R1562" i="6"/>
  <c r="R1563" i="6"/>
  <c r="R1564" i="6"/>
  <c r="R1565" i="6"/>
  <c r="R1566" i="6"/>
  <c r="R1567" i="6"/>
  <c r="R1568" i="6"/>
  <c r="R1569" i="6"/>
  <c r="R1570" i="6"/>
  <c r="R1571" i="6"/>
  <c r="R1572" i="6"/>
  <c r="R1573" i="6"/>
  <c r="R1574" i="6"/>
  <c r="R1575" i="6"/>
  <c r="R1576" i="6"/>
  <c r="R1577" i="6"/>
  <c r="R1578" i="6"/>
  <c r="R1579" i="6"/>
  <c r="R1580" i="6"/>
  <c r="R1581" i="6"/>
  <c r="R1582" i="6"/>
  <c r="R1583" i="6"/>
  <c r="R1584" i="6"/>
  <c r="R1585" i="6"/>
  <c r="R1586" i="6"/>
  <c r="R1587" i="6"/>
  <c r="R1588" i="6"/>
  <c r="R1589" i="6"/>
  <c r="R1590" i="6"/>
  <c r="R1591" i="6"/>
  <c r="R1592" i="6"/>
  <c r="R1593" i="6"/>
  <c r="R1594" i="6"/>
  <c r="R1595" i="6"/>
  <c r="R1596" i="6"/>
  <c r="R1597" i="6"/>
  <c r="R1598" i="6"/>
  <c r="R1599" i="6"/>
  <c r="R1600" i="6"/>
  <c r="R1601" i="6"/>
  <c r="R1602" i="6"/>
  <c r="R1603" i="6"/>
  <c r="R1604" i="6"/>
  <c r="R1605" i="6"/>
  <c r="R1606" i="6"/>
  <c r="R1607" i="6"/>
  <c r="R1608" i="6"/>
  <c r="R1609" i="6"/>
  <c r="R1610" i="6"/>
  <c r="R1611" i="6"/>
  <c r="R1612" i="6"/>
  <c r="R1613" i="6"/>
  <c r="R1614" i="6"/>
  <c r="R1615" i="6"/>
  <c r="R1616" i="6"/>
  <c r="R1617" i="6"/>
  <c r="R1618" i="6"/>
  <c r="R1619" i="6"/>
  <c r="R1620" i="6"/>
  <c r="R1621" i="6"/>
  <c r="R1622" i="6"/>
  <c r="R1623" i="6"/>
  <c r="R1624" i="6"/>
  <c r="R1625" i="6"/>
  <c r="R1626" i="6"/>
  <c r="R1627" i="6"/>
  <c r="R1628" i="6"/>
  <c r="R1629" i="6"/>
  <c r="R1630" i="6"/>
  <c r="R1631" i="6"/>
  <c r="R1632" i="6"/>
  <c r="R1633" i="6"/>
  <c r="R1634" i="6"/>
  <c r="R1635" i="6"/>
  <c r="R1636" i="6"/>
  <c r="R1637" i="6"/>
  <c r="R1638" i="6"/>
  <c r="R1639" i="6"/>
  <c r="R1640" i="6"/>
  <c r="R1641" i="6"/>
  <c r="R1642" i="6"/>
  <c r="R1643" i="6"/>
  <c r="R1644" i="6"/>
  <c r="R1645" i="6"/>
  <c r="R1646" i="6"/>
  <c r="R1647" i="6"/>
  <c r="R1648" i="6"/>
  <c r="R1649" i="6"/>
  <c r="R1650" i="6"/>
  <c r="R1651" i="6"/>
  <c r="R1652" i="6"/>
  <c r="R1653" i="6"/>
  <c r="R1654" i="6"/>
  <c r="R1655" i="6"/>
  <c r="R1656" i="6"/>
  <c r="R1657" i="6"/>
  <c r="R1658" i="6"/>
  <c r="R1659" i="6"/>
  <c r="R1660" i="6"/>
  <c r="R1661" i="6"/>
  <c r="R1662" i="6"/>
  <c r="R1663" i="6"/>
  <c r="R1664" i="6"/>
  <c r="R1665" i="6"/>
  <c r="R1666" i="6"/>
  <c r="R1667" i="6"/>
  <c r="R1668" i="6"/>
  <c r="R1669" i="6"/>
  <c r="R1670" i="6"/>
  <c r="R1671" i="6"/>
  <c r="R1672" i="6"/>
  <c r="R1673" i="6"/>
  <c r="R1674" i="6"/>
  <c r="R1675" i="6"/>
  <c r="R1676" i="6"/>
  <c r="R1677" i="6"/>
  <c r="R1678" i="6"/>
  <c r="R1679" i="6"/>
  <c r="R1680" i="6"/>
  <c r="R1681" i="6"/>
  <c r="R1682" i="6"/>
  <c r="R1683" i="6"/>
  <c r="R1684" i="6"/>
  <c r="R1685" i="6"/>
  <c r="R1686" i="6"/>
  <c r="R1687" i="6"/>
  <c r="R1688" i="6"/>
  <c r="R1689" i="6"/>
  <c r="R1690" i="6"/>
  <c r="R1691" i="6"/>
  <c r="R1692" i="6"/>
  <c r="R1693" i="6"/>
  <c r="R1694" i="6"/>
  <c r="R1695" i="6"/>
  <c r="R1696" i="6"/>
  <c r="R1697" i="6"/>
  <c r="R1698" i="6"/>
  <c r="R1699" i="6"/>
  <c r="R1700" i="6"/>
  <c r="R1701" i="6"/>
  <c r="R1702" i="6"/>
  <c r="R1703" i="6"/>
  <c r="R1704" i="6"/>
  <c r="R1705" i="6"/>
  <c r="R1706" i="6"/>
  <c r="R1707" i="6"/>
  <c r="R1708" i="6"/>
  <c r="R1709" i="6"/>
  <c r="R1710" i="6"/>
  <c r="R1711" i="6"/>
  <c r="R1712" i="6"/>
  <c r="R1713" i="6"/>
  <c r="R1714" i="6"/>
  <c r="R1715" i="6"/>
  <c r="R1716" i="6"/>
  <c r="R1717" i="6"/>
  <c r="R1718" i="6"/>
  <c r="R1719" i="6"/>
  <c r="R1720" i="6"/>
  <c r="R1721" i="6"/>
  <c r="R1722" i="6"/>
  <c r="R1723" i="6"/>
  <c r="R1724" i="6"/>
  <c r="R1725" i="6"/>
  <c r="R1726" i="6"/>
  <c r="R1727" i="6"/>
  <c r="R1728" i="6"/>
  <c r="R1729" i="6"/>
  <c r="R1730" i="6"/>
  <c r="R1731" i="6"/>
  <c r="R1732" i="6"/>
  <c r="R1733" i="6"/>
  <c r="R1734" i="6"/>
  <c r="R1735" i="6"/>
  <c r="R1736" i="6"/>
  <c r="R1737" i="6"/>
  <c r="R1738" i="6"/>
  <c r="R1739" i="6"/>
  <c r="R1740" i="6"/>
  <c r="R1741" i="6"/>
  <c r="R1742" i="6"/>
  <c r="R1743" i="6"/>
  <c r="R1744" i="6"/>
  <c r="R1745" i="6"/>
  <c r="R1746" i="6"/>
  <c r="R1747" i="6"/>
  <c r="R1748" i="6"/>
  <c r="R1749" i="6"/>
  <c r="R1750" i="6"/>
  <c r="R1751" i="6"/>
  <c r="R1752" i="6"/>
  <c r="R1753" i="6"/>
  <c r="R1754" i="6"/>
  <c r="R1755" i="6"/>
  <c r="R1756" i="6"/>
  <c r="R1757" i="6"/>
  <c r="R1758" i="6"/>
  <c r="R1759" i="6"/>
  <c r="R1760" i="6"/>
  <c r="R1761" i="6"/>
  <c r="R1762" i="6"/>
  <c r="R1763" i="6"/>
  <c r="R1764" i="6"/>
  <c r="R1765" i="6"/>
  <c r="R1766" i="6"/>
  <c r="R1767" i="6"/>
  <c r="R1768" i="6"/>
  <c r="R1769" i="6"/>
  <c r="R1770" i="6"/>
  <c r="R1771" i="6"/>
  <c r="R1772" i="6"/>
  <c r="R1773" i="6"/>
  <c r="R1774" i="6"/>
  <c r="R1775" i="6"/>
  <c r="R1776" i="6"/>
  <c r="R1777" i="6"/>
  <c r="R1778" i="6"/>
  <c r="R1779" i="6"/>
  <c r="R1780" i="6"/>
  <c r="R1781" i="6"/>
  <c r="R1782" i="6"/>
  <c r="R1783" i="6"/>
  <c r="R1784" i="6"/>
  <c r="R1785" i="6"/>
  <c r="R1786" i="6"/>
  <c r="R1787" i="6"/>
  <c r="R1788" i="6"/>
  <c r="R1789" i="6"/>
  <c r="R1790" i="6"/>
  <c r="R1791" i="6"/>
  <c r="R1792" i="6"/>
  <c r="R1793" i="6"/>
  <c r="R1794" i="6"/>
  <c r="R1795" i="6"/>
  <c r="R1796" i="6"/>
  <c r="R1797" i="6"/>
  <c r="R1798" i="6"/>
  <c r="R1799" i="6"/>
  <c r="R1800" i="6"/>
  <c r="R1801" i="6"/>
  <c r="R1802" i="6"/>
  <c r="R1803" i="6"/>
  <c r="R1804" i="6"/>
  <c r="R1805" i="6"/>
  <c r="R1806" i="6"/>
  <c r="R1807" i="6"/>
  <c r="R1808" i="6"/>
  <c r="R1809" i="6"/>
  <c r="R1810" i="6"/>
  <c r="R1811" i="6"/>
  <c r="R1812" i="6"/>
  <c r="R1813" i="6"/>
  <c r="R1814" i="6"/>
  <c r="R1815" i="6"/>
  <c r="R1816" i="6"/>
  <c r="R1817" i="6"/>
  <c r="R1818" i="6"/>
  <c r="R1819" i="6"/>
  <c r="R1820" i="6"/>
  <c r="R1821" i="6"/>
  <c r="R1822" i="6"/>
  <c r="R1823" i="6"/>
  <c r="R1824" i="6"/>
  <c r="R1825" i="6"/>
  <c r="R1826" i="6"/>
  <c r="R1827" i="6"/>
  <c r="R1828" i="6"/>
  <c r="R1829" i="6"/>
  <c r="R1830" i="6"/>
  <c r="R1831" i="6"/>
  <c r="R1832" i="6"/>
  <c r="R1833" i="6"/>
  <c r="R1834" i="6"/>
  <c r="R1835" i="6"/>
  <c r="R1836" i="6"/>
  <c r="R1837" i="6"/>
  <c r="R1838" i="6"/>
  <c r="R1839" i="6"/>
  <c r="R1840" i="6"/>
  <c r="R1841" i="6"/>
  <c r="R1842" i="6"/>
  <c r="R1843" i="6"/>
  <c r="R1844" i="6"/>
  <c r="R1845" i="6"/>
  <c r="R1846" i="6"/>
  <c r="R1847" i="6"/>
  <c r="R1848" i="6"/>
  <c r="R1849" i="6"/>
  <c r="R1850" i="6"/>
  <c r="R1851" i="6"/>
  <c r="R1852" i="6"/>
  <c r="R1853" i="6"/>
  <c r="R1854" i="6"/>
  <c r="R1855" i="6"/>
  <c r="R1856" i="6"/>
  <c r="R1857" i="6"/>
  <c r="R1858" i="6"/>
  <c r="R1859" i="6"/>
  <c r="R1860" i="6"/>
  <c r="R1861" i="6"/>
  <c r="R1862" i="6"/>
  <c r="R1863" i="6"/>
  <c r="R1864" i="6"/>
  <c r="R1865" i="6"/>
  <c r="R1866" i="6"/>
  <c r="R1867" i="6"/>
  <c r="R1868" i="6"/>
  <c r="R1869" i="6"/>
  <c r="R1870" i="6"/>
  <c r="R1871" i="6"/>
  <c r="R1872" i="6"/>
  <c r="R1873" i="6"/>
  <c r="R1874" i="6"/>
  <c r="R1875" i="6"/>
  <c r="R1876" i="6"/>
  <c r="R1877" i="6"/>
  <c r="R1878" i="6"/>
  <c r="R1879" i="6"/>
  <c r="R1880" i="6"/>
  <c r="R1881" i="6"/>
  <c r="R1882" i="6"/>
  <c r="R1883" i="6"/>
  <c r="R1884" i="6"/>
  <c r="R1885" i="6"/>
  <c r="R1886" i="6"/>
  <c r="R1887" i="6"/>
  <c r="R1888" i="6"/>
  <c r="R1889" i="6"/>
  <c r="R1890" i="6"/>
  <c r="R1891" i="6"/>
  <c r="R1892" i="6"/>
  <c r="R1893" i="6"/>
  <c r="R1894" i="6"/>
  <c r="R1895" i="6"/>
  <c r="R1896" i="6"/>
  <c r="R1897" i="6"/>
  <c r="R1898" i="6"/>
  <c r="R1899" i="6"/>
  <c r="R1900" i="6"/>
  <c r="R1901" i="6"/>
  <c r="R1902" i="6"/>
  <c r="R1903" i="6"/>
  <c r="R1904" i="6"/>
  <c r="R1905" i="6"/>
  <c r="R1906" i="6"/>
  <c r="R1907" i="6"/>
  <c r="R1908" i="6"/>
  <c r="R1909" i="6"/>
  <c r="R1910" i="6"/>
  <c r="R1911" i="6"/>
  <c r="R1912" i="6"/>
  <c r="R1913" i="6"/>
  <c r="R1914" i="6"/>
  <c r="R1915" i="6"/>
  <c r="R1916" i="6"/>
  <c r="R1917" i="6"/>
  <c r="R1918" i="6"/>
  <c r="R1919" i="6"/>
  <c r="R1920" i="6"/>
  <c r="R1921" i="6"/>
  <c r="R1922" i="6"/>
  <c r="R1923" i="6"/>
  <c r="R1924" i="6"/>
  <c r="R1925" i="6"/>
  <c r="R1926" i="6"/>
  <c r="R1927" i="6"/>
  <c r="R1928" i="6"/>
  <c r="R1929" i="6"/>
  <c r="R1930" i="6"/>
  <c r="R1931" i="6"/>
  <c r="R1932" i="6"/>
  <c r="R1933" i="6"/>
  <c r="R1934" i="6"/>
  <c r="R1935" i="6"/>
  <c r="R1936" i="6"/>
  <c r="R1937" i="6"/>
  <c r="R1938" i="6"/>
  <c r="R1939" i="6"/>
  <c r="R1940" i="6"/>
  <c r="R1941" i="6"/>
  <c r="R1942" i="6"/>
  <c r="R1943" i="6"/>
  <c r="R1944" i="6"/>
  <c r="R1945" i="6"/>
  <c r="R1946" i="6"/>
  <c r="R1947" i="6"/>
  <c r="R1948" i="6"/>
  <c r="R1949" i="6"/>
  <c r="R1950" i="6"/>
  <c r="R1951" i="6"/>
  <c r="R1952" i="6"/>
  <c r="R1953" i="6"/>
  <c r="R1954" i="6"/>
  <c r="R1955" i="6"/>
  <c r="R1956" i="6"/>
  <c r="R1957" i="6"/>
  <c r="R1958" i="6"/>
  <c r="R1959" i="6"/>
  <c r="R1960" i="6"/>
  <c r="R1961" i="6"/>
  <c r="R1962" i="6"/>
  <c r="R1963" i="6"/>
  <c r="R1964" i="6"/>
  <c r="R1965" i="6"/>
  <c r="R1966" i="6"/>
  <c r="R1967" i="6"/>
  <c r="R1968" i="6"/>
  <c r="R1969" i="6"/>
  <c r="R1970" i="6"/>
  <c r="R1971" i="6"/>
  <c r="R1972" i="6"/>
  <c r="R1973" i="6"/>
  <c r="R1974" i="6"/>
  <c r="R1975" i="6"/>
  <c r="R1976" i="6"/>
  <c r="R1977" i="6"/>
  <c r="R1978" i="6"/>
  <c r="R1979" i="6"/>
  <c r="R1980" i="6"/>
  <c r="R1981" i="6"/>
  <c r="R1982" i="6"/>
  <c r="R1983" i="6"/>
  <c r="R1984" i="6"/>
  <c r="R1985" i="6"/>
  <c r="R1986" i="6"/>
  <c r="R1987" i="6"/>
  <c r="R1988" i="6"/>
  <c r="R1989" i="6"/>
  <c r="R1990" i="6"/>
  <c r="R1991" i="6"/>
  <c r="R1992" i="6"/>
  <c r="R1993" i="6"/>
  <c r="R1994" i="6"/>
  <c r="R1995" i="6"/>
  <c r="R1996" i="6"/>
  <c r="R1997" i="6"/>
  <c r="R1998" i="6"/>
  <c r="R1999" i="6"/>
  <c r="R2000" i="6"/>
  <c r="R2001" i="6"/>
  <c r="R2002" i="6"/>
  <c r="R2003" i="6"/>
  <c r="R2004" i="6"/>
  <c r="R2005" i="6"/>
  <c r="R2006" i="6"/>
  <c r="R2007" i="6"/>
  <c r="R2008" i="6"/>
  <c r="R2009" i="6"/>
  <c r="R2010" i="6"/>
  <c r="R2011" i="6"/>
  <c r="R2012" i="6"/>
  <c r="R2013" i="6"/>
  <c r="R2014" i="6"/>
  <c r="R2015" i="6"/>
  <c r="R2016" i="6"/>
  <c r="R2017" i="6"/>
  <c r="R2018" i="6"/>
  <c r="R2019" i="6"/>
  <c r="R2020" i="6"/>
  <c r="R2021" i="6"/>
  <c r="R2022" i="6"/>
  <c r="R2023" i="6"/>
  <c r="R2024" i="6"/>
  <c r="R2025" i="6"/>
  <c r="R2026" i="6"/>
  <c r="R2027" i="6"/>
  <c r="R2028" i="6"/>
  <c r="R2029" i="6"/>
  <c r="R2030" i="6"/>
  <c r="R2031" i="6"/>
  <c r="R2032" i="6"/>
  <c r="R2033" i="6"/>
  <c r="R2034" i="6"/>
  <c r="R2035" i="6"/>
  <c r="R2036" i="6"/>
  <c r="R2037" i="6"/>
  <c r="R2038" i="6"/>
  <c r="R2039" i="6"/>
  <c r="R2040" i="6"/>
  <c r="R2041" i="6"/>
  <c r="R2042" i="6"/>
  <c r="R2043" i="6"/>
  <c r="R2044" i="6"/>
  <c r="R2045" i="6"/>
  <c r="R2046" i="6"/>
  <c r="R2047" i="6"/>
  <c r="R2048" i="6"/>
  <c r="R2049" i="6"/>
  <c r="R2050" i="6"/>
  <c r="R2051" i="6"/>
  <c r="R2052" i="6"/>
  <c r="R2053" i="6"/>
  <c r="R2054" i="6"/>
  <c r="R2055" i="6"/>
  <c r="R2056" i="6"/>
  <c r="R2057" i="6"/>
  <c r="R2058" i="6"/>
  <c r="R2059" i="6"/>
  <c r="R2060" i="6"/>
  <c r="R2061" i="6"/>
  <c r="R2062" i="6"/>
  <c r="R2063" i="6"/>
  <c r="R2064" i="6"/>
  <c r="R2065" i="6"/>
  <c r="R2066" i="6"/>
  <c r="R2067" i="6"/>
  <c r="R2068" i="6"/>
  <c r="R2069" i="6"/>
  <c r="R2070" i="6"/>
  <c r="R2071" i="6"/>
  <c r="R2072" i="6"/>
  <c r="R2073" i="6"/>
  <c r="R2074" i="6"/>
  <c r="R2075" i="6"/>
  <c r="R2076" i="6"/>
  <c r="R2077" i="6"/>
  <c r="R2078" i="6"/>
  <c r="R2079" i="6"/>
  <c r="R2080" i="6"/>
  <c r="R2081" i="6"/>
  <c r="R2082" i="6"/>
  <c r="R2083" i="6"/>
  <c r="R2084" i="6"/>
  <c r="R2085" i="6"/>
  <c r="R2086" i="6"/>
  <c r="R2087" i="6"/>
  <c r="R2088" i="6"/>
  <c r="R2089" i="6"/>
  <c r="R2090" i="6"/>
  <c r="R2091" i="6"/>
  <c r="R2092" i="6"/>
  <c r="R2093" i="6"/>
  <c r="R2094" i="6"/>
  <c r="R2095" i="6"/>
  <c r="R2096" i="6"/>
  <c r="R2097" i="6"/>
  <c r="R2098" i="6"/>
  <c r="R2099" i="6"/>
  <c r="R2100" i="6"/>
  <c r="R2101" i="6"/>
  <c r="R2102" i="6"/>
  <c r="R2103" i="6"/>
  <c r="R2104" i="6"/>
  <c r="R2105" i="6"/>
  <c r="R2106" i="6"/>
  <c r="R2107" i="6"/>
  <c r="R2108" i="6"/>
  <c r="R2109" i="6"/>
  <c r="R2110" i="6"/>
  <c r="R2111" i="6"/>
  <c r="R2112" i="6"/>
  <c r="R2113" i="6"/>
  <c r="R2114" i="6"/>
  <c r="R2115" i="6"/>
  <c r="R2116" i="6"/>
  <c r="R2117" i="6"/>
  <c r="R2118" i="6"/>
  <c r="R2119" i="6"/>
  <c r="R2120" i="6"/>
  <c r="R2121" i="6"/>
  <c r="R2122" i="6"/>
  <c r="R2123" i="6"/>
  <c r="R2124" i="6"/>
  <c r="R2125" i="6"/>
  <c r="R2126" i="6"/>
  <c r="R2127" i="6"/>
  <c r="R2128" i="6"/>
  <c r="R2129" i="6"/>
  <c r="R2130" i="6"/>
  <c r="R2131" i="6"/>
  <c r="R2132" i="6"/>
  <c r="R2133" i="6"/>
  <c r="R2134" i="6"/>
  <c r="R2135" i="6"/>
  <c r="R2136" i="6"/>
  <c r="R2137" i="6"/>
  <c r="R2138" i="6"/>
  <c r="R2139" i="6"/>
  <c r="R2140" i="6"/>
  <c r="R2141" i="6"/>
  <c r="R2142" i="6"/>
  <c r="R2143" i="6"/>
  <c r="R2144" i="6"/>
  <c r="R2145" i="6"/>
  <c r="R2146" i="6"/>
  <c r="R2147" i="6"/>
  <c r="R2148" i="6"/>
  <c r="R2149" i="6"/>
  <c r="R2150" i="6"/>
  <c r="R2151" i="6"/>
  <c r="R2152" i="6"/>
  <c r="R2153" i="6"/>
  <c r="R2154" i="6"/>
  <c r="R2155" i="6"/>
  <c r="R2156" i="6"/>
  <c r="R2157" i="6"/>
  <c r="R2158" i="6"/>
  <c r="R2159" i="6"/>
  <c r="R2160" i="6"/>
  <c r="R2161" i="6"/>
  <c r="R2162" i="6"/>
  <c r="R2163" i="6"/>
  <c r="R2164" i="6"/>
  <c r="R2165" i="6"/>
  <c r="R2166" i="6"/>
  <c r="R2167" i="6"/>
  <c r="R2168" i="6"/>
  <c r="R2169" i="6"/>
  <c r="R2170" i="6"/>
  <c r="R2171" i="6"/>
  <c r="R2172" i="6"/>
  <c r="R2173" i="6"/>
  <c r="R2174" i="6"/>
  <c r="R2175" i="6"/>
  <c r="R2176" i="6"/>
  <c r="R2177" i="6"/>
  <c r="R2178" i="6"/>
  <c r="R2179" i="6"/>
  <c r="R2180" i="6"/>
  <c r="R2181" i="6"/>
  <c r="R2182" i="6"/>
  <c r="R2183" i="6"/>
  <c r="R2184" i="6"/>
  <c r="R2185" i="6"/>
  <c r="R2186" i="6"/>
  <c r="R2187" i="6"/>
  <c r="R2188" i="6"/>
  <c r="R2189" i="6"/>
  <c r="R2190" i="6"/>
  <c r="R2191" i="6"/>
  <c r="R2192" i="6"/>
  <c r="R2193" i="6"/>
  <c r="R2194" i="6"/>
  <c r="R2195" i="6"/>
  <c r="R2196" i="6"/>
  <c r="R2197" i="6"/>
  <c r="R2198" i="6"/>
  <c r="R2199" i="6"/>
  <c r="R2200" i="6"/>
  <c r="R2201" i="6"/>
  <c r="R2202" i="6"/>
  <c r="R2203" i="6"/>
  <c r="R2204" i="6"/>
  <c r="R2205" i="6"/>
  <c r="R2206" i="6"/>
  <c r="R2207" i="6"/>
  <c r="R2208" i="6"/>
  <c r="R2209" i="6"/>
  <c r="R2210" i="6"/>
  <c r="R2211" i="6"/>
  <c r="R2212" i="6"/>
  <c r="R2213" i="6"/>
  <c r="R2214" i="6"/>
  <c r="R2215" i="6"/>
  <c r="R2216" i="6"/>
  <c r="R2217" i="6"/>
  <c r="R2218" i="6"/>
  <c r="R2219" i="6"/>
  <c r="R2220" i="6"/>
  <c r="R2221" i="6"/>
  <c r="R2222" i="6"/>
  <c r="R2223" i="6"/>
  <c r="R2224" i="6"/>
  <c r="R2225" i="6"/>
  <c r="R2226" i="6"/>
  <c r="R2227" i="6"/>
  <c r="R2228" i="6"/>
  <c r="R2229" i="6"/>
  <c r="R2230" i="6"/>
  <c r="R2231" i="6"/>
  <c r="R2232" i="6"/>
  <c r="R2233" i="6"/>
  <c r="R2234" i="6"/>
  <c r="R2235" i="6"/>
  <c r="R2236" i="6"/>
  <c r="R2237" i="6"/>
  <c r="R2238" i="6"/>
  <c r="R2239" i="6"/>
  <c r="R2240" i="6"/>
  <c r="R2241" i="6"/>
  <c r="R2242" i="6"/>
  <c r="R2243" i="6"/>
  <c r="R2244" i="6"/>
  <c r="R2245" i="6"/>
  <c r="R2246" i="6"/>
  <c r="R2247" i="6"/>
  <c r="R2248" i="6"/>
  <c r="R2249" i="6"/>
  <c r="R2250" i="6"/>
  <c r="R2251" i="6"/>
  <c r="R2252" i="6"/>
  <c r="R2253" i="6"/>
  <c r="R2254" i="6"/>
  <c r="R2255" i="6"/>
  <c r="R2256" i="6"/>
  <c r="R2257" i="6"/>
  <c r="R2258" i="6"/>
  <c r="R2259" i="6"/>
  <c r="R2260" i="6"/>
  <c r="R2261" i="6"/>
  <c r="R2262" i="6"/>
  <c r="R2263" i="6"/>
  <c r="R2264" i="6"/>
  <c r="R2265" i="6"/>
  <c r="R2266" i="6"/>
  <c r="R2267" i="6"/>
  <c r="R2268" i="6"/>
  <c r="R2269" i="6"/>
  <c r="R2270" i="6"/>
  <c r="R2271" i="6"/>
  <c r="R2272" i="6"/>
  <c r="R2273" i="6"/>
  <c r="R2274" i="6"/>
  <c r="R2275" i="6"/>
  <c r="R2276" i="6"/>
  <c r="R2277" i="6"/>
  <c r="R2278" i="6"/>
  <c r="R2279" i="6"/>
  <c r="R2280" i="6"/>
  <c r="R2281" i="6"/>
  <c r="R2282" i="6"/>
  <c r="R2283" i="6"/>
  <c r="R2284" i="6"/>
  <c r="R2285" i="6"/>
  <c r="R2286" i="6"/>
  <c r="R2287" i="6"/>
  <c r="R2288" i="6"/>
  <c r="R2289" i="6"/>
  <c r="R2290" i="6"/>
  <c r="R2291" i="6"/>
  <c r="R2292" i="6"/>
  <c r="R2293" i="6"/>
  <c r="R2294" i="6"/>
  <c r="R2295" i="6"/>
  <c r="R2296" i="6"/>
  <c r="R2297" i="6"/>
  <c r="R2298" i="6"/>
  <c r="R2299" i="6"/>
  <c r="R2300" i="6"/>
  <c r="R2301" i="6"/>
  <c r="R2302" i="6"/>
  <c r="R2303" i="6"/>
  <c r="R2304" i="6"/>
  <c r="R2305" i="6"/>
  <c r="R2306" i="6"/>
  <c r="R2307" i="6"/>
  <c r="R2308" i="6"/>
  <c r="R2309" i="6"/>
  <c r="R2310" i="6"/>
  <c r="R2311" i="6"/>
  <c r="R2312" i="6"/>
  <c r="R2313" i="6"/>
  <c r="R2314" i="6"/>
  <c r="R2315" i="6"/>
  <c r="R2316" i="6"/>
  <c r="R2317" i="6"/>
  <c r="R2318" i="6"/>
  <c r="R2319" i="6"/>
  <c r="R2320" i="6"/>
  <c r="R2321" i="6"/>
  <c r="R2322" i="6"/>
  <c r="R2323" i="6"/>
  <c r="R2324" i="6"/>
  <c r="R2325" i="6"/>
  <c r="R2326" i="6"/>
  <c r="R2327" i="6"/>
  <c r="R2328" i="6"/>
  <c r="R2329" i="6"/>
  <c r="R2330" i="6"/>
  <c r="R2331" i="6"/>
  <c r="R2332" i="6"/>
  <c r="R2333" i="6"/>
  <c r="R2334" i="6"/>
  <c r="R2335" i="6"/>
  <c r="R2336" i="6"/>
  <c r="R2337" i="6"/>
  <c r="R2338" i="6"/>
  <c r="R2339" i="6"/>
  <c r="R2340" i="6"/>
  <c r="R2341" i="6"/>
  <c r="R2342" i="6"/>
  <c r="R2343" i="6"/>
  <c r="R2344" i="6"/>
  <c r="R2345" i="6"/>
  <c r="R2346" i="6"/>
  <c r="R2347" i="6"/>
  <c r="R2348" i="6"/>
  <c r="R2349" i="6"/>
  <c r="R2350" i="6"/>
  <c r="R2351" i="6"/>
  <c r="R2352" i="6"/>
  <c r="R2353" i="6"/>
  <c r="R2354" i="6"/>
  <c r="R2355" i="6"/>
  <c r="R2356" i="6"/>
  <c r="R2357" i="6"/>
  <c r="R2358" i="6"/>
  <c r="R2359" i="6"/>
  <c r="R2360" i="6"/>
  <c r="R2361" i="6"/>
  <c r="R2362" i="6"/>
  <c r="R2363" i="6"/>
  <c r="R2364" i="6"/>
  <c r="R2365" i="6"/>
  <c r="R2366" i="6"/>
  <c r="R2367" i="6"/>
  <c r="R2368" i="6"/>
  <c r="R2369" i="6"/>
  <c r="R2370" i="6"/>
  <c r="R2371" i="6"/>
  <c r="R2372" i="6"/>
  <c r="R2373" i="6"/>
  <c r="R2374" i="6"/>
  <c r="R2375" i="6"/>
  <c r="R2376" i="6"/>
  <c r="R2377" i="6"/>
  <c r="R2378" i="6"/>
  <c r="R2379" i="6"/>
  <c r="R2380" i="6"/>
  <c r="R2381" i="6"/>
  <c r="R2382" i="6"/>
  <c r="R2383" i="6"/>
  <c r="R2384" i="6"/>
  <c r="R2385" i="6"/>
  <c r="R2386" i="6"/>
  <c r="R2387" i="6"/>
  <c r="R2388" i="6"/>
  <c r="R2389" i="6"/>
  <c r="R2390" i="6"/>
  <c r="R2391" i="6"/>
  <c r="R2392" i="6"/>
  <c r="R2393" i="6"/>
  <c r="R2394" i="6"/>
  <c r="R2395" i="6"/>
  <c r="R2396" i="6"/>
  <c r="R2397" i="6"/>
  <c r="R2398" i="6"/>
  <c r="R2399" i="6"/>
  <c r="R2400" i="6"/>
  <c r="R2401" i="6"/>
  <c r="R2402" i="6"/>
  <c r="R2403" i="6"/>
  <c r="R2404" i="6"/>
  <c r="R2405" i="6"/>
  <c r="R2406" i="6"/>
  <c r="R2407" i="6"/>
  <c r="R2408" i="6"/>
  <c r="R2409" i="6"/>
  <c r="R2410" i="6"/>
  <c r="R2411" i="6"/>
  <c r="R2412" i="6"/>
  <c r="R2413" i="6"/>
  <c r="R2414" i="6"/>
  <c r="R2415" i="6"/>
  <c r="R2416" i="6"/>
  <c r="R2417" i="6"/>
  <c r="R2418" i="6"/>
  <c r="R2419" i="6"/>
  <c r="R2420" i="6"/>
  <c r="R2421" i="6"/>
  <c r="R2422" i="6"/>
  <c r="R2423" i="6"/>
  <c r="R2424" i="6"/>
  <c r="R2425" i="6"/>
  <c r="R2426" i="6"/>
  <c r="R2427" i="6"/>
  <c r="R2428" i="6"/>
  <c r="R2429" i="6"/>
  <c r="R2430" i="6"/>
  <c r="R2431" i="6"/>
  <c r="R2432" i="6"/>
  <c r="R2433" i="6"/>
  <c r="R2434" i="6"/>
  <c r="R2435" i="6"/>
  <c r="R2436" i="6"/>
  <c r="R2437" i="6"/>
  <c r="R2438" i="6"/>
  <c r="R2439" i="6"/>
  <c r="R2440" i="6"/>
  <c r="R2441" i="6"/>
  <c r="R2442" i="6"/>
  <c r="R2443" i="6"/>
  <c r="R2444" i="6"/>
  <c r="R2445" i="6"/>
  <c r="R2446" i="6"/>
  <c r="R2447" i="6"/>
  <c r="R2448" i="6"/>
  <c r="R2449" i="6"/>
  <c r="R2450" i="6"/>
  <c r="R2451" i="6"/>
  <c r="R2452" i="6"/>
  <c r="R2453" i="6"/>
  <c r="R2454" i="6"/>
  <c r="R2455" i="6"/>
  <c r="R2456" i="6"/>
  <c r="R2457" i="6"/>
  <c r="R2458" i="6"/>
  <c r="R2459" i="6"/>
  <c r="R2460" i="6"/>
  <c r="R2461" i="6"/>
  <c r="R2462" i="6"/>
  <c r="R2463" i="6"/>
  <c r="R2464" i="6"/>
  <c r="R2465" i="6"/>
  <c r="R2466" i="6"/>
  <c r="R2467" i="6"/>
  <c r="R2468" i="6"/>
  <c r="R2469" i="6"/>
  <c r="R2470" i="6"/>
  <c r="R2471" i="6"/>
  <c r="R2472" i="6"/>
  <c r="R2473" i="6"/>
  <c r="R2474" i="6"/>
  <c r="R2475" i="6"/>
  <c r="R2476" i="6"/>
  <c r="R2477" i="6"/>
  <c r="R2478" i="6"/>
  <c r="R2479" i="6"/>
  <c r="R2480" i="6"/>
  <c r="R2481" i="6"/>
  <c r="R2482" i="6"/>
  <c r="R2483" i="6"/>
  <c r="R2484" i="6"/>
  <c r="R2485" i="6"/>
  <c r="R2486" i="6"/>
  <c r="R2487" i="6"/>
  <c r="R2488" i="6"/>
  <c r="R2489" i="6"/>
  <c r="R2490" i="6"/>
  <c r="R2491" i="6"/>
  <c r="R2492" i="6"/>
  <c r="R2493" i="6"/>
  <c r="R2494" i="6"/>
  <c r="R2495" i="6"/>
  <c r="R2496" i="6"/>
  <c r="R2497" i="6"/>
  <c r="R2498" i="6"/>
  <c r="R2499" i="6"/>
  <c r="R2500" i="6"/>
  <c r="R2501" i="6"/>
  <c r="R2502" i="6"/>
  <c r="R2503" i="6"/>
  <c r="R2504" i="6"/>
  <c r="R2505" i="6"/>
  <c r="R2506" i="6"/>
  <c r="R2507" i="6"/>
  <c r="R2508" i="6"/>
  <c r="R2509" i="6"/>
  <c r="R2510" i="6"/>
  <c r="R2511" i="6"/>
  <c r="R2512" i="6"/>
  <c r="R2513" i="6"/>
  <c r="R2514" i="6"/>
  <c r="R2515" i="6"/>
  <c r="R2516" i="6"/>
  <c r="R2517" i="6"/>
  <c r="R2518" i="6"/>
  <c r="R2519" i="6"/>
  <c r="R2520" i="6"/>
  <c r="R2521" i="6"/>
  <c r="R2522" i="6"/>
  <c r="R2523" i="6"/>
  <c r="R2524" i="6"/>
  <c r="R2525" i="6"/>
  <c r="R2526" i="6"/>
  <c r="R2527" i="6"/>
  <c r="R2528" i="6"/>
  <c r="R2529" i="6"/>
  <c r="R2530" i="6"/>
  <c r="R2531" i="6"/>
  <c r="R2532" i="6"/>
  <c r="R2533" i="6"/>
  <c r="R2534" i="6"/>
  <c r="R2535" i="6"/>
  <c r="R2536" i="6"/>
  <c r="R2537" i="6"/>
  <c r="R2538" i="6"/>
  <c r="R2539" i="6"/>
  <c r="R2540" i="6"/>
  <c r="R2541" i="6"/>
  <c r="R2542" i="6"/>
  <c r="R2543" i="6"/>
  <c r="R2544" i="6"/>
  <c r="R2545" i="6"/>
  <c r="R2546" i="6"/>
  <c r="R2547" i="6"/>
  <c r="R2548" i="6"/>
  <c r="R2549" i="6"/>
  <c r="R2550" i="6"/>
  <c r="R2551" i="6"/>
  <c r="R2552" i="6"/>
  <c r="R2553" i="6"/>
  <c r="R2554" i="6"/>
  <c r="R2555" i="6"/>
  <c r="R2556" i="6"/>
  <c r="R2557" i="6"/>
  <c r="R2558" i="6"/>
  <c r="R2559" i="6"/>
  <c r="R2560" i="6"/>
  <c r="R2561" i="6"/>
  <c r="R2562" i="6"/>
  <c r="R2563" i="6"/>
  <c r="R2564" i="6"/>
  <c r="R2565" i="6"/>
  <c r="R2566" i="6"/>
  <c r="R2567" i="6"/>
  <c r="R2568" i="6"/>
  <c r="R2569" i="6"/>
  <c r="R2570" i="6"/>
  <c r="R2571" i="6"/>
  <c r="R2572" i="6"/>
  <c r="R2573" i="6"/>
  <c r="R2574" i="6"/>
  <c r="R2575" i="6"/>
  <c r="R2576" i="6"/>
  <c r="R2577" i="6"/>
  <c r="R2578" i="6"/>
  <c r="R2579" i="6"/>
  <c r="R2580" i="6"/>
  <c r="R2581" i="6"/>
  <c r="R2582" i="6"/>
  <c r="R2583" i="6"/>
  <c r="R2584" i="6"/>
  <c r="R2585" i="6"/>
  <c r="R2586" i="6"/>
  <c r="R2587" i="6"/>
  <c r="R2588" i="6"/>
  <c r="R2589" i="6"/>
  <c r="R2590" i="6"/>
  <c r="R2591" i="6"/>
  <c r="R2592" i="6"/>
  <c r="R2593" i="6"/>
  <c r="R2594" i="6"/>
  <c r="R2595" i="6"/>
  <c r="R2596" i="6"/>
  <c r="R2597" i="6"/>
  <c r="R2598" i="6"/>
  <c r="R2599" i="6"/>
  <c r="R2600" i="6"/>
  <c r="R2601" i="6"/>
  <c r="R2602" i="6"/>
  <c r="R2603" i="6"/>
  <c r="R2604" i="6"/>
  <c r="R2605" i="6"/>
  <c r="R2606" i="6"/>
  <c r="R2607" i="6"/>
  <c r="R2608" i="6"/>
  <c r="R2609" i="6"/>
  <c r="R2610" i="6"/>
  <c r="R2611" i="6"/>
  <c r="R2612" i="6"/>
  <c r="R2613" i="6"/>
  <c r="R2614" i="6"/>
  <c r="R2615" i="6"/>
  <c r="R2616" i="6"/>
  <c r="R2617" i="6"/>
  <c r="R2618" i="6"/>
  <c r="R2619" i="6"/>
  <c r="R2620" i="6"/>
  <c r="R2621" i="6"/>
  <c r="R2622" i="6"/>
  <c r="R2623" i="6"/>
  <c r="R2624" i="6"/>
  <c r="R2625" i="6"/>
  <c r="R2626" i="6"/>
  <c r="R2627" i="6"/>
  <c r="R2628" i="6"/>
  <c r="R2629" i="6"/>
  <c r="R2630" i="6"/>
  <c r="R2631" i="6"/>
  <c r="R2632" i="6"/>
  <c r="R2633" i="6"/>
  <c r="R2634" i="6"/>
  <c r="R2635" i="6"/>
  <c r="R2636" i="6"/>
  <c r="R2637" i="6"/>
  <c r="R2638" i="6"/>
  <c r="R2639" i="6"/>
  <c r="R2640" i="6"/>
  <c r="R2641" i="6"/>
  <c r="R2642" i="6"/>
  <c r="R2643" i="6"/>
  <c r="R2644" i="6"/>
  <c r="R2645" i="6"/>
  <c r="R2646" i="6"/>
  <c r="R2647" i="6"/>
  <c r="R2648" i="6"/>
  <c r="R2649" i="6"/>
  <c r="R2650" i="6"/>
  <c r="R2651" i="6"/>
  <c r="R2652" i="6"/>
  <c r="R2653" i="6"/>
  <c r="R2654" i="6"/>
  <c r="R2655" i="6"/>
  <c r="R2656" i="6"/>
  <c r="R2657" i="6"/>
  <c r="R2658" i="6"/>
  <c r="R2659" i="6"/>
  <c r="R2660" i="6"/>
  <c r="R2661" i="6"/>
  <c r="R2662" i="6"/>
  <c r="R2663" i="6"/>
  <c r="R2664" i="6"/>
  <c r="R2665" i="6"/>
  <c r="R2666" i="6"/>
  <c r="R2667" i="6"/>
  <c r="R2668" i="6"/>
  <c r="R2669" i="6"/>
  <c r="R2670" i="6"/>
  <c r="R2671" i="6"/>
  <c r="R2672" i="6"/>
  <c r="R2673" i="6"/>
  <c r="R2674" i="6"/>
  <c r="R2675" i="6"/>
  <c r="R2676" i="6"/>
  <c r="R2677" i="6"/>
  <c r="R2678" i="6"/>
  <c r="R2679" i="6"/>
  <c r="R2680" i="6"/>
  <c r="R2681" i="6"/>
  <c r="R2682" i="6"/>
  <c r="R2683" i="6"/>
  <c r="R2684" i="6"/>
  <c r="R2685" i="6"/>
  <c r="R2686" i="6"/>
  <c r="R2687" i="6"/>
  <c r="R2688" i="6"/>
  <c r="R2689" i="6"/>
  <c r="R2690" i="6"/>
  <c r="R2691" i="6"/>
  <c r="R2692" i="6"/>
  <c r="R2693" i="6"/>
  <c r="R2694" i="6"/>
  <c r="R2695" i="6"/>
  <c r="R2696" i="6"/>
  <c r="R2697" i="6"/>
  <c r="R2698" i="6"/>
  <c r="R2699" i="6"/>
  <c r="R2700" i="6"/>
  <c r="R2701" i="6"/>
  <c r="R2702" i="6"/>
  <c r="R2703" i="6"/>
  <c r="R2704" i="6"/>
  <c r="R2705" i="6"/>
  <c r="R2706" i="6"/>
  <c r="R2707" i="6"/>
  <c r="R2708" i="6"/>
  <c r="R2709" i="6"/>
  <c r="R2710" i="6"/>
  <c r="R2711" i="6"/>
  <c r="R2712" i="6"/>
  <c r="R2713" i="6"/>
  <c r="R2714" i="6"/>
  <c r="R2715" i="6"/>
  <c r="R2716" i="6"/>
  <c r="R2717" i="6"/>
  <c r="R2718" i="6"/>
  <c r="R2719" i="6"/>
  <c r="R2720" i="6"/>
  <c r="R2721" i="6"/>
  <c r="R2722" i="6"/>
  <c r="R2723" i="6"/>
  <c r="R2724" i="6"/>
  <c r="R2725" i="6"/>
  <c r="R2726" i="6"/>
  <c r="R2727" i="6"/>
  <c r="R2728" i="6"/>
  <c r="R2729" i="6"/>
  <c r="R2730" i="6"/>
  <c r="R2731" i="6"/>
  <c r="R2732" i="6"/>
  <c r="R2733" i="6"/>
  <c r="R2734" i="6"/>
  <c r="R2735" i="6"/>
  <c r="R2736" i="6"/>
  <c r="R2737" i="6"/>
  <c r="R2738" i="6"/>
  <c r="R2739" i="6"/>
  <c r="R2740" i="6"/>
  <c r="R2741" i="6"/>
  <c r="R2742" i="6"/>
  <c r="R2743" i="6"/>
  <c r="R2744" i="6"/>
  <c r="R2745" i="6"/>
  <c r="R2746" i="6"/>
  <c r="R2747" i="6"/>
  <c r="R2748" i="6"/>
  <c r="R2749" i="6"/>
  <c r="R2750" i="6"/>
  <c r="R2751" i="6"/>
  <c r="R2752" i="6"/>
  <c r="R2753" i="6"/>
  <c r="R2754" i="6"/>
  <c r="R2755" i="6"/>
  <c r="R2756" i="6"/>
  <c r="R2757" i="6"/>
  <c r="R2758" i="6"/>
  <c r="R2759" i="6"/>
  <c r="R2760" i="6"/>
  <c r="R2761" i="6"/>
  <c r="R2762" i="6"/>
  <c r="R2763" i="6"/>
  <c r="R2764" i="6"/>
  <c r="R2765" i="6"/>
  <c r="R2766" i="6"/>
  <c r="R2767" i="6"/>
  <c r="R2768" i="6"/>
  <c r="R2769" i="6"/>
  <c r="R2770" i="6"/>
  <c r="R2771" i="6"/>
  <c r="R2772" i="6"/>
  <c r="R2773" i="6"/>
  <c r="R2774" i="6"/>
  <c r="R2775" i="6"/>
  <c r="R2776" i="6"/>
  <c r="R2777" i="6"/>
  <c r="R2778" i="6"/>
  <c r="R2779" i="6"/>
  <c r="R2780" i="6"/>
  <c r="R2781" i="6"/>
  <c r="R2782" i="6"/>
  <c r="R2783" i="6"/>
  <c r="R2784" i="6"/>
  <c r="R2785" i="6"/>
  <c r="R2786" i="6"/>
  <c r="R2787" i="6"/>
  <c r="R2788" i="6"/>
  <c r="R2789" i="6"/>
  <c r="R2790" i="6"/>
  <c r="R2791" i="6"/>
  <c r="R2792" i="6"/>
  <c r="R2793" i="6"/>
  <c r="R2794" i="6"/>
  <c r="R2795" i="6"/>
  <c r="R2796" i="6"/>
  <c r="R2797" i="6"/>
  <c r="R2798" i="6"/>
  <c r="R2799" i="6"/>
  <c r="R2800" i="6"/>
  <c r="R2801" i="6"/>
  <c r="R2802" i="6"/>
  <c r="R2803" i="6"/>
  <c r="R2804" i="6"/>
  <c r="R2805" i="6"/>
  <c r="R2806" i="6"/>
  <c r="R2807" i="6"/>
  <c r="R2808" i="6"/>
  <c r="R2809" i="6"/>
  <c r="R2810" i="6"/>
  <c r="R2811" i="6"/>
  <c r="R2812" i="6"/>
  <c r="R2813" i="6"/>
  <c r="R2814" i="6"/>
  <c r="R2815" i="6"/>
  <c r="R2816" i="6"/>
  <c r="R2817" i="6"/>
  <c r="R2818" i="6"/>
  <c r="R2819" i="6"/>
  <c r="R2820" i="6"/>
  <c r="R2821" i="6"/>
  <c r="R2822" i="6"/>
  <c r="R2823" i="6"/>
  <c r="R2824" i="6"/>
  <c r="R2825" i="6"/>
  <c r="R2826" i="6"/>
  <c r="R2827" i="6"/>
  <c r="R2828" i="6"/>
  <c r="R2829" i="6"/>
  <c r="R2830" i="6"/>
  <c r="R2831" i="6"/>
  <c r="R2832" i="6"/>
  <c r="R2833" i="6"/>
  <c r="R2834" i="6"/>
  <c r="R2835" i="6"/>
  <c r="R2836" i="6"/>
  <c r="R2837" i="6"/>
  <c r="R2838" i="6"/>
  <c r="R2839" i="6"/>
  <c r="R2840" i="6"/>
  <c r="R2841" i="6"/>
  <c r="R2842" i="6"/>
  <c r="R2843" i="6"/>
  <c r="R2844" i="6"/>
  <c r="R2845" i="6"/>
  <c r="R2846" i="6"/>
  <c r="R2847" i="6"/>
  <c r="R2848" i="6"/>
  <c r="R2849" i="6"/>
  <c r="R2850" i="6"/>
  <c r="R2851" i="6"/>
  <c r="R2852" i="6"/>
  <c r="R2853" i="6"/>
  <c r="R2854" i="6"/>
  <c r="R2855" i="6"/>
  <c r="R2856" i="6"/>
  <c r="R2857" i="6"/>
  <c r="R2858" i="6"/>
  <c r="R2859" i="6"/>
  <c r="R2860" i="6"/>
  <c r="R2861" i="6"/>
  <c r="R2862" i="6"/>
  <c r="R2863" i="6"/>
  <c r="R2864" i="6"/>
  <c r="R2865" i="6"/>
  <c r="R2866" i="6"/>
  <c r="R2867" i="6"/>
  <c r="R2868" i="6"/>
  <c r="R2869" i="6"/>
  <c r="R2870" i="6"/>
  <c r="R2871" i="6"/>
  <c r="R2872" i="6"/>
  <c r="R2873" i="6"/>
  <c r="R2874" i="6"/>
  <c r="R2875" i="6"/>
  <c r="R2876" i="6"/>
  <c r="R2877" i="6"/>
  <c r="R2878" i="6"/>
  <c r="R2879" i="6"/>
  <c r="R2880" i="6"/>
  <c r="R2881" i="6"/>
  <c r="R2882" i="6"/>
  <c r="R2883" i="6"/>
  <c r="R2884" i="6"/>
  <c r="R2885" i="6"/>
  <c r="R2886" i="6"/>
  <c r="R2887" i="6"/>
  <c r="R2888" i="6"/>
  <c r="R2889" i="6"/>
  <c r="R2890" i="6"/>
  <c r="R2891" i="6"/>
  <c r="R2892" i="6"/>
  <c r="R2893" i="6"/>
  <c r="R2894" i="6"/>
  <c r="R2895" i="6"/>
  <c r="R2896" i="6"/>
  <c r="R2897" i="6"/>
  <c r="R2898" i="6"/>
  <c r="R2899" i="6"/>
  <c r="R2900" i="6"/>
  <c r="R2901" i="6"/>
  <c r="R2902" i="6"/>
  <c r="R2903" i="6"/>
  <c r="R2904" i="6"/>
  <c r="R2905" i="6"/>
  <c r="R2906" i="6"/>
  <c r="R2907" i="6"/>
  <c r="R2908" i="6"/>
  <c r="R2909" i="6"/>
  <c r="R2910" i="6"/>
  <c r="R2911" i="6"/>
  <c r="R2912" i="6"/>
  <c r="R2913" i="6"/>
  <c r="R2914" i="6"/>
  <c r="R2915" i="6"/>
  <c r="R2916" i="6"/>
  <c r="R2917" i="6"/>
  <c r="R2918" i="6"/>
  <c r="R2919" i="6"/>
  <c r="R2920" i="6"/>
  <c r="R2921" i="6"/>
  <c r="R2922" i="6"/>
  <c r="R2923" i="6"/>
  <c r="R2924" i="6"/>
  <c r="R2925" i="6"/>
  <c r="R2926" i="6"/>
  <c r="R2927" i="6"/>
  <c r="R2928" i="6"/>
  <c r="R2929" i="6"/>
  <c r="R2930" i="6"/>
  <c r="R2931" i="6"/>
  <c r="R2932" i="6"/>
  <c r="R2933" i="6"/>
  <c r="R2934" i="6"/>
  <c r="R2935" i="6"/>
  <c r="R2936" i="6"/>
  <c r="R2937" i="6"/>
  <c r="R2938" i="6"/>
  <c r="R2939" i="6"/>
  <c r="R2940" i="6"/>
  <c r="R2941" i="6"/>
  <c r="R2942" i="6"/>
  <c r="R2943" i="6"/>
  <c r="R2944" i="6"/>
  <c r="R2945" i="6"/>
  <c r="R2946" i="6"/>
  <c r="R2947" i="6"/>
  <c r="R2948" i="6"/>
  <c r="R2949" i="6"/>
  <c r="R2950" i="6"/>
  <c r="R2951" i="6"/>
  <c r="R2952" i="6"/>
  <c r="R2953" i="6"/>
  <c r="R2954" i="6"/>
  <c r="R2955" i="6"/>
  <c r="R2956" i="6"/>
  <c r="R2957" i="6"/>
  <c r="R2958" i="6"/>
  <c r="R2959" i="6"/>
  <c r="R2960" i="6"/>
  <c r="R2961" i="6"/>
  <c r="R2962" i="6"/>
  <c r="R2963" i="6"/>
  <c r="R2964" i="6"/>
  <c r="R2965" i="6"/>
  <c r="R2966" i="6"/>
  <c r="R2967" i="6"/>
  <c r="R2968" i="6"/>
  <c r="R2969" i="6"/>
  <c r="R2970" i="6"/>
  <c r="R2971" i="6"/>
  <c r="R2972" i="6"/>
  <c r="R2973" i="6"/>
  <c r="R2974" i="6"/>
  <c r="R2975" i="6"/>
  <c r="R2976" i="6"/>
  <c r="R2977" i="6"/>
  <c r="R2978" i="6"/>
  <c r="R2979" i="6"/>
  <c r="R2980" i="6"/>
  <c r="R2981" i="6"/>
  <c r="R2982" i="6"/>
  <c r="R2983" i="6"/>
  <c r="R2984" i="6"/>
  <c r="R2985" i="6"/>
  <c r="R2986" i="6"/>
  <c r="R2987" i="6"/>
  <c r="R2988" i="6"/>
  <c r="R2989" i="6"/>
  <c r="R2990" i="6"/>
  <c r="R2991" i="6"/>
  <c r="R2992" i="6"/>
  <c r="R2993" i="6"/>
  <c r="R2994" i="6"/>
  <c r="R2995" i="6"/>
  <c r="R2996" i="6"/>
  <c r="R2997" i="6"/>
  <c r="R2998" i="6"/>
  <c r="R2999" i="6"/>
  <c r="R3000" i="6"/>
  <c r="R3001" i="6"/>
  <c r="R3002" i="6"/>
  <c r="R3003" i="6"/>
  <c r="R3004" i="6"/>
  <c r="R2" i="6"/>
  <c r="P3004" i="6"/>
  <c r="P1273" i="6"/>
  <c r="P1270" i="6"/>
  <c r="P1278" i="6"/>
  <c r="P1277" i="6"/>
  <c r="P1272" i="6"/>
  <c r="P1271" i="6"/>
  <c r="P1269" i="6"/>
  <c r="P1268" i="6"/>
  <c r="P1267" i="6"/>
  <c r="P1266" i="6"/>
  <c r="P1265" i="6"/>
  <c r="P1264" i="6"/>
  <c r="P1263" i="6"/>
  <c r="P1261" i="6"/>
  <c r="P1260" i="6"/>
  <c r="P1259" i="6"/>
  <c r="P1258" i="6"/>
  <c r="P1257" i="6"/>
  <c r="P1256" i="6"/>
  <c r="P1255" i="6"/>
  <c r="P1254" i="6"/>
  <c r="P1253" i="6"/>
  <c r="P1252" i="6"/>
  <c r="P1251" i="6"/>
  <c r="P1250" i="6"/>
  <c r="P1249" i="6"/>
  <c r="P1248" i="6"/>
  <c r="P1247" i="6"/>
  <c r="P1246" i="6"/>
  <c r="P1245" i="6"/>
  <c r="P1244" i="6"/>
  <c r="P1243" i="6"/>
  <c r="P1242" i="6"/>
  <c r="P1234" i="6"/>
  <c r="P1233" i="6"/>
  <c r="P1232" i="6"/>
  <c r="P1231" i="6"/>
  <c r="P1230" i="6"/>
  <c r="P1229" i="6"/>
  <c r="P1228" i="6"/>
  <c r="P1205" i="6"/>
  <c r="P1204" i="6"/>
  <c r="P1116" i="6"/>
  <c r="P1115" i="6"/>
  <c r="P1114" i="6"/>
  <c r="P1113" i="6"/>
  <c r="P1112" i="6"/>
  <c r="P1111" i="6"/>
  <c r="P1108" i="6"/>
  <c r="P1107" i="6"/>
  <c r="P1106" i="6"/>
  <c r="P1105" i="6"/>
  <c r="P1103" i="6"/>
  <c r="P1102" i="6"/>
  <c r="P1101" i="6"/>
  <c r="P1100" i="6"/>
  <c r="P1099" i="6"/>
  <c r="P1098" i="6"/>
  <c r="P1097" i="6"/>
  <c r="P1096" i="6"/>
  <c r="P1095" i="6"/>
  <c r="P1094" i="6"/>
  <c r="P1093" i="6"/>
  <c r="P1092" i="6"/>
  <c r="P1091" i="6"/>
  <c r="P1090" i="6"/>
  <c r="P1089" i="6"/>
  <c r="P1088" i="6"/>
  <c r="P1086" i="6"/>
  <c r="P1085" i="6"/>
  <c r="P1071" i="6"/>
  <c r="P1070" i="6"/>
  <c r="P1069" i="6"/>
  <c r="P1068" i="6"/>
  <c r="P903" i="6"/>
  <c r="P902" i="6"/>
  <c r="P900" i="6"/>
  <c r="P899" i="6"/>
  <c r="P761" i="6"/>
  <c r="P760" i="6"/>
  <c r="P759" i="6"/>
  <c r="P758" i="6"/>
  <c r="P670" i="6"/>
  <c r="P669" i="6"/>
  <c r="P667" i="6"/>
  <c r="P666" i="6"/>
  <c r="P665" i="6"/>
  <c r="P664" i="6"/>
  <c r="P663" i="6"/>
  <c r="P608" i="6"/>
  <c r="P607" i="6"/>
  <c r="P593" i="6"/>
  <c r="P592" i="6"/>
  <c r="P591" i="6"/>
  <c r="P590" i="6"/>
  <c r="P589" i="6"/>
  <c r="P588" i="6"/>
  <c r="P587" i="6"/>
  <c r="P586" i="6"/>
  <c r="P585" i="6"/>
  <c r="P584" i="6"/>
  <c r="P583" i="6"/>
  <c r="P582" i="6"/>
  <c r="P581" i="6"/>
  <c r="P580" i="6"/>
  <c r="P579" i="6"/>
  <c r="P578" i="6"/>
  <c r="P577" i="6"/>
  <c r="P576" i="6"/>
  <c r="P575" i="6"/>
  <c r="P574" i="6"/>
  <c r="P573" i="6"/>
  <c r="P572" i="6"/>
  <c r="P571" i="6"/>
  <c r="P570" i="6"/>
  <c r="P568" i="6"/>
  <c r="P567" i="6"/>
  <c r="P565" i="6"/>
  <c r="P564" i="6"/>
  <c r="P559" i="6"/>
  <c r="P558" i="6"/>
  <c r="P554" i="6"/>
  <c r="P553" i="6"/>
  <c r="P549" i="6"/>
  <c r="P548" i="6"/>
  <c r="P544" i="6"/>
  <c r="P543" i="6"/>
  <c r="P526" i="6"/>
  <c r="P525" i="6"/>
  <c r="P521" i="6"/>
  <c r="P520" i="6"/>
  <c r="P516" i="6"/>
  <c r="P515" i="6"/>
  <c r="P511" i="6"/>
  <c r="P510" i="6"/>
  <c r="P495" i="6"/>
  <c r="P494" i="6"/>
  <c r="P464" i="6"/>
  <c r="P463" i="6"/>
  <c r="P309" i="6"/>
  <c r="P308" i="6"/>
  <c r="P160" i="6"/>
  <c r="P159" i="6"/>
  <c r="P158" i="6"/>
  <c r="P157" i="6"/>
  <c r="P124" i="6"/>
  <c r="P123" i="6"/>
  <c r="P122" i="6"/>
  <c r="P121" i="6"/>
  <c r="P118" i="6"/>
  <c r="P117" i="6"/>
  <c r="P116" i="6"/>
  <c r="P115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9" i="6"/>
  <c r="P120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Q302" i="6" s="1"/>
  <c r="P303" i="6"/>
  <c r="P304" i="6"/>
  <c r="P305" i="6"/>
  <c r="P306" i="6"/>
  <c r="P307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2" i="6"/>
  <c r="P513" i="6"/>
  <c r="P514" i="6"/>
  <c r="P517" i="6"/>
  <c r="P518" i="6"/>
  <c r="P519" i="6"/>
  <c r="P522" i="6"/>
  <c r="P523" i="6"/>
  <c r="P524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5" i="6"/>
  <c r="P546" i="6"/>
  <c r="P547" i="6"/>
  <c r="P550" i="6"/>
  <c r="P551" i="6"/>
  <c r="P552" i="6"/>
  <c r="P555" i="6"/>
  <c r="P556" i="6"/>
  <c r="P557" i="6"/>
  <c r="P560" i="6"/>
  <c r="P561" i="6"/>
  <c r="P562" i="6"/>
  <c r="P563" i="6"/>
  <c r="P566" i="6"/>
  <c r="P569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8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901" i="6"/>
  <c r="P904" i="6"/>
  <c r="P905" i="6"/>
  <c r="P906" i="6"/>
  <c r="P907" i="6"/>
  <c r="P908" i="6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7" i="6"/>
  <c r="P1104" i="6"/>
  <c r="P1109" i="6"/>
  <c r="P1110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164" i="6"/>
  <c r="P1165" i="6"/>
  <c r="P1166" i="6"/>
  <c r="P1167" i="6"/>
  <c r="P1168" i="6"/>
  <c r="P1169" i="6"/>
  <c r="P1170" i="6"/>
  <c r="P1171" i="6"/>
  <c r="P1172" i="6"/>
  <c r="P1173" i="6"/>
  <c r="P1174" i="6"/>
  <c r="P1175" i="6"/>
  <c r="P1176" i="6"/>
  <c r="P1177" i="6"/>
  <c r="P1178" i="6"/>
  <c r="P1179" i="6"/>
  <c r="P1180" i="6"/>
  <c r="P1181" i="6"/>
  <c r="P1182" i="6"/>
  <c r="P1183" i="6"/>
  <c r="P1184" i="6"/>
  <c r="P1185" i="6"/>
  <c r="P1186" i="6"/>
  <c r="P1187" i="6"/>
  <c r="P1188" i="6"/>
  <c r="P1189" i="6"/>
  <c r="P1190" i="6"/>
  <c r="P1191" i="6"/>
  <c r="P1192" i="6"/>
  <c r="P1193" i="6"/>
  <c r="P1194" i="6"/>
  <c r="P1195" i="6"/>
  <c r="P1196" i="6"/>
  <c r="P1197" i="6"/>
  <c r="P1198" i="6"/>
  <c r="P1199" i="6"/>
  <c r="P1200" i="6"/>
  <c r="P1201" i="6"/>
  <c r="P1202" i="6"/>
  <c r="P1203" i="6"/>
  <c r="P1206" i="6"/>
  <c r="P1207" i="6"/>
  <c r="P1208" i="6"/>
  <c r="P1209" i="6"/>
  <c r="P1210" i="6"/>
  <c r="P1211" i="6"/>
  <c r="P1212" i="6"/>
  <c r="P1213" i="6"/>
  <c r="P1214" i="6"/>
  <c r="P1215" i="6"/>
  <c r="P1216" i="6"/>
  <c r="P1217" i="6"/>
  <c r="P1218" i="6"/>
  <c r="P1219" i="6"/>
  <c r="P1220" i="6"/>
  <c r="P1221" i="6"/>
  <c r="P1222" i="6"/>
  <c r="P1223" i="6"/>
  <c r="P1224" i="6"/>
  <c r="P1225" i="6"/>
  <c r="P1226" i="6"/>
  <c r="P1227" i="6"/>
  <c r="P1235" i="6"/>
  <c r="P1236" i="6"/>
  <c r="P1237" i="6"/>
  <c r="P1238" i="6"/>
  <c r="P1239" i="6"/>
  <c r="P1240" i="6"/>
  <c r="P1241" i="6"/>
  <c r="P1262" i="6"/>
  <c r="P1274" i="6"/>
  <c r="P1275" i="6"/>
  <c r="P1276" i="6"/>
  <c r="P1279" i="6"/>
  <c r="P1280" i="6"/>
  <c r="P1281" i="6"/>
  <c r="P1282" i="6"/>
  <c r="P1283" i="6"/>
  <c r="P1284" i="6"/>
  <c r="P1285" i="6"/>
  <c r="P1286" i="6"/>
  <c r="P1287" i="6"/>
  <c r="P1288" i="6"/>
  <c r="P1289" i="6"/>
  <c r="P1290" i="6"/>
  <c r="P1291" i="6"/>
  <c r="P1292" i="6"/>
  <c r="P1293" i="6"/>
  <c r="P1294" i="6"/>
  <c r="P1295" i="6"/>
  <c r="P1296" i="6"/>
  <c r="P1297" i="6"/>
  <c r="P1298" i="6"/>
  <c r="P1299" i="6"/>
  <c r="P1300" i="6"/>
  <c r="P1301" i="6"/>
  <c r="P1302" i="6"/>
  <c r="P1303" i="6"/>
  <c r="P1304" i="6"/>
  <c r="P1305" i="6"/>
  <c r="P1306" i="6"/>
  <c r="P1307" i="6"/>
  <c r="P1308" i="6"/>
  <c r="P1309" i="6"/>
  <c r="P1310" i="6"/>
  <c r="P1311" i="6"/>
  <c r="P1312" i="6"/>
  <c r="P1313" i="6"/>
  <c r="P1314" i="6"/>
  <c r="P1315" i="6"/>
  <c r="P1316" i="6"/>
  <c r="P1317" i="6"/>
  <c r="P1318" i="6"/>
  <c r="P1319" i="6"/>
  <c r="P1320" i="6"/>
  <c r="P1321" i="6"/>
  <c r="P1322" i="6"/>
  <c r="P1323" i="6"/>
  <c r="P1324" i="6"/>
  <c r="P1325" i="6"/>
  <c r="P1326" i="6"/>
  <c r="P1327" i="6"/>
  <c r="P1328" i="6"/>
  <c r="P1329" i="6"/>
  <c r="P1330" i="6"/>
  <c r="P1331" i="6"/>
  <c r="P1332" i="6"/>
  <c r="P1333" i="6"/>
  <c r="P1334" i="6"/>
  <c r="P1335" i="6"/>
  <c r="P1336" i="6"/>
  <c r="P1337" i="6"/>
  <c r="P1338" i="6"/>
  <c r="P1339" i="6"/>
  <c r="P1340" i="6"/>
  <c r="P1341" i="6"/>
  <c r="P1342" i="6"/>
  <c r="P1343" i="6"/>
  <c r="P1344" i="6"/>
  <c r="P1345" i="6"/>
  <c r="P1346" i="6"/>
  <c r="P1347" i="6"/>
  <c r="P1348" i="6"/>
  <c r="P1349" i="6"/>
  <c r="P1350" i="6"/>
  <c r="P1351" i="6"/>
  <c r="P1352" i="6"/>
  <c r="P1353" i="6"/>
  <c r="P1354" i="6"/>
  <c r="P1355" i="6"/>
  <c r="P1356" i="6"/>
  <c r="P1357" i="6"/>
  <c r="P1358" i="6"/>
  <c r="P1359" i="6"/>
  <c r="P1360" i="6"/>
  <c r="P1361" i="6"/>
  <c r="P1362" i="6"/>
  <c r="P1363" i="6"/>
  <c r="P1364" i="6"/>
  <c r="P1365" i="6"/>
  <c r="P1366" i="6"/>
  <c r="P1367" i="6"/>
  <c r="P1368" i="6"/>
  <c r="P1369" i="6"/>
  <c r="P1370" i="6"/>
  <c r="P1371" i="6"/>
  <c r="P1372" i="6"/>
  <c r="P1373" i="6"/>
  <c r="P1374" i="6"/>
  <c r="P1375" i="6"/>
  <c r="P1376" i="6"/>
  <c r="P1377" i="6"/>
  <c r="P1378" i="6"/>
  <c r="P1379" i="6"/>
  <c r="P1380" i="6"/>
  <c r="P1381" i="6"/>
  <c r="P1382" i="6"/>
  <c r="P1383" i="6"/>
  <c r="P1384" i="6"/>
  <c r="P1385" i="6"/>
  <c r="P1386" i="6"/>
  <c r="P1387" i="6"/>
  <c r="P1388" i="6"/>
  <c r="P1389" i="6"/>
  <c r="P1390" i="6"/>
  <c r="P1391" i="6"/>
  <c r="P1392" i="6"/>
  <c r="P1393" i="6"/>
  <c r="P1394" i="6"/>
  <c r="P1395" i="6"/>
  <c r="P1396" i="6"/>
  <c r="P1397" i="6"/>
  <c r="P1398" i="6"/>
  <c r="P1399" i="6"/>
  <c r="P1400" i="6"/>
  <c r="P1401" i="6"/>
  <c r="P1402" i="6"/>
  <c r="P1403" i="6"/>
  <c r="P1404" i="6"/>
  <c r="P1405" i="6"/>
  <c r="P1406" i="6"/>
  <c r="P1407" i="6"/>
  <c r="P1408" i="6"/>
  <c r="P1409" i="6"/>
  <c r="P1410" i="6"/>
  <c r="P1411" i="6"/>
  <c r="P1412" i="6"/>
  <c r="P1413" i="6"/>
  <c r="P1414" i="6"/>
  <c r="P1415" i="6"/>
  <c r="P1416" i="6"/>
  <c r="P1417" i="6"/>
  <c r="P1418" i="6"/>
  <c r="P1419" i="6"/>
  <c r="P1420" i="6"/>
  <c r="P1421" i="6"/>
  <c r="P1422" i="6"/>
  <c r="P1423" i="6"/>
  <c r="P1424" i="6"/>
  <c r="P1425" i="6"/>
  <c r="P1426" i="6"/>
  <c r="P1427" i="6"/>
  <c r="P1428" i="6"/>
  <c r="P1429" i="6"/>
  <c r="P1430" i="6"/>
  <c r="P1431" i="6"/>
  <c r="P1432" i="6"/>
  <c r="P1433" i="6"/>
  <c r="P1434" i="6"/>
  <c r="P1435" i="6"/>
  <c r="P1436" i="6"/>
  <c r="P1437" i="6"/>
  <c r="P1438" i="6"/>
  <c r="P1439" i="6"/>
  <c r="P1440" i="6"/>
  <c r="P1441" i="6"/>
  <c r="P1442" i="6"/>
  <c r="P1443" i="6"/>
  <c r="P1444" i="6"/>
  <c r="P1445" i="6"/>
  <c r="P1446" i="6"/>
  <c r="P1447" i="6"/>
  <c r="P1448" i="6"/>
  <c r="P2" i="6"/>
  <c r="A3129" i="6"/>
  <c r="Q36" i="6" l="1"/>
  <c r="Q12" i="6"/>
  <c r="Q35" i="6"/>
  <c r="Q31" i="6"/>
  <c r="Q27" i="6"/>
  <c r="Q23" i="6"/>
  <c r="Q16" i="6"/>
  <c r="Q34" i="6"/>
  <c r="Q22" i="6"/>
  <c r="Q18" i="6"/>
  <c r="Q14" i="6"/>
  <c r="Q10" i="6"/>
  <c r="Q6" i="6"/>
  <c r="Q44" i="6"/>
  <c r="Q20" i="6"/>
  <c r="Q8" i="6"/>
  <c r="Q301" i="6"/>
  <c r="Q29" i="6"/>
  <c r="Q25" i="6"/>
  <c r="T1444" i="6"/>
  <c r="T1440" i="6"/>
  <c r="T1436" i="6"/>
  <c r="T1428" i="6"/>
  <c r="T1408" i="6"/>
  <c r="T1392" i="6"/>
  <c r="T1376" i="6"/>
  <c r="T1443" i="6"/>
  <c r="T1431" i="6"/>
  <c r="T1423" i="6"/>
  <c r="T1390" i="6"/>
  <c r="T1358" i="6"/>
  <c r="T1310" i="6"/>
  <c r="T1262" i="6"/>
  <c r="T1230" i="6"/>
  <c r="T1182" i="6"/>
  <c r="T1134" i="6"/>
  <c r="T1070" i="6"/>
  <c r="T1038" i="6"/>
  <c r="T990" i="6"/>
  <c r="T942" i="6"/>
  <c r="T1420" i="6"/>
  <c r="T1404" i="6"/>
  <c r="T1388" i="6"/>
  <c r="T1372" i="6"/>
  <c r="T1439" i="6"/>
  <c r="T1427" i="6"/>
  <c r="T1419" i="6"/>
  <c r="T1422" i="6"/>
  <c r="T1374" i="6"/>
  <c r="T1326" i="6"/>
  <c r="T1294" i="6"/>
  <c r="T1246" i="6"/>
  <c r="T1198" i="6"/>
  <c r="T1166" i="6"/>
  <c r="T1118" i="6"/>
  <c r="T1102" i="6"/>
  <c r="T1054" i="6"/>
  <c r="T1006" i="6"/>
  <c r="T974" i="6"/>
  <c r="T1432" i="6"/>
  <c r="T1416" i="6"/>
  <c r="T1400" i="6"/>
  <c r="T1384" i="6"/>
  <c r="T1368" i="6"/>
  <c r="T1364" i="6"/>
  <c r="T1360" i="6"/>
  <c r="T1356" i="6"/>
  <c r="T1352" i="6"/>
  <c r="T1348" i="6"/>
  <c r="T1344" i="6"/>
  <c r="T1340" i="6"/>
  <c r="T1336" i="6"/>
  <c r="T896" i="6"/>
  <c r="T832" i="6"/>
  <c r="T704" i="6"/>
  <c r="T640" i="6"/>
  <c r="T576" i="6"/>
  <c r="T448" i="6"/>
  <c r="T384" i="6"/>
  <c r="T1424" i="6"/>
  <c r="T1412" i="6"/>
  <c r="T1396" i="6"/>
  <c r="T1380" i="6"/>
  <c r="T1447" i="6"/>
  <c r="T1435" i="6"/>
  <c r="T1415" i="6"/>
  <c r="T1411" i="6"/>
  <c r="T1407" i="6"/>
  <c r="T1403" i="6"/>
  <c r="T1399" i="6"/>
  <c r="T1395" i="6"/>
  <c r="T1391" i="6"/>
  <c r="T1387" i="6"/>
  <c r="T1383" i="6"/>
  <c r="T1379" i="6"/>
  <c r="T1375" i="6"/>
  <c r="T1371" i="6"/>
  <c r="T512" i="6"/>
  <c r="T1363" i="6"/>
  <c r="T1351" i="6"/>
  <c r="T1339" i="6"/>
  <c r="T1327" i="6"/>
  <c r="T1315" i="6"/>
  <c r="T1307" i="6"/>
  <c r="T1299" i="6"/>
  <c r="T1295" i="6"/>
  <c r="T1279" i="6"/>
  <c r="T1267" i="6"/>
  <c r="T1255" i="6"/>
  <c r="T1243" i="6"/>
  <c r="T1231" i="6"/>
  <c r="T1219" i="6"/>
  <c r="T1211" i="6"/>
  <c r="T1199" i="6"/>
  <c r="T1187" i="6"/>
  <c r="T1175" i="6"/>
  <c r="T1159" i="6"/>
  <c r="T1151" i="6"/>
  <c r="T1135" i="6"/>
  <c r="T1123" i="6"/>
  <c r="T1111" i="6"/>
  <c r="T1099" i="6"/>
  <c r="T1091" i="6"/>
  <c r="T1075" i="6"/>
  <c r="T1067" i="6"/>
  <c r="T1055" i="6"/>
  <c r="T1043" i="6"/>
  <c r="T955" i="6"/>
  <c r="T835" i="6"/>
  <c r="T823" i="6"/>
  <c r="T811" i="6"/>
  <c r="T799" i="6"/>
  <c r="T787" i="6"/>
  <c r="T775" i="6"/>
  <c r="T763" i="6"/>
  <c r="T751" i="6"/>
  <c r="T739" i="6"/>
  <c r="T727" i="6"/>
  <c r="T711" i="6"/>
  <c r="T699" i="6"/>
  <c r="T691" i="6"/>
  <c r="T679" i="6"/>
  <c r="T667" i="6"/>
  <c r="T651" i="6"/>
  <c r="T639" i="6"/>
  <c r="T1367" i="6"/>
  <c r="T1355" i="6"/>
  <c r="T1343" i="6"/>
  <c r="T1331" i="6"/>
  <c r="T1319" i="6"/>
  <c r="T1311" i="6"/>
  <c r="T1303" i="6"/>
  <c r="T1291" i="6"/>
  <c r="T1283" i="6"/>
  <c r="T1271" i="6"/>
  <c r="T1259" i="6"/>
  <c r="T1247" i="6"/>
  <c r="T1235" i="6"/>
  <c r="T1223" i="6"/>
  <c r="T1207" i="6"/>
  <c r="T1195" i="6"/>
  <c r="T1183" i="6"/>
  <c r="T1171" i="6"/>
  <c r="T1163" i="6"/>
  <c r="T1147" i="6"/>
  <c r="T1139" i="6"/>
  <c r="T1127" i="6"/>
  <c r="T1115" i="6"/>
  <c r="T1103" i="6"/>
  <c r="T1087" i="6"/>
  <c r="T1079" i="6"/>
  <c r="T1063" i="6"/>
  <c r="T1051" i="6"/>
  <c r="T1035" i="6"/>
  <c r="T1031" i="6"/>
  <c r="T1023" i="6"/>
  <c r="T1019" i="6"/>
  <c r="T1011" i="6"/>
  <c r="T1003" i="6"/>
  <c r="T999" i="6"/>
  <c r="T991" i="6"/>
  <c r="T987" i="6"/>
  <c r="T983" i="6"/>
  <c r="T975" i="6"/>
  <c r="T967" i="6"/>
  <c r="T959" i="6"/>
  <c r="T947" i="6"/>
  <c r="T939" i="6"/>
  <c r="T931" i="6"/>
  <c r="T927" i="6"/>
  <c r="T919" i="6"/>
  <c r="T911" i="6"/>
  <c r="T903" i="6"/>
  <c r="T895" i="6"/>
  <c r="T879" i="6"/>
  <c r="T871" i="6"/>
  <c r="T863" i="6"/>
  <c r="T851" i="6"/>
  <c r="T843" i="6"/>
  <c r="T831" i="6"/>
  <c r="T819" i="6"/>
  <c r="T807" i="6"/>
  <c r="T795" i="6"/>
  <c r="T783" i="6"/>
  <c r="T771" i="6"/>
  <c r="T759" i="6"/>
  <c r="T747" i="6"/>
  <c r="T735" i="6"/>
  <c r="T723" i="6"/>
  <c r="T715" i="6"/>
  <c r="T703" i="6"/>
  <c r="T687" i="6"/>
  <c r="T675" i="6"/>
  <c r="T663" i="6"/>
  <c r="T655" i="6"/>
  <c r="T643" i="6"/>
  <c r="T631" i="6"/>
  <c r="T623" i="6"/>
  <c r="T615" i="6"/>
  <c r="T611" i="6"/>
  <c r="T603" i="6"/>
  <c r="T599" i="6"/>
  <c r="T591" i="6"/>
  <c r="T587" i="6"/>
  <c r="T579" i="6"/>
  <c r="T575" i="6"/>
  <c r="T567" i="6"/>
  <c r="T559" i="6"/>
  <c r="T551" i="6"/>
  <c r="T523" i="6"/>
  <c r="T515" i="6"/>
  <c r="T1406" i="6"/>
  <c r="T1278" i="6"/>
  <c r="T1150" i="6"/>
  <c r="T1022" i="6"/>
  <c r="T768" i="6"/>
  <c r="T1446" i="6"/>
  <c r="T1442" i="6"/>
  <c r="T1438" i="6"/>
  <c r="T1434" i="6"/>
  <c r="T1430" i="6"/>
  <c r="T1426" i="6"/>
  <c r="T1418" i="6"/>
  <c r="T1414" i="6"/>
  <c r="T1410" i="6"/>
  <c r="T1402" i="6"/>
  <c r="T1398" i="6"/>
  <c r="T1394" i="6"/>
  <c r="T1386" i="6"/>
  <c r="T1382" i="6"/>
  <c r="T1378" i="6"/>
  <c r="T1370" i="6"/>
  <c r="T1366" i="6"/>
  <c r="T1362" i="6"/>
  <c r="T1354" i="6"/>
  <c r="T1350" i="6"/>
  <c r="T1346" i="6"/>
  <c r="T1338" i="6"/>
  <c r="T1334" i="6"/>
  <c r="T1330" i="6"/>
  <c r="T1322" i="6"/>
  <c r="T1318" i="6"/>
  <c r="T1314" i="6"/>
  <c r="T1306" i="6"/>
  <c r="T1302" i="6"/>
  <c r="T1298" i="6"/>
  <c r="T1290" i="6"/>
  <c r="T1286" i="6"/>
  <c r="T1282" i="6"/>
  <c r="T1274" i="6"/>
  <c r="T1270" i="6"/>
  <c r="T1266" i="6"/>
  <c r="T1258" i="6"/>
  <c r="T1254" i="6"/>
  <c r="T1250" i="6"/>
  <c r="T1242" i="6"/>
  <c r="T1238" i="6"/>
  <c r="T1234" i="6"/>
  <c r="T1226" i="6"/>
  <c r="T1222" i="6"/>
  <c r="T1218" i="6"/>
  <c r="T1210" i="6"/>
  <c r="T1206" i="6"/>
  <c r="T1202" i="6"/>
  <c r="T1194" i="6"/>
  <c r="T1190" i="6"/>
  <c r="T1186" i="6"/>
  <c r="T1178" i="6"/>
  <c r="T1174" i="6"/>
  <c r="T1170" i="6"/>
  <c r="T1162" i="6"/>
  <c r="T1158" i="6"/>
  <c r="T1154" i="6"/>
  <c r="T1146" i="6"/>
  <c r="T1142" i="6"/>
  <c r="T1138" i="6"/>
  <c r="T1130" i="6"/>
  <c r="T1126" i="6"/>
  <c r="T1122" i="6"/>
  <c r="T1114" i="6"/>
  <c r="T1110" i="6"/>
  <c r="T1106" i="6"/>
  <c r="T1098" i="6"/>
  <c r="T1094" i="6"/>
  <c r="T1090" i="6"/>
  <c r="T1082" i="6"/>
  <c r="T1078" i="6"/>
  <c r="T1074" i="6"/>
  <c r="T1066" i="6"/>
  <c r="T1062" i="6"/>
  <c r="T1058" i="6"/>
  <c r="T1050" i="6"/>
  <c r="T1046" i="6"/>
  <c r="T1042" i="6"/>
  <c r="T1034" i="6"/>
  <c r="T1030" i="6"/>
  <c r="T1026" i="6"/>
  <c r="T1018" i="6"/>
  <c r="T1014" i="6"/>
  <c r="T1010" i="6"/>
  <c r="T1002" i="6"/>
  <c r="T998" i="6"/>
  <c r="T994" i="6"/>
  <c r="T986" i="6"/>
  <c r="T982" i="6"/>
  <c r="T978" i="6"/>
  <c r="T970" i="6"/>
  <c r="T966" i="6"/>
  <c r="T962" i="6"/>
  <c r="T954" i="6"/>
  <c r="T950" i="6"/>
  <c r="T946" i="6"/>
  <c r="T938" i="6"/>
  <c r="T934" i="6"/>
  <c r="T930" i="6"/>
  <c r="T926" i="6"/>
  <c r="T922" i="6"/>
  <c r="T918" i="6"/>
  <c r="T914" i="6"/>
  <c r="T910" i="6"/>
  <c r="T906" i="6"/>
  <c r="T902" i="6"/>
  <c r="T898" i="6"/>
  <c r="T894" i="6"/>
  <c r="T890" i="6"/>
  <c r="T886" i="6"/>
  <c r="T882" i="6"/>
  <c r="T878" i="6"/>
  <c r="T874" i="6"/>
  <c r="T870" i="6"/>
  <c r="T866" i="6"/>
  <c r="T862" i="6"/>
  <c r="T858" i="6"/>
  <c r="T854" i="6"/>
  <c r="T850" i="6"/>
  <c r="T846" i="6"/>
  <c r="T842" i="6"/>
  <c r="T838" i="6"/>
  <c r="T834" i="6"/>
  <c r="T830" i="6"/>
  <c r="T826" i="6"/>
  <c r="T822" i="6"/>
  <c r="T818" i="6"/>
  <c r="T814" i="6"/>
  <c r="T810" i="6"/>
  <c r="T806" i="6"/>
  <c r="T802" i="6"/>
  <c r="T798" i="6"/>
  <c r="T794" i="6"/>
  <c r="T790" i="6"/>
  <c r="T786" i="6"/>
  <c r="T782" i="6"/>
  <c r="T778" i="6"/>
  <c r="T774" i="6"/>
  <c r="T770" i="6"/>
  <c r="T766" i="6"/>
  <c r="T762" i="6"/>
  <c r="T758" i="6"/>
  <c r="T754" i="6"/>
  <c r="T750" i="6"/>
  <c r="T746" i="6"/>
  <c r="T742" i="6"/>
  <c r="T738" i="6"/>
  <c r="T734" i="6"/>
  <c r="T730" i="6"/>
  <c r="T726" i="6"/>
  <c r="T722" i="6"/>
  <c r="T718" i="6"/>
  <c r="T714" i="6"/>
  <c r="T710" i="6"/>
  <c r="T706" i="6"/>
  <c r="T702" i="6"/>
  <c r="T698" i="6"/>
  <c r="T694" i="6"/>
  <c r="T690" i="6"/>
  <c r="T686" i="6"/>
  <c r="T682" i="6"/>
  <c r="T678" i="6"/>
  <c r="T674" i="6"/>
  <c r="T670" i="6"/>
  <c r="T666" i="6"/>
  <c r="T662" i="6"/>
  <c r="T658" i="6"/>
  <c r="T654" i="6"/>
  <c r="T650" i="6"/>
  <c r="T646" i="6"/>
  <c r="T642" i="6"/>
  <c r="T638" i="6"/>
  <c r="T634" i="6"/>
  <c r="T630" i="6"/>
  <c r="T626" i="6"/>
  <c r="T622" i="6"/>
  <c r="T618" i="6"/>
  <c r="T614" i="6"/>
  <c r="T610" i="6"/>
  <c r="T606" i="6"/>
  <c r="T602" i="6"/>
  <c r="T598" i="6"/>
  <c r="T594" i="6"/>
  <c r="T590" i="6"/>
  <c r="T586" i="6"/>
  <c r="T582" i="6"/>
  <c r="T578" i="6"/>
  <c r="T574" i="6"/>
  <c r="T570" i="6"/>
  <c r="T566" i="6"/>
  <c r="T562" i="6"/>
  <c r="T558" i="6"/>
  <c r="T554" i="6"/>
  <c r="T550" i="6"/>
  <c r="T546" i="6"/>
  <c r="T542" i="6"/>
  <c r="T538" i="6"/>
  <c r="T534" i="6"/>
  <c r="T530" i="6"/>
  <c r="T526" i="6"/>
  <c r="T522" i="6"/>
  <c r="T518" i="6"/>
  <c r="T514" i="6"/>
  <c r="T510" i="6"/>
  <c r="T506" i="6"/>
  <c r="T502" i="6"/>
  <c r="T498" i="6"/>
  <c r="T1359" i="6"/>
  <c r="T1347" i="6"/>
  <c r="T1335" i="6"/>
  <c r="T1323" i="6"/>
  <c r="T1287" i="6"/>
  <c r="T1275" i="6"/>
  <c r="T1263" i="6"/>
  <c r="T1251" i="6"/>
  <c r="T1239" i="6"/>
  <c r="T1227" i="6"/>
  <c r="T1215" i="6"/>
  <c r="T1203" i="6"/>
  <c r="T1191" i="6"/>
  <c r="T1179" i="6"/>
  <c r="T1167" i="6"/>
  <c r="T1155" i="6"/>
  <c r="T1143" i="6"/>
  <c r="T1131" i="6"/>
  <c r="T1119" i="6"/>
  <c r="T1107" i="6"/>
  <c r="T1095" i="6"/>
  <c r="T1083" i="6"/>
  <c r="T1071" i="6"/>
  <c r="T1059" i="6"/>
  <c r="T1047" i="6"/>
  <c r="T1039" i="6"/>
  <c r="T1027" i="6"/>
  <c r="T1015" i="6"/>
  <c r="T1007" i="6"/>
  <c r="T995" i="6"/>
  <c r="T979" i="6"/>
  <c r="T971" i="6"/>
  <c r="T963" i="6"/>
  <c r="T951" i="6"/>
  <c r="T943" i="6"/>
  <c r="T935" i="6"/>
  <c r="T923" i="6"/>
  <c r="T915" i="6"/>
  <c r="T907" i="6"/>
  <c r="T899" i="6"/>
  <c r="T891" i="6"/>
  <c r="T887" i="6"/>
  <c r="T883" i="6"/>
  <c r="T875" i="6"/>
  <c r="T867" i="6"/>
  <c r="T859" i="6"/>
  <c r="T855" i="6"/>
  <c r="T847" i="6"/>
  <c r="T839" i="6"/>
  <c r="T827" i="6"/>
  <c r="T815" i="6"/>
  <c r="T803" i="6"/>
  <c r="T791" i="6"/>
  <c r="T779" i="6"/>
  <c r="T767" i="6"/>
  <c r="T755" i="6"/>
  <c r="T743" i="6"/>
  <c r="T731" i="6"/>
  <c r="T719" i="6"/>
  <c r="T707" i="6"/>
  <c r="T695" i="6"/>
  <c r="T683" i="6"/>
  <c r="T671" i="6"/>
  <c r="T659" i="6"/>
  <c r="T647" i="6"/>
  <c r="T635" i="6"/>
  <c r="T627" i="6"/>
  <c r="T619" i="6"/>
  <c r="T607" i="6"/>
  <c r="T595" i="6"/>
  <c r="T583" i="6"/>
  <c r="T571" i="6"/>
  <c r="T563" i="6"/>
  <c r="T555" i="6"/>
  <c r="T547" i="6"/>
  <c r="T543" i="6"/>
  <c r="T539" i="6"/>
  <c r="T535" i="6"/>
  <c r="T531" i="6"/>
  <c r="T527" i="6"/>
  <c r="T519" i="6"/>
  <c r="T511" i="6"/>
  <c r="T1342" i="6"/>
  <c r="T1214" i="6"/>
  <c r="T1086" i="6"/>
  <c r="T958" i="6"/>
  <c r="T2" i="6"/>
  <c r="T1445" i="6"/>
  <c r="T1441" i="6"/>
  <c r="T1437" i="6"/>
  <c r="T1433" i="6"/>
  <c r="T1429" i="6"/>
  <c r="T1425" i="6"/>
  <c r="T1421" i="6"/>
  <c r="T1417" i="6"/>
  <c r="T1413" i="6"/>
  <c r="T1409" i="6"/>
  <c r="T1405" i="6"/>
  <c r="T1401" i="6"/>
  <c r="T1397" i="6"/>
  <c r="T1393" i="6"/>
  <c r="T1389" i="6"/>
  <c r="T1385" i="6"/>
  <c r="T1381" i="6"/>
  <c r="T1377" i="6"/>
  <c r="T1373" i="6"/>
  <c r="T1369" i="6"/>
  <c r="T1365" i="6"/>
  <c r="T1361" i="6"/>
  <c r="T1357" i="6"/>
  <c r="T1353" i="6"/>
  <c r="T1349" i="6"/>
  <c r="T1345" i="6"/>
  <c r="T1341" i="6"/>
  <c r="T1337" i="6"/>
  <c r="T1333" i="6"/>
  <c r="T1329" i="6"/>
  <c r="T1325" i="6"/>
  <c r="T1321" i="6"/>
  <c r="T1317" i="6"/>
  <c r="T1313" i="6"/>
  <c r="T1309" i="6"/>
  <c r="T1305" i="6"/>
  <c r="T1301" i="6"/>
  <c r="T1297" i="6"/>
  <c r="T1293" i="6"/>
  <c r="T1289" i="6"/>
  <c r="T1285" i="6"/>
  <c r="T1281" i="6"/>
  <c r="T1277" i="6"/>
  <c r="T1273" i="6"/>
  <c r="T1269" i="6"/>
  <c r="T1265" i="6"/>
  <c r="T1261" i="6"/>
  <c r="T1257" i="6"/>
  <c r="T1253" i="6"/>
  <c r="T1249" i="6"/>
  <c r="T1245" i="6"/>
  <c r="T1241" i="6"/>
  <c r="T1237" i="6"/>
  <c r="T1233" i="6"/>
  <c r="T1229" i="6"/>
  <c r="T1225" i="6"/>
  <c r="T1221" i="6"/>
  <c r="T1217" i="6"/>
  <c r="T1213" i="6"/>
  <c r="T1209" i="6"/>
  <c r="T1205" i="6"/>
  <c r="T1201" i="6"/>
  <c r="T1197" i="6"/>
  <c r="T1193" i="6"/>
  <c r="T1189" i="6"/>
  <c r="T1185" i="6"/>
  <c r="T1181" i="6"/>
  <c r="T1177" i="6"/>
  <c r="T1173" i="6"/>
  <c r="T1169" i="6"/>
  <c r="T1165" i="6"/>
  <c r="T1161" i="6"/>
  <c r="T1157" i="6"/>
  <c r="T1153" i="6"/>
  <c r="T1149" i="6"/>
  <c r="T1145" i="6"/>
  <c r="T1141" i="6"/>
  <c r="T1137" i="6"/>
  <c r="T1133" i="6"/>
  <c r="T1129" i="6"/>
  <c r="T1125" i="6"/>
  <c r="T1121" i="6"/>
  <c r="T1117" i="6"/>
  <c r="T1113" i="6"/>
  <c r="T1109" i="6"/>
  <c r="T1105" i="6"/>
  <c r="T1101" i="6"/>
  <c r="T1097" i="6"/>
  <c r="T1093" i="6"/>
  <c r="T1089" i="6"/>
  <c r="T1085" i="6"/>
  <c r="T1081" i="6"/>
  <c r="T1077" i="6"/>
  <c r="T1073" i="6"/>
  <c r="T1069" i="6"/>
  <c r="T1065" i="6"/>
  <c r="T1061" i="6"/>
  <c r="T1057" i="6"/>
  <c r="T1053" i="6"/>
  <c r="T1049" i="6"/>
  <c r="T1045" i="6"/>
  <c r="T1041" i="6"/>
  <c r="T1037" i="6"/>
  <c r="T1033" i="6"/>
  <c r="T1029" i="6"/>
  <c r="T1025" i="6"/>
  <c r="T1021" i="6"/>
  <c r="T1017" i="6"/>
  <c r="T1013" i="6"/>
  <c r="T1009" i="6"/>
  <c r="T1005" i="6"/>
  <c r="T1001" i="6"/>
  <c r="T997" i="6"/>
  <c r="T993" i="6"/>
  <c r="T989" i="6"/>
  <c r="T985" i="6"/>
  <c r="T981" i="6"/>
  <c r="T977" i="6"/>
  <c r="T973" i="6"/>
  <c r="T969" i="6"/>
  <c r="T965" i="6"/>
  <c r="T961" i="6"/>
  <c r="T957" i="6"/>
  <c r="T953" i="6"/>
  <c r="T949" i="6"/>
  <c r="T945" i="6"/>
  <c r="T941" i="6"/>
  <c r="T937" i="6"/>
  <c r="T933" i="6"/>
  <c r="T929" i="6"/>
  <c r="T925" i="6"/>
  <c r="T921" i="6"/>
  <c r="T917" i="6"/>
  <c r="T913" i="6"/>
  <c r="T909" i="6"/>
  <c r="T905" i="6"/>
  <c r="T901" i="6"/>
  <c r="T897" i="6"/>
  <c r="T893" i="6"/>
  <c r="T889" i="6"/>
  <c r="T885" i="6"/>
  <c r="T881" i="6"/>
  <c r="T877" i="6"/>
  <c r="T873" i="6"/>
  <c r="T869" i="6"/>
  <c r="T865" i="6"/>
  <c r="T861" i="6"/>
  <c r="T857" i="6"/>
  <c r="T853" i="6"/>
  <c r="T849" i="6"/>
  <c r="T845" i="6"/>
  <c r="T841" i="6"/>
  <c r="T837" i="6"/>
  <c r="T833" i="6"/>
  <c r="T829" i="6"/>
  <c r="T825" i="6"/>
  <c r="T821" i="6"/>
  <c r="T817" i="6"/>
  <c r="T813" i="6"/>
  <c r="T809" i="6"/>
  <c r="T805" i="6"/>
  <c r="T801" i="6"/>
  <c r="T797" i="6"/>
  <c r="T793" i="6"/>
  <c r="T789" i="6"/>
  <c r="T785" i="6"/>
  <c r="T781" i="6"/>
  <c r="T777" i="6"/>
  <c r="T773" i="6"/>
  <c r="T769" i="6"/>
  <c r="T765" i="6"/>
  <c r="T761" i="6"/>
  <c r="T757" i="6"/>
  <c r="T753" i="6"/>
  <c r="T749" i="6"/>
  <c r="T745" i="6"/>
  <c r="T741" i="6"/>
  <c r="T737" i="6"/>
  <c r="T733" i="6"/>
  <c r="T729" i="6"/>
  <c r="T725" i="6"/>
  <c r="T721" i="6"/>
  <c r="T717" i="6"/>
  <c r="T713" i="6"/>
  <c r="T709" i="6"/>
  <c r="T705" i="6"/>
  <c r="T701" i="6"/>
  <c r="T697" i="6"/>
  <c r="T693" i="6"/>
  <c r="T689" i="6"/>
  <c r="T685" i="6"/>
  <c r="T681" i="6"/>
  <c r="T677" i="6"/>
  <c r="T673" i="6"/>
  <c r="T669" i="6"/>
  <c r="T665" i="6"/>
  <c r="T661" i="6"/>
  <c r="T657" i="6"/>
  <c r="T653" i="6"/>
  <c r="T649" i="6"/>
  <c r="T645" i="6"/>
  <c r="T641" i="6"/>
  <c r="T637" i="6"/>
  <c r="T633" i="6"/>
  <c r="T629" i="6"/>
  <c r="T625" i="6"/>
  <c r="T621" i="6"/>
  <c r="T617" i="6"/>
  <c r="T613" i="6"/>
  <c r="T609" i="6"/>
  <c r="T605" i="6"/>
  <c r="T601" i="6"/>
  <c r="T597" i="6"/>
  <c r="T593" i="6"/>
  <c r="T589" i="6"/>
  <c r="T585" i="6"/>
  <c r="T581" i="6"/>
  <c r="T577" i="6"/>
  <c r="T573" i="6"/>
  <c r="T569" i="6"/>
  <c r="T565" i="6"/>
  <c r="T561" i="6"/>
  <c r="T557" i="6"/>
  <c r="T553" i="6"/>
  <c r="T549" i="6"/>
  <c r="T545" i="6"/>
  <c r="T541" i="6"/>
  <c r="T537" i="6"/>
  <c r="T533" i="6"/>
  <c r="T529" i="6"/>
  <c r="T525" i="6"/>
  <c r="T521" i="6"/>
  <c r="T517" i="6"/>
  <c r="T513" i="6"/>
  <c r="T509" i="6"/>
  <c r="T505" i="6"/>
  <c r="T501" i="6"/>
  <c r="T497" i="6"/>
  <c r="T493" i="6"/>
  <c r="T321" i="6"/>
  <c r="T193" i="6"/>
  <c r="T129" i="6"/>
  <c r="T65" i="6"/>
  <c r="T1332" i="6"/>
  <c r="T1328" i="6"/>
  <c r="T1324" i="6"/>
  <c r="T1320" i="6"/>
  <c r="T1316" i="6"/>
  <c r="T1312" i="6"/>
  <c r="T1308" i="6"/>
  <c r="T1304" i="6"/>
  <c r="T1300" i="6"/>
  <c r="T1296" i="6"/>
  <c r="T1292" i="6"/>
  <c r="T1288" i="6"/>
  <c r="T1284" i="6"/>
  <c r="T1280" i="6"/>
  <c r="T1276" i="6"/>
  <c r="T1272" i="6"/>
  <c r="T1268" i="6"/>
  <c r="T1264" i="6"/>
  <c r="T1260" i="6"/>
  <c r="T1256" i="6"/>
  <c r="T1252" i="6"/>
  <c r="T1248" i="6"/>
  <c r="T1244" i="6"/>
  <c r="T1240" i="6"/>
  <c r="T1236" i="6"/>
  <c r="T1232" i="6"/>
  <c r="T1228" i="6"/>
  <c r="T1224" i="6"/>
  <c r="T1220" i="6"/>
  <c r="T1216" i="6"/>
  <c r="T1212" i="6"/>
  <c r="T1208" i="6"/>
  <c r="T1204" i="6"/>
  <c r="T1200" i="6"/>
  <c r="T1196" i="6"/>
  <c r="T1192" i="6"/>
  <c r="T1188" i="6"/>
  <c r="T1184" i="6"/>
  <c r="T1180" i="6"/>
  <c r="T1176" i="6"/>
  <c r="T1172" i="6"/>
  <c r="T1168" i="6"/>
  <c r="T1164" i="6"/>
  <c r="T1160" i="6"/>
  <c r="T1156" i="6"/>
  <c r="T1152" i="6"/>
  <c r="T1148" i="6"/>
  <c r="T1144" i="6"/>
  <c r="T1140" i="6"/>
  <c r="T1136" i="6"/>
  <c r="T1132" i="6"/>
  <c r="T1128" i="6"/>
  <c r="T1124" i="6"/>
  <c r="T1120" i="6"/>
  <c r="T1116" i="6"/>
  <c r="T1112" i="6"/>
  <c r="T1108" i="6"/>
  <c r="T1104" i="6"/>
  <c r="T1100" i="6"/>
  <c r="T1096" i="6"/>
  <c r="T1092" i="6"/>
  <c r="T1088" i="6"/>
  <c r="T1084" i="6"/>
  <c r="T1080" i="6"/>
  <c r="T1076" i="6"/>
  <c r="T1072" i="6"/>
  <c r="T1068" i="6"/>
  <c r="T1064" i="6"/>
  <c r="T1060" i="6"/>
  <c r="T1056" i="6"/>
  <c r="T1052" i="6"/>
  <c r="T1048" i="6"/>
  <c r="T1044" i="6"/>
  <c r="T1040" i="6"/>
  <c r="T1036" i="6"/>
  <c r="T1032" i="6"/>
  <c r="T1028" i="6"/>
  <c r="T1024" i="6"/>
  <c r="T1020" i="6"/>
  <c r="T1016" i="6"/>
  <c r="T1012" i="6"/>
  <c r="T1008" i="6"/>
  <c r="T1004" i="6"/>
  <c r="T1000" i="6"/>
  <c r="T996" i="6"/>
  <c r="T992" i="6"/>
  <c r="T988" i="6"/>
  <c r="T984" i="6"/>
  <c r="T980" i="6"/>
  <c r="T976" i="6"/>
  <c r="T972" i="6"/>
  <c r="T968" i="6"/>
  <c r="T964" i="6"/>
  <c r="T960" i="6"/>
  <c r="T956" i="6"/>
  <c r="T952" i="6"/>
  <c r="T948" i="6"/>
  <c r="T944" i="6"/>
  <c r="T940" i="6"/>
  <c r="T936" i="6"/>
  <c r="T932" i="6"/>
  <c r="T928" i="6"/>
  <c r="T924" i="6"/>
  <c r="T920" i="6"/>
  <c r="T916" i="6"/>
  <c r="T912" i="6"/>
  <c r="T908" i="6"/>
  <c r="T904" i="6"/>
  <c r="T900" i="6"/>
  <c r="T892" i="6"/>
  <c r="T888" i="6"/>
  <c r="T884" i="6"/>
  <c r="T880" i="6"/>
  <c r="T876" i="6"/>
  <c r="T872" i="6"/>
  <c r="T868" i="6"/>
  <c r="T864" i="6"/>
  <c r="T860" i="6"/>
  <c r="T856" i="6"/>
  <c r="T852" i="6"/>
  <c r="T848" i="6"/>
  <c r="T844" i="6"/>
  <c r="T840" i="6"/>
  <c r="T836" i="6"/>
  <c r="T828" i="6"/>
  <c r="T824" i="6"/>
  <c r="T820" i="6"/>
  <c r="T816" i="6"/>
  <c r="T812" i="6"/>
  <c r="T808" i="6"/>
  <c r="T804" i="6"/>
  <c r="T800" i="6"/>
  <c r="T796" i="6"/>
  <c r="T792" i="6"/>
  <c r="T788" i="6"/>
  <c r="T784" i="6"/>
  <c r="T780" i="6"/>
  <c r="T776" i="6"/>
  <c r="T772" i="6"/>
  <c r="T764" i="6"/>
  <c r="T760" i="6"/>
  <c r="T756" i="6"/>
  <c r="T752" i="6"/>
  <c r="T748" i="6"/>
  <c r="T744" i="6"/>
  <c r="T740" i="6"/>
  <c r="T736" i="6"/>
  <c r="T732" i="6"/>
  <c r="T728" i="6"/>
  <c r="T724" i="6"/>
  <c r="T720" i="6"/>
  <c r="T716" i="6"/>
  <c r="T712" i="6"/>
  <c r="T708" i="6"/>
  <c r="T700" i="6"/>
  <c r="T696" i="6"/>
  <c r="T692" i="6"/>
  <c r="T688" i="6"/>
  <c r="T684" i="6"/>
  <c r="T680" i="6"/>
  <c r="T676" i="6"/>
  <c r="T672" i="6"/>
  <c r="T668" i="6"/>
  <c r="T664" i="6"/>
  <c r="T660" i="6"/>
  <c r="T656" i="6"/>
  <c r="T652" i="6"/>
  <c r="T648" i="6"/>
  <c r="T644" i="6"/>
  <c r="T636" i="6"/>
  <c r="T632" i="6"/>
  <c r="T628" i="6"/>
  <c r="T624" i="6"/>
  <c r="T620" i="6"/>
  <c r="T616" i="6"/>
  <c r="T612" i="6"/>
  <c r="T608" i="6"/>
  <c r="T604" i="6"/>
  <c r="T600" i="6"/>
  <c r="T596" i="6"/>
  <c r="T592" i="6"/>
  <c r="T588" i="6"/>
  <c r="T584" i="6"/>
  <c r="T580" i="6"/>
  <c r="T572" i="6"/>
  <c r="T568" i="6"/>
  <c r="T564" i="6"/>
  <c r="T560" i="6"/>
  <c r="T556" i="6"/>
  <c r="T552" i="6"/>
  <c r="T548" i="6"/>
  <c r="T544" i="6"/>
  <c r="T540" i="6"/>
  <c r="T536" i="6"/>
  <c r="T532" i="6"/>
  <c r="T528" i="6"/>
  <c r="T524" i="6"/>
  <c r="T520" i="6"/>
  <c r="T516" i="6"/>
  <c r="T508" i="6"/>
  <c r="T504" i="6"/>
  <c r="T500" i="6"/>
  <c r="T496" i="6"/>
  <c r="T492" i="6"/>
  <c r="T488" i="6"/>
  <c r="T484" i="6"/>
  <c r="T480" i="6"/>
  <c r="T476" i="6"/>
  <c r="T472" i="6"/>
  <c r="T468" i="6"/>
  <c r="T464" i="6"/>
  <c r="T460" i="6"/>
  <c r="T456" i="6"/>
  <c r="T452" i="6"/>
  <c r="T444" i="6"/>
  <c r="T440" i="6"/>
  <c r="T436" i="6"/>
  <c r="T432" i="6"/>
  <c r="T428" i="6"/>
  <c r="T424" i="6"/>
  <c r="T420" i="6"/>
  <c r="T416" i="6"/>
  <c r="T412" i="6"/>
  <c r="T408" i="6"/>
  <c r="T404" i="6"/>
  <c r="T400" i="6"/>
  <c r="T396" i="6"/>
  <c r="T392" i="6"/>
  <c r="T388" i="6"/>
  <c r="T380" i="6"/>
  <c r="T376" i="6"/>
  <c r="T372" i="6"/>
  <c r="T368" i="6"/>
  <c r="T364" i="6"/>
  <c r="T360" i="6"/>
  <c r="T356" i="6"/>
  <c r="T352" i="6"/>
  <c r="T348" i="6"/>
  <c r="T344" i="6"/>
  <c r="T340" i="6"/>
  <c r="T336" i="6"/>
  <c r="T332" i="6"/>
  <c r="T328" i="6"/>
  <c r="T324" i="6"/>
  <c r="T320" i="6"/>
  <c r="T316" i="6"/>
  <c r="T312" i="6"/>
  <c r="T308" i="6"/>
  <c r="T304" i="6"/>
  <c r="T300" i="6"/>
  <c r="T296" i="6"/>
  <c r="T292" i="6"/>
  <c r="T288" i="6"/>
  <c r="T284" i="6"/>
  <c r="T280" i="6"/>
  <c r="T276" i="6"/>
  <c r="T272" i="6"/>
  <c r="T268" i="6"/>
  <c r="T264" i="6"/>
  <c r="T260" i="6"/>
  <c r="T256" i="6"/>
  <c r="T252" i="6"/>
  <c r="T248" i="6"/>
  <c r="T244" i="6"/>
  <c r="T240" i="6"/>
  <c r="T236" i="6"/>
  <c r="T232" i="6"/>
  <c r="T228" i="6"/>
  <c r="T224" i="6"/>
  <c r="T220" i="6"/>
  <c r="T216" i="6"/>
  <c r="T212" i="6"/>
  <c r="T208" i="6"/>
  <c r="T204" i="6"/>
  <c r="T200" i="6"/>
  <c r="T196" i="6"/>
  <c r="T192" i="6"/>
  <c r="T188" i="6"/>
  <c r="T184" i="6"/>
  <c r="T180" i="6"/>
  <c r="T176" i="6"/>
  <c r="T172" i="6"/>
  <c r="T168" i="6"/>
  <c r="T164" i="6"/>
  <c r="T160" i="6"/>
  <c r="T156" i="6"/>
  <c r="T152" i="6"/>
  <c r="T148" i="6"/>
  <c r="T144" i="6"/>
  <c r="T140" i="6"/>
  <c r="T136" i="6"/>
  <c r="T132" i="6"/>
  <c r="T128" i="6"/>
  <c r="T124" i="6"/>
  <c r="T120" i="6"/>
  <c r="T116" i="6"/>
  <c r="T112" i="6"/>
  <c r="T108" i="6"/>
  <c r="T104" i="6"/>
  <c r="T100" i="6"/>
  <c r="T96" i="6"/>
  <c r="T92" i="6"/>
  <c r="T88" i="6"/>
  <c r="T84" i="6"/>
  <c r="T80" i="6"/>
  <c r="T76" i="6"/>
  <c r="T72" i="6"/>
  <c r="T68" i="6"/>
  <c r="T64" i="6"/>
  <c r="T60" i="6"/>
  <c r="T56" i="6"/>
  <c r="T52" i="6"/>
  <c r="T48" i="6"/>
  <c r="T44" i="6"/>
  <c r="T40" i="6"/>
  <c r="T36" i="6"/>
  <c r="T32" i="6"/>
  <c r="T28" i="6"/>
  <c r="T24" i="6"/>
  <c r="T20" i="6"/>
  <c r="T16" i="6"/>
  <c r="T12" i="6"/>
  <c r="T8" i="6"/>
  <c r="T4" i="6"/>
  <c r="T257" i="6"/>
  <c r="T507" i="6"/>
  <c r="T503" i="6"/>
  <c r="T499" i="6"/>
  <c r="T495" i="6"/>
  <c r="T491" i="6"/>
  <c r="T487" i="6"/>
  <c r="T483" i="6"/>
  <c r="T479" i="6"/>
  <c r="T475" i="6"/>
  <c r="T471" i="6"/>
  <c r="T467" i="6"/>
  <c r="T463" i="6"/>
  <c r="T459" i="6"/>
  <c r="T455" i="6"/>
  <c r="T451" i="6"/>
  <c r="T447" i="6"/>
  <c r="T443" i="6"/>
  <c r="T439" i="6"/>
  <c r="T435" i="6"/>
  <c r="T431" i="6"/>
  <c r="T427" i="6"/>
  <c r="T423" i="6"/>
  <c r="T419" i="6"/>
  <c r="T415" i="6"/>
  <c r="T411" i="6"/>
  <c r="T407" i="6"/>
  <c r="T403" i="6"/>
  <c r="T399" i="6"/>
  <c r="T395" i="6"/>
  <c r="T391" i="6"/>
  <c r="T387" i="6"/>
  <c r="T383" i="6"/>
  <c r="T379" i="6"/>
  <c r="T375" i="6"/>
  <c r="T371" i="6"/>
  <c r="T367" i="6"/>
  <c r="T363" i="6"/>
  <c r="T359" i="6"/>
  <c r="T355" i="6"/>
  <c r="T351" i="6"/>
  <c r="T347" i="6"/>
  <c r="T343" i="6"/>
  <c r="T339" i="6"/>
  <c r="T335" i="6"/>
  <c r="T331" i="6"/>
  <c r="T327" i="6"/>
  <c r="T323" i="6"/>
  <c r="T319" i="6"/>
  <c r="T315" i="6"/>
  <c r="T311" i="6"/>
  <c r="T307" i="6"/>
  <c r="T303" i="6"/>
  <c r="T299" i="6"/>
  <c r="T295" i="6"/>
  <c r="T291" i="6"/>
  <c r="T287" i="6"/>
  <c r="T283" i="6"/>
  <c r="T279" i="6"/>
  <c r="T275" i="6"/>
  <c r="T271" i="6"/>
  <c r="T267" i="6"/>
  <c r="T263" i="6"/>
  <c r="T259" i="6"/>
  <c r="T255" i="6"/>
  <c r="T251" i="6"/>
  <c r="T247" i="6"/>
  <c r="T243" i="6"/>
  <c r="T239" i="6"/>
  <c r="T235" i="6"/>
  <c r="T231" i="6"/>
  <c r="T227" i="6"/>
  <c r="T223" i="6"/>
  <c r="T219" i="6"/>
  <c r="T215" i="6"/>
  <c r="T211" i="6"/>
  <c r="T207" i="6"/>
  <c r="T203" i="6"/>
  <c r="T199" i="6"/>
  <c r="T195" i="6"/>
  <c r="T191" i="6"/>
  <c r="T187" i="6"/>
  <c r="T183" i="6"/>
  <c r="T179" i="6"/>
  <c r="T175" i="6"/>
  <c r="T171" i="6"/>
  <c r="T167" i="6"/>
  <c r="T163" i="6"/>
  <c r="T159" i="6"/>
  <c r="T155" i="6"/>
  <c r="T151" i="6"/>
  <c r="T147" i="6"/>
  <c r="T143" i="6"/>
  <c r="T139" i="6"/>
  <c r="T135" i="6"/>
  <c r="T131" i="6"/>
  <c r="T127" i="6"/>
  <c r="T123" i="6"/>
  <c r="T119" i="6"/>
  <c r="T115" i="6"/>
  <c r="T111" i="6"/>
  <c r="T107" i="6"/>
  <c r="T103" i="6"/>
  <c r="T99" i="6"/>
  <c r="T95" i="6"/>
  <c r="T91" i="6"/>
  <c r="T87" i="6"/>
  <c r="T83" i="6"/>
  <c r="T79" i="6"/>
  <c r="T75" i="6"/>
  <c r="T71" i="6"/>
  <c r="T67" i="6"/>
  <c r="T63" i="6"/>
  <c r="T59" i="6"/>
  <c r="T55" i="6"/>
  <c r="T51" i="6"/>
  <c r="T47" i="6"/>
  <c r="T43" i="6"/>
  <c r="T39" i="6"/>
  <c r="T35" i="6"/>
  <c r="T31" i="6"/>
  <c r="T27" i="6"/>
  <c r="T23" i="6"/>
  <c r="T19" i="6"/>
  <c r="T15" i="6"/>
  <c r="T11" i="6"/>
  <c r="T7" i="6"/>
  <c r="T3" i="6"/>
  <c r="T494" i="6"/>
  <c r="T490" i="6"/>
  <c r="T486" i="6"/>
  <c r="T482" i="6"/>
  <c r="T478" i="6"/>
  <c r="T474" i="6"/>
  <c r="T470" i="6"/>
  <c r="T466" i="6"/>
  <c r="T462" i="6"/>
  <c r="T458" i="6"/>
  <c r="T454" i="6"/>
  <c r="T450" i="6"/>
  <c r="T446" i="6"/>
  <c r="T442" i="6"/>
  <c r="T438" i="6"/>
  <c r="T434" i="6"/>
  <c r="T430" i="6"/>
  <c r="T426" i="6"/>
  <c r="T422" i="6"/>
  <c r="T418" i="6"/>
  <c r="T414" i="6"/>
  <c r="T410" i="6"/>
  <c r="T406" i="6"/>
  <c r="T402" i="6"/>
  <c r="T398" i="6"/>
  <c r="T394" i="6"/>
  <c r="T390" i="6"/>
  <c r="T386" i="6"/>
  <c r="T382" i="6"/>
  <c r="T378" i="6"/>
  <c r="T374" i="6"/>
  <c r="T370" i="6"/>
  <c r="T366" i="6"/>
  <c r="T362" i="6"/>
  <c r="T358" i="6"/>
  <c r="T354" i="6"/>
  <c r="T350" i="6"/>
  <c r="T346" i="6"/>
  <c r="T342" i="6"/>
  <c r="T338" i="6"/>
  <c r="T334" i="6"/>
  <c r="T330" i="6"/>
  <c r="T326" i="6"/>
  <c r="T322" i="6"/>
  <c r="T318" i="6"/>
  <c r="T314" i="6"/>
  <c r="T310" i="6"/>
  <c r="T306" i="6"/>
  <c r="T302" i="6"/>
  <c r="T298" i="6"/>
  <c r="T294" i="6"/>
  <c r="T290" i="6"/>
  <c r="T286" i="6"/>
  <c r="T282" i="6"/>
  <c r="T278" i="6"/>
  <c r="T274" i="6"/>
  <c r="T270" i="6"/>
  <c r="T266" i="6"/>
  <c r="T262" i="6"/>
  <c r="T258" i="6"/>
  <c r="T254" i="6"/>
  <c r="T250" i="6"/>
  <c r="T246" i="6"/>
  <c r="T242" i="6"/>
  <c r="T238" i="6"/>
  <c r="T234" i="6"/>
  <c r="T230" i="6"/>
  <c r="T226" i="6"/>
  <c r="T222" i="6"/>
  <c r="T218" i="6"/>
  <c r="T214" i="6"/>
  <c r="T210" i="6"/>
  <c r="T206" i="6"/>
  <c r="T202" i="6"/>
  <c r="T198" i="6"/>
  <c r="T194" i="6"/>
  <c r="T190" i="6"/>
  <c r="T186" i="6"/>
  <c r="T182" i="6"/>
  <c r="T178" i="6"/>
  <c r="T174" i="6"/>
  <c r="T170" i="6"/>
  <c r="T166" i="6"/>
  <c r="T162" i="6"/>
  <c r="T158" i="6"/>
  <c r="T154" i="6"/>
  <c r="T150" i="6"/>
  <c r="T146" i="6"/>
  <c r="T142" i="6"/>
  <c r="T138" i="6"/>
  <c r="T134" i="6"/>
  <c r="T130" i="6"/>
  <c r="T126" i="6"/>
  <c r="T122" i="6"/>
  <c r="T118" i="6"/>
  <c r="T114" i="6"/>
  <c r="T110" i="6"/>
  <c r="T106" i="6"/>
  <c r="T102" i="6"/>
  <c r="T98" i="6"/>
  <c r="T94" i="6"/>
  <c r="T90" i="6"/>
  <c r="T86" i="6"/>
  <c r="T82" i="6"/>
  <c r="T78" i="6"/>
  <c r="T74" i="6"/>
  <c r="T70" i="6"/>
  <c r="T66" i="6"/>
  <c r="T62" i="6"/>
  <c r="T58" i="6"/>
  <c r="T54" i="6"/>
  <c r="T50" i="6"/>
  <c r="T46" i="6"/>
  <c r="T42" i="6"/>
  <c r="T38" i="6"/>
  <c r="T34" i="6"/>
  <c r="T30" i="6"/>
  <c r="T26" i="6"/>
  <c r="T22" i="6"/>
  <c r="T18" i="6"/>
  <c r="T14" i="6"/>
  <c r="T10" i="6"/>
  <c r="T6" i="6"/>
  <c r="T489" i="6"/>
  <c r="T485" i="6"/>
  <c r="T481" i="6"/>
  <c r="T477" i="6"/>
  <c r="T473" i="6"/>
  <c r="T469" i="6"/>
  <c r="T465" i="6"/>
  <c r="T461" i="6"/>
  <c r="T457" i="6"/>
  <c r="T453" i="6"/>
  <c r="T449" i="6"/>
  <c r="T445" i="6"/>
  <c r="T441" i="6"/>
  <c r="T437" i="6"/>
  <c r="T433" i="6"/>
  <c r="T429" i="6"/>
  <c r="T425" i="6"/>
  <c r="T421" i="6"/>
  <c r="T417" i="6"/>
  <c r="T413" i="6"/>
  <c r="T409" i="6"/>
  <c r="T405" i="6"/>
  <c r="T401" i="6"/>
  <c r="T397" i="6"/>
  <c r="T393" i="6"/>
  <c r="T389" i="6"/>
  <c r="T385" i="6"/>
  <c r="T381" i="6"/>
  <c r="T377" i="6"/>
  <c r="T373" i="6"/>
  <c r="T369" i="6"/>
  <c r="T365" i="6"/>
  <c r="T361" i="6"/>
  <c r="T357" i="6"/>
  <c r="T353" i="6"/>
  <c r="T349" i="6"/>
  <c r="T345" i="6"/>
  <c r="T341" i="6"/>
  <c r="T337" i="6"/>
  <c r="T333" i="6"/>
  <c r="T329" i="6"/>
  <c r="T325" i="6"/>
  <c r="T317" i="6"/>
  <c r="T313" i="6"/>
  <c r="T309" i="6"/>
  <c r="T305" i="6"/>
  <c r="T301" i="6"/>
  <c r="T297" i="6"/>
  <c r="T293" i="6"/>
  <c r="T289" i="6"/>
  <c r="T285" i="6"/>
  <c r="T281" i="6"/>
  <c r="T277" i="6"/>
  <c r="T273" i="6"/>
  <c r="T269" i="6"/>
  <c r="T265" i="6"/>
  <c r="T261" i="6"/>
  <c r="T253" i="6"/>
  <c r="T249" i="6"/>
  <c r="T245" i="6"/>
  <c r="T241" i="6"/>
  <c r="T237" i="6"/>
  <c r="T233" i="6"/>
  <c r="T229" i="6"/>
  <c r="T225" i="6"/>
  <c r="T221" i="6"/>
  <c r="T217" i="6"/>
  <c r="T213" i="6"/>
  <c r="T209" i="6"/>
  <c r="T205" i="6"/>
  <c r="T201" i="6"/>
  <c r="T197" i="6"/>
  <c r="T189" i="6"/>
  <c r="T185" i="6"/>
  <c r="T181" i="6"/>
  <c r="T177" i="6"/>
  <c r="T173" i="6"/>
  <c r="T169" i="6"/>
  <c r="T165" i="6"/>
  <c r="T161" i="6"/>
  <c r="T157" i="6"/>
  <c r="T153" i="6"/>
  <c r="T149" i="6"/>
  <c r="T145" i="6"/>
  <c r="T141" i="6"/>
  <c r="T137" i="6"/>
  <c r="T133" i="6"/>
  <c r="T125" i="6"/>
  <c r="T121" i="6"/>
  <c r="T117" i="6"/>
  <c r="T113" i="6"/>
  <c r="T109" i="6"/>
  <c r="T105" i="6"/>
  <c r="T101" i="6"/>
  <c r="T97" i="6"/>
  <c r="T93" i="6"/>
  <c r="T89" i="6"/>
  <c r="T85" i="6"/>
  <c r="T81" i="6"/>
  <c r="T77" i="6"/>
  <c r="T73" i="6"/>
  <c r="T69" i="6"/>
  <c r="T61" i="6"/>
  <c r="T57" i="6"/>
  <c r="T53" i="6"/>
  <c r="T49" i="6"/>
  <c r="T45" i="6"/>
  <c r="T41" i="6"/>
  <c r="T37" i="6"/>
  <c r="T33" i="6"/>
  <c r="T29" i="6"/>
  <c r="T25" i="6"/>
  <c r="T21" i="6"/>
  <c r="T17" i="6"/>
  <c r="T13" i="6"/>
  <c r="T9" i="6"/>
  <c r="T5" i="6"/>
  <c r="Q1444" i="6"/>
  <c r="Q1440" i="6"/>
  <c r="Q1436" i="6"/>
  <c r="Q1424" i="6"/>
  <c r="Q1408" i="6"/>
  <c r="Q1392" i="6"/>
  <c r="Q1376" i="6"/>
  <c r="Q1360" i="6"/>
  <c r="Q1344" i="6"/>
  <c r="Q1328" i="6"/>
  <c r="Q1312" i="6"/>
  <c r="Q1296" i="6"/>
  <c r="Q1280" i="6"/>
  <c r="Q1224" i="6"/>
  <c r="Q1208" i="6"/>
  <c r="Q1190" i="6"/>
  <c r="Q1174" i="6"/>
  <c r="Q1158" i="6"/>
  <c r="Q1142" i="6"/>
  <c r="Q1130" i="6"/>
  <c r="Q1104" i="6"/>
  <c r="Q1066" i="6"/>
  <c r="Q1050" i="6"/>
  <c r="Q1034" i="6"/>
  <c r="Q1018" i="6"/>
  <c r="Q1002" i="6"/>
  <c r="Q990" i="6"/>
  <c r="Q974" i="6"/>
  <c r="Q958" i="6"/>
  <c r="Q942" i="6"/>
  <c r="Q926" i="6"/>
  <c r="Q910" i="6"/>
  <c r="Q890" i="6"/>
  <c r="Q874" i="6"/>
  <c r="Q858" i="6"/>
  <c r="Q842" i="6"/>
  <c r="Q826" i="6"/>
  <c r="Q810" i="6"/>
  <c r="Q794" i="6"/>
  <c r="Q778" i="6"/>
  <c r="Q762" i="6"/>
  <c r="Q742" i="6"/>
  <c r="Q726" i="6"/>
  <c r="Q710" i="6"/>
  <c r="Q694" i="6"/>
  <c r="Q655" i="6"/>
  <c r="Q647" i="6"/>
  <c r="Q635" i="6"/>
  <c r="Q619" i="6"/>
  <c r="Q601" i="6"/>
  <c r="Q487" i="6"/>
  <c r="Q471" i="6"/>
  <c r="Q453" i="6"/>
  <c r="Q437" i="6"/>
  <c r="Q1446" i="6"/>
  <c r="Q1434" i="6"/>
  <c r="Q1422" i="6"/>
  <c r="Q1414" i="6"/>
  <c r="Q1402" i="6"/>
  <c r="Q1390" i="6"/>
  <c r="Q1382" i="6"/>
  <c r="Q1370" i="6"/>
  <c r="Q1358" i="6"/>
  <c r="Q1350" i="6"/>
  <c r="Q1338" i="6"/>
  <c r="Q1326" i="6"/>
  <c r="Q1318" i="6"/>
  <c r="Q1306" i="6"/>
  <c r="Q258" i="6"/>
  <c r="Q1428" i="6"/>
  <c r="Q1412" i="6"/>
  <c r="Q1396" i="6"/>
  <c r="Q1380" i="6"/>
  <c r="Q1364" i="6"/>
  <c r="Q1352" i="6"/>
  <c r="Q1336" i="6"/>
  <c r="Q1316" i="6"/>
  <c r="Q1300" i="6"/>
  <c r="Q1288" i="6"/>
  <c r="Q1239" i="6"/>
  <c r="Q1216" i="6"/>
  <c r="Q1198" i="6"/>
  <c r="Q1182" i="6"/>
  <c r="Q1166" i="6"/>
  <c r="Q1150" i="6"/>
  <c r="Q1134" i="6"/>
  <c r="Q1118" i="6"/>
  <c r="Q1074" i="6"/>
  <c r="Q1054" i="6"/>
  <c r="Q1038" i="6"/>
  <c r="Q1022" i="6"/>
  <c r="Q1006" i="6"/>
  <c r="Q998" i="6"/>
  <c r="Q986" i="6"/>
  <c r="Q970" i="6"/>
  <c r="Q954" i="6"/>
  <c r="Q938" i="6"/>
  <c r="Q922" i="6"/>
  <c r="Q906" i="6"/>
  <c r="Q886" i="6"/>
  <c r="Q870" i="6"/>
  <c r="Q854" i="6"/>
  <c r="Q838" i="6"/>
  <c r="Q822" i="6"/>
  <c r="Q806" i="6"/>
  <c r="Q790" i="6"/>
  <c r="Q774" i="6"/>
  <c r="Q754" i="6"/>
  <c r="Q738" i="6"/>
  <c r="Q722" i="6"/>
  <c r="Q706" i="6"/>
  <c r="Q690" i="6"/>
  <c r="Q682" i="6"/>
  <c r="Q674" i="6"/>
  <c r="Q659" i="6"/>
  <c r="Q643" i="6"/>
  <c r="Q631" i="6"/>
  <c r="Q615" i="6"/>
  <c r="Q597" i="6"/>
  <c r="Q555" i="6"/>
  <c r="Q537" i="6"/>
  <c r="Q517" i="6"/>
  <c r="Q501" i="6"/>
  <c r="Q483" i="6"/>
  <c r="Q467" i="6"/>
  <c r="Q449" i="6"/>
  <c r="Q433" i="6"/>
  <c r="Q421" i="6"/>
  <c r="Q413" i="6"/>
  <c r="Q405" i="6"/>
  <c r="Q397" i="6"/>
  <c r="Q389" i="6"/>
  <c r="Q381" i="6"/>
  <c r="Q373" i="6"/>
  <c r="Q365" i="6"/>
  <c r="Q357" i="6"/>
  <c r="Q349" i="6"/>
  <c r="Q341" i="6"/>
  <c r="Q333" i="6"/>
  <c r="Q325" i="6"/>
  <c r="Q1230" i="6"/>
  <c r="Q1234" i="6"/>
  <c r="Q1266" i="6"/>
  <c r="Q1270" i="6"/>
  <c r="Q1420" i="6"/>
  <c r="Q1404" i="6"/>
  <c r="Q1388" i="6"/>
  <c r="Q1372" i="6"/>
  <c r="Q1356" i="6"/>
  <c r="Q1340" i="6"/>
  <c r="Q1324" i="6"/>
  <c r="Q1308" i="6"/>
  <c r="Q1292" i="6"/>
  <c r="Q1274" i="6"/>
  <c r="Q1220" i="6"/>
  <c r="Q1202" i="6"/>
  <c r="Q1186" i="6"/>
  <c r="Q1170" i="6"/>
  <c r="Q1154" i="6"/>
  <c r="Q1138" i="6"/>
  <c r="Q1122" i="6"/>
  <c r="Q1078" i="6"/>
  <c r="Q1058" i="6"/>
  <c r="Q1042" i="6"/>
  <c r="Q1026" i="6"/>
  <c r="Q1010" i="6"/>
  <c r="Q978" i="6"/>
  <c r="Q962" i="6"/>
  <c r="Q946" i="6"/>
  <c r="Q930" i="6"/>
  <c r="Q914" i="6"/>
  <c r="Q894" i="6"/>
  <c r="Q878" i="6"/>
  <c r="Q862" i="6"/>
  <c r="Q846" i="6"/>
  <c r="Q830" i="6"/>
  <c r="Q814" i="6"/>
  <c r="Q798" i="6"/>
  <c r="Q782" i="6"/>
  <c r="Q766" i="6"/>
  <c r="Q746" i="6"/>
  <c r="Q730" i="6"/>
  <c r="Q714" i="6"/>
  <c r="Q702" i="6"/>
  <c r="Q627" i="6"/>
  <c r="Q611" i="6"/>
  <c r="Q569" i="6"/>
  <c r="Q547" i="6"/>
  <c r="Q533" i="6"/>
  <c r="Q523" i="6"/>
  <c r="Q505" i="6"/>
  <c r="Q491" i="6"/>
  <c r="Q475" i="6"/>
  <c r="Q457" i="6"/>
  <c r="Q441" i="6"/>
  <c r="Q429" i="6"/>
  <c r="Q417" i="6"/>
  <c r="Q409" i="6"/>
  <c r="Q401" i="6"/>
  <c r="Q393" i="6"/>
  <c r="Q385" i="6"/>
  <c r="Q377" i="6"/>
  <c r="Q369" i="6"/>
  <c r="Q361" i="6"/>
  <c r="Q353" i="6"/>
  <c r="Q345" i="6"/>
  <c r="Q337" i="6"/>
  <c r="Q329" i="6"/>
  <c r="Q1262" i="6"/>
  <c r="Q1238" i="6"/>
  <c r="Q1432" i="6"/>
  <c r="Q1416" i="6"/>
  <c r="Q1400" i="6"/>
  <c r="Q1384" i="6"/>
  <c r="Q1368" i="6"/>
  <c r="Q1348" i="6"/>
  <c r="Q1332" i="6"/>
  <c r="Q1320" i="6"/>
  <c r="Q1304" i="6"/>
  <c r="Q1284" i="6"/>
  <c r="Q1235" i="6"/>
  <c r="Q1212" i="6"/>
  <c r="Q1194" i="6"/>
  <c r="Q1178" i="6"/>
  <c r="Q1162" i="6"/>
  <c r="Q1146" i="6"/>
  <c r="Q1126" i="6"/>
  <c r="Q1082" i="6"/>
  <c r="Q1062" i="6"/>
  <c r="Q1046" i="6"/>
  <c r="Q1030" i="6"/>
  <c r="Q1014" i="6"/>
  <c r="Q994" i="6"/>
  <c r="Q982" i="6"/>
  <c r="Q966" i="6"/>
  <c r="Q950" i="6"/>
  <c r="Q934" i="6"/>
  <c r="Q918" i="6"/>
  <c r="Q898" i="6"/>
  <c r="Q882" i="6"/>
  <c r="Q866" i="6"/>
  <c r="Q850" i="6"/>
  <c r="Q834" i="6"/>
  <c r="Q818" i="6"/>
  <c r="Q802" i="6"/>
  <c r="Q786" i="6"/>
  <c r="Q770" i="6"/>
  <c r="Q750" i="6"/>
  <c r="Q734" i="6"/>
  <c r="Q718" i="6"/>
  <c r="Q698" i="6"/>
  <c r="Q686" i="6"/>
  <c r="Q678" i="6"/>
  <c r="Q668" i="6"/>
  <c r="Q651" i="6"/>
  <c r="Q639" i="6"/>
  <c r="Q623" i="6"/>
  <c r="Q605" i="6"/>
  <c r="Q561" i="6"/>
  <c r="Q541" i="6"/>
  <c r="Q529" i="6"/>
  <c r="Q509" i="6"/>
  <c r="Q497" i="6"/>
  <c r="Q479" i="6"/>
  <c r="Q461" i="6"/>
  <c r="Q445" i="6"/>
  <c r="Q425" i="6"/>
  <c r="Q1438" i="6"/>
  <c r="Q1430" i="6"/>
  <c r="Q1418" i="6"/>
  <c r="Q1406" i="6"/>
  <c r="Q1398" i="6"/>
  <c r="Q1386" i="6"/>
  <c r="Q1374" i="6"/>
  <c r="Q1366" i="6"/>
  <c r="Q1354" i="6"/>
  <c r="Q1342" i="6"/>
  <c r="Q1334" i="6"/>
  <c r="Q1322" i="6"/>
  <c r="Q1310" i="6"/>
  <c r="Q1302" i="6"/>
  <c r="Q1294" i="6"/>
  <c r="Q307" i="6"/>
  <c r="Q291" i="6"/>
  <c r="Q279" i="6"/>
  <c r="Q267" i="6"/>
  <c r="Q255" i="6"/>
  <c r="Q243" i="6"/>
  <c r="Q231" i="6"/>
  <c r="Q223" i="6"/>
  <c r="Q215" i="6"/>
  <c r="Q203" i="6"/>
  <c r="Q191" i="6"/>
  <c r="Q179" i="6"/>
  <c r="Q167" i="6"/>
  <c r="Q147" i="6"/>
  <c r="Q131" i="6"/>
  <c r="Q103" i="6"/>
  <c r="Q87" i="6"/>
  <c r="Q75" i="6"/>
  <c r="Q59" i="6"/>
  <c r="Q47" i="6"/>
  <c r="Q43" i="6"/>
  <c r="Q39" i="6"/>
  <c r="Q11" i="6"/>
  <c r="Q7" i="6"/>
  <c r="Q3" i="6"/>
  <c r="Q118" i="6"/>
  <c r="Q124" i="6"/>
  <c r="Q160" i="6"/>
  <c r="Q464" i="6"/>
  <c r="Q511" i="6"/>
  <c r="Q521" i="6"/>
  <c r="Q544" i="6"/>
  <c r="Q554" i="6"/>
  <c r="Q565" i="6"/>
  <c r="Q571" i="6"/>
  <c r="Q575" i="6"/>
  <c r="Q579" i="6"/>
  <c r="Q583" i="6"/>
  <c r="Q587" i="6"/>
  <c r="Q591" i="6"/>
  <c r="Q608" i="6"/>
  <c r="Q666" i="6"/>
  <c r="Q758" i="6"/>
  <c r="Q899" i="6"/>
  <c r="Q1068" i="6"/>
  <c r="Q1085" i="6"/>
  <c r="Q1090" i="6"/>
  <c r="Q1094" i="6"/>
  <c r="Q1098" i="6"/>
  <c r="Q1102" i="6"/>
  <c r="Q1107" i="6"/>
  <c r="Q1113" i="6"/>
  <c r="Q1204" i="6"/>
  <c r="Q1245" i="6"/>
  <c r="Q1249" i="6"/>
  <c r="Q1253" i="6"/>
  <c r="Q1257" i="6"/>
  <c r="Q1261" i="6"/>
  <c r="Q1271" i="6"/>
  <c r="Q1442" i="6"/>
  <c r="Q1426" i="6"/>
  <c r="Q1410" i="6"/>
  <c r="Q1394" i="6"/>
  <c r="Q1378" i="6"/>
  <c r="Q1362" i="6"/>
  <c r="Q1346" i="6"/>
  <c r="Q1330" i="6"/>
  <c r="Q1314" i="6"/>
  <c r="Q1298" i="6"/>
  <c r="Q1282" i="6"/>
  <c r="Q1250" i="6"/>
  <c r="Q1218" i="6"/>
  <c r="Q1156" i="6"/>
  <c r="Q1092" i="6"/>
  <c r="Q1028" i="6"/>
  <c r="Q964" i="6"/>
  <c r="Q900" i="6"/>
  <c r="Q836" i="6"/>
  <c r="Q772" i="6"/>
  <c r="Q708" i="6"/>
  <c r="Q644" i="6"/>
  <c r="Q513" i="6"/>
  <c r="Q321" i="6"/>
  <c r="Q303" i="6"/>
  <c r="Q287" i="6"/>
  <c r="Q275" i="6"/>
  <c r="Q263" i="6"/>
  <c r="Q251" i="6"/>
  <c r="Q239" i="6"/>
  <c r="Q227" i="6"/>
  <c r="Q211" i="6"/>
  <c r="Q199" i="6"/>
  <c r="Q187" i="6"/>
  <c r="Q175" i="6"/>
  <c r="Q155" i="6"/>
  <c r="Q139" i="6"/>
  <c r="Q119" i="6"/>
  <c r="Q95" i="6"/>
  <c r="Q83" i="6"/>
  <c r="Q71" i="6"/>
  <c r="Q51" i="6"/>
  <c r="Q19" i="6"/>
  <c r="Q1447" i="6"/>
  <c r="Q1443" i="6"/>
  <c r="Q1439" i="6"/>
  <c r="Q1435" i="6"/>
  <c r="Q1431" i="6"/>
  <c r="Q1427" i="6"/>
  <c r="Q1423" i="6"/>
  <c r="Q1419" i="6"/>
  <c r="Q1415" i="6"/>
  <c r="Q1411" i="6"/>
  <c r="Q1407" i="6"/>
  <c r="Q1403" i="6"/>
  <c r="Q1399" i="6"/>
  <c r="Q1395" i="6"/>
  <c r="Q1391" i="6"/>
  <c r="Q1387" i="6"/>
  <c r="Q1383" i="6"/>
  <c r="Q1379" i="6"/>
  <c r="Q1375" i="6"/>
  <c r="Q1371" i="6"/>
  <c r="Q1367" i="6"/>
  <c r="Q1363" i="6"/>
  <c r="Q1359" i="6"/>
  <c r="Q1355" i="6"/>
  <c r="Q1351" i="6"/>
  <c r="Q1347" i="6"/>
  <c r="Q1343" i="6"/>
  <c r="Q1339" i="6"/>
  <c r="Q1335" i="6"/>
  <c r="Q1331" i="6"/>
  <c r="Q1327" i="6"/>
  <c r="Q1323" i="6"/>
  <c r="Q1319" i="6"/>
  <c r="Q1315" i="6"/>
  <c r="Q1311" i="6"/>
  <c r="Q1307" i="6"/>
  <c r="Q1303" i="6"/>
  <c r="Q1299" i="6"/>
  <c r="Q1295" i="6"/>
  <c r="Q1291" i="6"/>
  <c r="Q1287" i="6"/>
  <c r="Q1283" i="6"/>
  <c r="Q1279" i="6"/>
  <c r="Q1227" i="6"/>
  <c r="Q1223" i="6"/>
  <c r="Q1219" i="6"/>
  <c r="Q1215" i="6"/>
  <c r="Q1211" i="6"/>
  <c r="Q1207" i="6"/>
  <c r="Q1201" i="6"/>
  <c r="Q1197" i="6"/>
  <c r="Q1193" i="6"/>
  <c r="Q1189" i="6"/>
  <c r="Q1185" i="6"/>
  <c r="Q1181" i="6"/>
  <c r="Q1177" i="6"/>
  <c r="Q1173" i="6"/>
  <c r="Q1169" i="6"/>
  <c r="Q1165" i="6"/>
  <c r="Q1161" i="6"/>
  <c r="Q1157" i="6"/>
  <c r="Q1153" i="6"/>
  <c r="Q1149" i="6"/>
  <c r="Q1145" i="6"/>
  <c r="Q1141" i="6"/>
  <c r="Q1137" i="6"/>
  <c r="Q1133" i="6"/>
  <c r="Q1129" i="6"/>
  <c r="Q1125" i="6"/>
  <c r="Q1121" i="6"/>
  <c r="Q1117" i="6"/>
  <c r="Q1087" i="6"/>
  <c r="Q1081" i="6"/>
  <c r="Q1077" i="6"/>
  <c r="Q1073" i="6"/>
  <c r="Q1065" i="6"/>
  <c r="Q1061" i="6"/>
  <c r="Q1057" i="6"/>
  <c r="Q1053" i="6"/>
  <c r="Q1049" i="6"/>
  <c r="Q1045" i="6"/>
  <c r="Q1041" i="6"/>
  <c r="Q1037" i="6"/>
  <c r="Q1033" i="6"/>
  <c r="Q1029" i="6"/>
  <c r="Q1025" i="6"/>
  <c r="Q1021" i="6"/>
  <c r="Q1017" i="6"/>
  <c r="Q1013" i="6"/>
  <c r="Q1009" i="6"/>
  <c r="Q1005" i="6"/>
  <c r="Q1001" i="6"/>
  <c r="Q997" i="6"/>
  <c r="Q993" i="6"/>
  <c r="Q989" i="6"/>
  <c r="Q985" i="6"/>
  <c r="Q981" i="6"/>
  <c r="Q977" i="6"/>
  <c r="Q973" i="6"/>
  <c r="Q604" i="6"/>
  <c r="Q194" i="6"/>
  <c r="Q130" i="6"/>
  <c r="Q66" i="6"/>
  <c r="Q1205" i="6"/>
  <c r="Q1231" i="6"/>
  <c r="Q1263" i="6"/>
  <c r="Q1267" i="6"/>
  <c r="Q1272" i="6"/>
  <c r="Q1273" i="6"/>
  <c r="Q1278" i="6"/>
  <c r="Q1246" i="6"/>
  <c r="Q1214" i="6"/>
  <c r="Q1140" i="6"/>
  <c r="Q1076" i="6"/>
  <c r="Q1012" i="6"/>
  <c r="Q948" i="6"/>
  <c r="Q884" i="6"/>
  <c r="Q820" i="6"/>
  <c r="Q756" i="6"/>
  <c r="Q692" i="6"/>
  <c r="Q628" i="6"/>
  <c r="Q317" i="6"/>
  <c r="Q295" i="6"/>
  <c r="Q283" i="6"/>
  <c r="Q271" i="6"/>
  <c r="Q259" i="6"/>
  <c r="Q247" i="6"/>
  <c r="Q235" i="6"/>
  <c r="Q219" i="6"/>
  <c r="Q207" i="6"/>
  <c r="Q195" i="6"/>
  <c r="Q183" i="6"/>
  <c r="Q171" i="6"/>
  <c r="Q151" i="6"/>
  <c r="Q135" i="6"/>
  <c r="Q111" i="6"/>
  <c r="Q99" i="6"/>
  <c r="Q79" i="6"/>
  <c r="Q67" i="6"/>
  <c r="Q55" i="6"/>
  <c r="Q15" i="6"/>
  <c r="Q1276" i="6"/>
  <c r="Q1241" i="6"/>
  <c r="Q1237" i="6"/>
  <c r="Q1200" i="6"/>
  <c r="Q1196" i="6"/>
  <c r="Q1192" i="6"/>
  <c r="Q1184" i="6"/>
  <c r="Q1180" i="6"/>
  <c r="Q1176" i="6"/>
  <c r="Q1168" i="6"/>
  <c r="Q1164" i="6"/>
  <c r="Q1160" i="6"/>
  <c r="Q1152" i="6"/>
  <c r="Q1148" i="6"/>
  <c r="Q1144" i="6"/>
  <c r="Q1136" i="6"/>
  <c r="Q1132" i="6"/>
  <c r="Q1128" i="6"/>
  <c r="Q1120" i="6"/>
  <c r="Q1084" i="6"/>
  <c r="Q1080" i="6"/>
  <c r="Q1072" i="6"/>
  <c r="Q1064" i="6"/>
  <c r="Q1056" i="6"/>
  <c r="Q1052" i="6"/>
  <c r="Q1048" i="6"/>
  <c r="Q1040" i="6"/>
  <c r="Q1036" i="6"/>
  <c r="Q1032" i="6"/>
  <c r="Q1024" i="6"/>
  <c r="Q1020" i="6"/>
  <c r="Q1016" i="6"/>
  <c r="Q1008" i="6"/>
  <c r="Q1004" i="6"/>
  <c r="Q1000" i="6"/>
  <c r="Q992" i="6"/>
  <c r="Q988" i="6"/>
  <c r="Q984" i="6"/>
  <c r="Q976" i="6"/>
  <c r="Q972" i="6"/>
  <c r="Q968" i="6"/>
  <c r="Q960" i="6"/>
  <c r="Q956" i="6"/>
  <c r="Q952" i="6"/>
  <c r="Q944" i="6"/>
  <c r="Q940" i="6"/>
  <c r="Q936" i="6"/>
  <c r="Q928" i="6"/>
  <c r="Q924" i="6"/>
  <c r="Q920" i="6"/>
  <c r="Q912" i="6"/>
  <c r="Q908" i="6"/>
  <c r="Q904" i="6"/>
  <c r="Q896" i="6"/>
  <c r="Q892" i="6"/>
  <c r="Q888" i="6"/>
  <c r="Q880" i="6"/>
  <c r="Q876" i="6"/>
  <c r="Q872" i="6"/>
  <c r="Q864" i="6"/>
  <c r="Q860" i="6"/>
  <c r="Q856" i="6"/>
  <c r="Q848" i="6"/>
  <c r="Q844" i="6"/>
  <c r="Q840" i="6"/>
  <c r="Q832" i="6"/>
  <c r="Q828" i="6"/>
  <c r="Q824" i="6"/>
  <c r="Q816" i="6"/>
  <c r="Q812" i="6"/>
  <c r="Q808" i="6"/>
  <c r="Q800" i="6"/>
  <c r="Q796" i="6"/>
  <c r="Q792" i="6"/>
  <c r="Q784" i="6"/>
  <c r="Q780" i="6"/>
  <c r="Q776" i="6"/>
  <c r="Q768" i="6"/>
  <c r="Q764" i="6"/>
  <c r="Q752" i="6"/>
  <c r="Q748" i="6"/>
  <c r="Q744" i="6"/>
  <c r="Q736" i="6"/>
  <c r="Q732" i="6"/>
  <c r="Q728" i="6"/>
  <c r="Q720" i="6"/>
  <c r="Q716" i="6"/>
  <c r="Q712" i="6"/>
  <c r="Q704" i="6"/>
  <c r="Q700" i="6"/>
  <c r="Q696" i="6"/>
  <c r="Q688" i="6"/>
  <c r="Q684" i="6"/>
  <c r="Q680" i="6"/>
  <c r="Q672" i="6"/>
  <c r="Q545" i="6"/>
  <c r="Q481" i="6"/>
  <c r="Q465" i="6"/>
  <c r="Q593" i="6"/>
  <c r="Q664" i="6"/>
  <c r="Q760" i="6"/>
  <c r="Q1088" i="6"/>
  <c r="Q1096" i="6"/>
  <c r="Q1100" i="6"/>
  <c r="Q1228" i="6"/>
  <c r="Q1232" i="6"/>
  <c r="Q1243" i="6"/>
  <c r="Q1247" i="6"/>
  <c r="Q1251" i="6"/>
  <c r="Q1255" i="6"/>
  <c r="Q1259" i="6"/>
  <c r="Q1264" i="6"/>
  <c r="Q1268" i="6"/>
  <c r="Q1277" i="6"/>
  <c r="Q1290" i="6"/>
  <c r="Q1258" i="6"/>
  <c r="Q1242" i="6"/>
  <c r="Q1226" i="6"/>
  <c r="Q1210" i="6"/>
  <c r="Q1188" i="6"/>
  <c r="Q1124" i="6"/>
  <c r="Q1060" i="6"/>
  <c r="Q996" i="6"/>
  <c r="Q932" i="6"/>
  <c r="Q868" i="6"/>
  <c r="Q804" i="6"/>
  <c r="Q740" i="6"/>
  <c r="Q676" i="6"/>
  <c r="Q612" i="6"/>
  <c r="Q313" i="6"/>
  <c r="Q299" i="6"/>
  <c r="Q163" i="6"/>
  <c r="Q143" i="6"/>
  <c r="Q127" i="6"/>
  <c r="Q107" i="6"/>
  <c r="Q91" i="6"/>
  <c r="Q63" i="6"/>
  <c r="Q1445" i="6"/>
  <c r="Q1441" i="6"/>
  <c r="Q1437" i="6"/>
  <c r="Q1433" i="6"/>
  <c r="Q1429" i="6"/>
  <c r="Q1425" i="6"/>
  <c r="Q1421" i="6"/>
  <c r="Q1417" i="6"/>
  <c r="Q1413" i="6"/>
  <c r="Q1409" i="6"/>
  <c r="Q1405" i="6"/>
  <c r="Q1401" i="6"/>
  <c r="Q1397" i="6"/>
  <c r="Q1393" i="6"/>
  <c r="Q1389" i="6"/>
  <c r="Q1385" i="6"/>
  <c r="Q1381" i="6"/>
  <c r="Q1377" i="6"/>
  <c r="Q1373" i="6"/>
  <c r="Q1369" i="6"/>
  <c r="Q1365" i="6"/>
  <c r="Q1361" i="6"/>
  <c r="Q1357" i="6"/>
  <c r="Q1353" i="6"/>
  <c r="Q1349" i="6"/>
  <c r="Q1345" i="6"/>
  <c r="Q1341" i="6"/>
  <c r="Q1337" i="6"/>
  <c r="Q1333" i="6"/>
  <c r="Q1329" i="6"/>
  <c r="Q1325" i="6"/>
  <c r="Q1321" i="6"/>
  <c r="Q1317" i="6"/>
  <c r="Q1313" i="6"/>
  <c r="Q1309" i="6"/>
  <c r="Q1305" i="6"/>
  <c r="Q1301" i="6"/>
  <c r="Q1297" i="6"/>
  <c r="Q1293" i="6"/>
  <c r="Q1289" i="6"/>
  <c r="Q1285" i="6"/>
  <c r="Q1281" i="6"/>
  <c r="Q1275" i="6"/>
  <c r="Q1240" i="6"/>
  <c r="Q1236" i="6"/>
  <c r="Q1225" i="6"/>
  <c r="Q1221" i="6"/>
  <c r="Q1217" i="6"/>
  <c r="Q1213" i="6"/>
  <c r="Q1209" i="6"/>
  <c r="Q1203" i="6"/>
  <c r="Q1199" i="6"/>
  <c r="Q1195" i="6"/>
  <c r="Q1191" i="6"/>
  <c r="Q1187" i="6"/>
  <c r="Q1183" i="6"/>
  <c r="Q1179" i="6"/>
  <c r="Q1175" i="6"/>
  <c r="Q1171" i="6"/>
  <c r="Q1167" i="6"/>
  <c r="Q1163" i="6"/>
  <c r="Q1159" i="6"/>
  <c r="Q1155" i="6"/>
  <c r="Q1151" i="6"/>
  <c r="Q1147" i="6"/>
  <c r="Q1143" i="6"/>
  <c r="Q1139" i="6"/>
  <c r="Q1135" i="6"/>
  <c r="Q1131" i="6"/>
  <c r="Q1127" i="6"/>
  <c r="Q1123" i="6"/>
  <c r="Q1119" i="6"/>
  <c r="Q1109" i="6"/>
  <c r="Q1083" i="6"/>
  <c r="Q1079" i="6"/>
  <c r="Q1075" i="6"/>
  <c r="Q1067" i="6"/>
  <c r="Q1063" i="6"/>
  <c r="Q1059" i="6"/>
  <c r="Q1055" i="6"/>
  <c r="Q1051" i="6"/>
  <c r="Q1047" i="6"/>
  <c r="Q1043" i="6"/>
  <c r="Q1039" i="6"/>
  <c r="Q1035" i="6"/>
  <c r="Q1031" i="6"/>
  <c r="Q1027" i="6"/>
  <c r="Q1023" i="6"/>
  <c r="Q1019" i="6"/>
  <c r="Q1015" i="6"/>
  <c r="Q1011" i="6"/>
  <c r="Q1007" i="6"/>
  <c r="Q1003" i="6"/>
  <c r="Q999" i="6"/>
  <c r="Q995" i="6"/>
  <c r="Q656" i="6"/>
  <c r="Q652" i="6"/>
  <c r="Q648" i="6"/>
  <c r="Q640" i="6"/>
  <c r="Q636" i="6"/>
  <c r="Q632" i="6"/>
  <c r="Q624" i="6"/>
  <c r="Q620" i="6"/>
  <c r="Q616" i="6"/>
  <c r="Q322" i="6"/>
  <c r="Q1112" i="6"/>
  <c r="Q1116" i="6"/>
  <c r="Q1229" i="6"/>
  <c r="Q1233" i="6"/>
  <c r="Q1244" i="6"/>
  <c r="Q1248" i="6"/>
  <c r="Q1252" i="6"/>
  <c r="Q1256" i="6"/>
  <c r="Q1260" i="6"/>
  <c r="Q1265" i="6"/>
  <c r="Q1269" i="6"/>
  <c r="Q1286" i="6"/>
  <c r="Q1254" i="6"/>
  <c r="Q1222" i="6"/>
  <c r="Q1206" i="6"/>
  <c r="Q1172" i="6"/>
  <c r="Q1108" i="6"/>
  <c r="Q1044" i="6"/>
  <c r="Q980" i="6"/>
  <c r="Q916" i="6"/>
  <c r="Q852" i="6"/>
  <c r="Q788" i="6"/>
  <c r="Q724" i="6"/>
  <c r="Q660" i="6"/>
  <c r="Q577" i="6"/>
  <c r="Q969" i="6"/>
  <c r="Q965" i="6"/>
  <c r="Q961" i="6"/>
  <c r="Q957" i="6"/>
  <c r="Q953" i="6"/>
  <c r="Q949" i="6"/>
  <c r="Q945" i="6"/>
  <c r="Q941" i="6"/>
  <c r="Q937" i="6"/>
  <c r="Q933" i="6"/>
  <c r="Q929" i="6"/>
  <c r="Q925" i="6"/>
  <c r="Q921" i="6"/>
  <c r="Q917" i="6"/>
  <c r="Q913" i="6"/>
  <c r="Q909" i="6"/>
  <c r="Q905" i="6"/>
  <c r="Q897" i="6"/>
  <c r="Q893" i="6"/>
  <c r="Q889" i="6"/>
  <c r="Q885" i="6"/>
  <c r="Q881" i="6"/>
  <c r="Q877" i="6"/>
  <c r="Q873" i="6"/>
  <c r="Q869" i="6"/>
  <c r="Q865" i="6"/>
  <c r="Q861" i="6"/>
  <c r="Q857" i="6"/>
  <c r="Q853" i="6"/>
  <c r="Q849" i="6"/>
  <c r="Q845" i="6"/>
  <c r="Q841" i="6"/>
  <c r="Q837" i="6"/>
  <c r="Q833" i="6"/>
  <c r="Q829" i="6"/>
  <c r="Q825" i="6"/>
  <c r="Q821" i="6"/>
  <c r="Q817" i="6"/>
  <c r="Q813" i="6"/>
  <c r="Q809" i="6"/>
  <c r="Q805" i="6"/>
  <c r="Q801" i="6"/>
  <c r="Q797" i="6"/>
  <c r="Q793" i="6"/>
  <c r="Q789" i="6"/>
  <c r="Q785" i="6"/>
  <c r="Q781" i="6"/>
  <c r="Q777" i="6"/>
  <c r="Q773" i="6"/>
  <c r="Q769" i="6"/>
  <c r="Q765" i="6"/>
  <c r="Q757" i="6"/>
  <c r="Q753" i="6"/>
  <c r="Q749" i="6"/>
  <c r="Q745" i="6"/>
  <c r="Q741" i="6"/>
  <c r="Q737" i="6"/>
  <c r="Q733" i="6"/>
  <c r="Q729" i="6"/>
  <c r="Q725" i="6"/>
  <c r="Q721" i="6"/>
  <c r="Q717" i="6"/>
  <c r="Q713" i="6"/>
  <c r="Q709" i="6"/>
  <c r="Q705" i="6"/>
  <c r="Q701" i="6"/>
  <c r="Q697" i="6"/>
  <c r="Q693" i="6"/>
  <c r="Q689" i="6"/>
  <c r="Q685" i="6"/>
  <c r="Q681" i="6"/>
  <c r="Q677" i="6"/>
  <c r="Q673" i="6"/>
  <c r="Q662" i="6"/>
  <c r="Q658" i="6"/>
  <c r="Q654" i="6"/>
  <c r="Q650" i="6"/>
  <c r="Q646" i="6"/>
  <c r="Q642" i="6"/>
  <c r="Q638" i="6"/>
  <c r="Q634" i="6"/>
  <c r="Q630" i="6"/>
  <c r="Q626" i="6"/>
  <c r="Q622" i="6"/>
  <c r="Q618" i="6"/>
  <c r="Q614" i="6"/>
  <c r="Q610" i="6"/>
  <c r="Q600" i="6"/>
  <c r="Q596" i="6"/>
  <c r="Q566" i="6"/>
  <c r="Q560" i="6"/>
  <c r="Q552" i="6"/>
  <c r="Q546" i="6"/>
  <c r="Q540" i="6"/>
  <c r="Q536" i="6"/>
  <c r="Q532" i="6"/>
  <c r="Q528" i="6"/>
  <c r="Q522" i="6"/>
  <c r="Q514" i="6"/>
  <c r="Q508" i="6"/>
  <c r="Q504" i="6"/>
  <c r="Q500" i="6"/>
  <c r="Q496" i="6"/>
  <c r="Q490" i="6"/>
  <c r="Q486" i="6"/>
  <c r="Q482" i="6"/>
  <c r="Q478" i="6"/>
  <c r="Q474" i="6"/>
  <c r="Q470" i="6"/>
  <c r="Q466" i="6"/>
  <c r="Q460" i="6"/>
  <c r="Q456" i="6"/>
  <c r="Q452" i="6"/>
  <c r="Q448" i="6"/>
  <c r="Q444" i="6"/>
  <c r="Q440" i="6"/>
  <c r="Q436" i="6"/>
  <c r="Q432" i="6"/>
  <c r="Q428" i="6"/>
  <c r="Q424" i="6"/>
  <c r="Q420" i="6"/>
  <c r="Q416" i="6"/>
  <c r="Q412" i="6"/>
  <c r="Q408" i="6"/>
  <c r="Q404" i="6"/>
  <c r="Q400" i="6"/>
  <c r="Q396" i="6"/>
  <c r="Q392" i="6"/>
  <c r="Q388" i="6"/>
  <c r="Q384" i="6"/>
  <c r="Q380" i="6"/>
  <c r="Q376" i="6"/>
  <c r="Q372" i="6"/>
  <c r="Q368" i="6"/>
  <c r="Q364" i="6"/>
  <c r="Q360" i="6"/>
  <c r="Q356" i="6"/>
  <c r="Q352" i="6"/>
  <c r="Q348" i="6"/>
  <c r="Q344" i="6"/>
  <c r="Q340" i="6"/>
  <c r="Q336" i="6"/>
  <c r="Q332" i="6"/>
  <c r="Q328" i="6"/>
  <c r="Q324" i="6"/>
  <c r="Q320" i="6"/>
  <c r="Q316" i="6"/>
  <c r="Q312" i="6"/>
  <c r="Q306" i="6"/>
  <c r="Q298" i="6"/>
  <c r="Q294" i="6"/>
  <c r="Q290" i="6"/>
  <c r="Q286" i="6"/>
  <c r="Q282" i="6"/>
  <c r="Q278" i="6"/>
  <c r="Q274" i="6"/>
  <c r="Q270" i="6"/>
  <c r="Q266" i="6"/>
  <c r="Q262" i="6"/>
  <c r="Q254" i="6"/>
  <c r="Q250" i="6"/>
  <c r="Q246" i="6"/>
  <c r="Q242" i="6"/>
  <c r="Q238" i="6"/>
  <c r="Q234" i="6"/>
  <c r="Q230" i="6"/>
  <c r="Q226" i="6"/>
  <c r="Q222" i="6"/>
  <c r="Q218" i="6"/>
  <c r="Q214" i="6"/>
  <c r="Q210" i="6"/>
  <c r="Q206" i="6"/>
  <c r="Q202" i="6"/>
  <c r="Q198" i="6"/>
  <c r="Q190" i="6"/>
  <c r="Q186" i="6"/>
  <c r="Q182" i="6"/>
  <c r="Q178" i="6"/>
  <c r="Q174" i="6"/>
  <c r="Q170" i="6"/>
  <c r="Q166" i="6"/>
  <c r="Q162" i="6"/>
  <c r="Q154" i="6"/>
  <c r="Q150" i="6"/>
  <c r="Q146" i="6"/>
  <c r="Q142" i="6"/>
  <c r="Q138" i="6"/>
  <c r="Q134" i="6"/>
  <c r="Q126" i="6"/>
  <c r="Q114" i="6"/>
  <c r="Q110" i="6"/>
  <c r="Q106" i="6"/>
  <c r="Q102" i="6"/>
  <c r="Q98" i="6"/>
  <c r="Q94" i="6"/>
  <c r="Q90" i="6"/>
  <c r="Q86" i="6"/>
  <c r="Q82" i="6"/>
  <c r="Q78" i="6"/>
  <c r="Q74" i="6"/>
  <c r="Q70" i="6"/>
  <c r="Q62" i="6"/>
  <c r="Q58" i="6"/>
  <c r="Q54" i="6"/>
  <c r="Q50" i="6"/>
  <c r="Q46" i="6"/>
  <c r="Q42" i="6"/>
  <c r="Q38" i="6"/>
  <c r="Q30" i="6"/>
  <c r="Q26" i="6"/>
  <c r="Q115" i="6"/>
  <c r="Q121" i="6"/>
  <c r="Q157" i="6"/>
  <c r="Q308" i="6"/>
  <c r="Q494" i="6"/>
  <c r="Q515" i="6"/>
  <c r="Q525" i="6"/>
  <c r="Q548" i="6"/>
  <c r="Q558" i="6"/>
  <c r="Q567" i="6"/>
  <c r="Q572" i="6"/>
  <c r="Q576" i="6"/>
  <c r="Q580" i="6"/>
  <c r="Q584" i="6"/>
  <c r="Q588" i="6"/>
  <c r="Q592" i="6"/>
  <c r="Q663" i="6"/>
  <c r="Q667" i="6"/>
  <c r="Q759" i="6"/>
  <c r="Q1069" i="6"/>
  <c r="Q1086" i="6"/>
  <c r="Q1091" i="6"/>
  <c r="Q1095" i="6"/>
  <c r="Q1099" i="6"/>
  <c r="Q1103" i="6"/>
  <c r="Q1114" i="6"/>
  <c r="Q1110" i="6"/>
  <c r="Q661" i="6"/>
  <c r="Q657" i="6"/>
  <c r="Q653" i="6"/>
  <c r="Q649" i="6"/>
  <c r="Q645" i="6"/>
  <c r="Q641" i="6"/>
  <c r="Q637" i="6"/>
  <c r="Q633" i="6"/>
  <c r="Q629" i="6"/>
  <c r="Q625" i="6"/>
  <c r="Q621" i="6"/>
  <c r="Q617" i="6"/>
  <c r="Q613" i="6"/>
  <c r="Q609" i="6"/>
  <c r="Q603" i="6"/>
  <c r="Q599" i="6"/>
  <c r="Q595" i="6"/>
  <c r="Q563" i="6"/>
  <c r="Q557" i="6"/>
  <c r="Q551" i="6"/>
  <c r="Q539" i="6"/>
  <c r="Q535" i="6"/>
  <c r="Q531" i="6"/>
  <c r="Q527" i="6"/>
  <c r="Q519" i="6"/>
  <c r="Q507" i="6"/>
  <c r="Q503" i="6"/>
  <c r="Q499" i="6"/>
  <c r="Q493" i="6"/>
  <c r="Q489" i="6"/>
  <c r="Q485" i="6"/>
  <c r="Q477" i="6"/>
  <c r="Q473" i="6"/>
  <c r="Q469" i="6"/>
  <c r="Q459" i="6"/>
  <c r="Q455" i="6"/>
  <c r="Q451" i="6"/>
  <c r="Q447" i="6"/>
  <c r="Q443" i="6"/>
  <c r="Q439" i="6"/>
  <c r="Q435" i="6"/>
  <c r="Q431" i="6"/>
  <c r="Q427" i="6"/>
  <c r="Q423" i="6"/>
  <c r="Q419" i="6"/>
  <c r="Q415" i="6"/>
  <c r="Q411" i="6"/>
  <c r="Q407" i="6"/>
  <c r="Q403" i="6"/>
  <c r="Q399" i="6"/>
  <c r="Q395" i="6"/>
  <c r="Q391" i="6"/>
  <c r="Q387" i="6"/>
  <c r="Q383" i="6"/>
  <c r="Q379" i="6"/>
  <c r="Q375" i="6"/>
  <c r="Q371" i="6"/>
  <c r="Q367" i="6"/>
  <c r="Q363" i="6"/>
  <c r="Q359" i="6"/>
  <c r="Q355" i="6"/>
  <c r="Q351" i="6"/>
  <c r="Q347" i="6"/>
  <c r="Q343" i="6"/>
  <c r="Q339" i="6"/>
  <c r="Q335" i="6"/>
  <c r="Q331" i="6"/>
  <c r="Q327" i="6"/>
  <c r="Q323" i="6"/>
  <c r="Q319" i="6"/>
  <c r="Q315" i="6"/>
  <c r="Q311" i="6"/>
  <c r="Q305" i="6"/>
  <c r="Q297" i="6"/>
  <c r="Q293" i="6"/>
  <c r="Q289" i="6"/>
  <c r="Q285" i="6"/>
  <c r="Q281" i="6"/>
  <c r="Q277" i="6"/>
  <c r="Q273" i="6"/>
  <c r="Q269" i="6"/>
  <c r="Q265" i="6"/>
  <c r="Q261" i="6"/>
  <c r="Q257" i="6"/>
  <c r="Q253" i="6"/>
  <c r="Q249" i="6"/>
  <c r="Q245" i="6"/>
  <c r="Q241" i="6"/>
  <c r="Q237" i="6"/>
  <c r="Q233" i="6"/>
  <c r="Q229" i="6"/>
  <c r="Q225" i="6"/>
  <c r="Q221" i="6"/>
  <c r="Q217" i="6"/>
  <c r="Q213" i="6"/>
  <c r="Q209" i="6"/>
  <c r="Q205" i="6"/>
  <c r="Q201" i="6"/>
  <c r="Q197" i="6"/>
  <c r="Q193" i="6"/>
  <c r="Q189" i="6"/>
  <c r="Q185" i="6"/>
  <c r="Q181" i="6"/>
  <c r="Q177" i="6"/>
  <c r="Q173" i="6"/>
  <c r="Q169" i="6"/>
  <c r="Q165" i="6"/>
  <c r="Q161" i="6"/>
  <c r="Q153" i="6"/>
  <c r="Q149" i="6"/>
  <c r="Q145" i="6"/>
  <c r="Q141" i="6"/>
  <c r="Q137" i="6"/>
  <c r="Q133" i="6"/>
  <c r="Q129" i="6"/>
  <c r="Q125" i="6"/>
  <c r="Q113" i="6"/>
  <c r="Q109" i="6"/>
  <c r="Q105" i="6"/>
  <c r="Q101" i="6"/>
  <c r="Q97" i="6"/>
  <c r="Q93" i="6"/>
  <c r="Q89" i="6"/>
  <c r="Q85" i="6"/>
  <c r="Q81" i="6"/>
  <c r="Q77" i="6"/>
  <c r="Q73" i="6"/>
  <c r="Q69" i="6"/>
  <c r="Q65" i="6"/>
  <c r="Q61" i="6"/>
  <c r="Q57" i="6"/>
  <c r="Q53" i="6"/>
  <c r="Q49" i="6"/>
  <c r="Q45" i="6"/>
  <c r="Q41" i="6"/>
  <c r="Q37" i="6"/>
  <c r="Q33" i="6"/>
  <c r="Q21" i="6"/>
  <c r="Q17" i="6"/>
  <c r="Q13" i="6"/>
  <c r="Q9" i="6"/>
  <c r="Q5" i="6"/>
  <c r="Q116" i="6"/>
  <c r="Q122" i="6"/>
  <c r="Q158" i="6"/>
  <c r="Q309" i="6"/>
  <c r="Q495" i="6"/>
  <c r="Q516" i="6"/>
  <c r="Q526" i="6"/>
  <c r="Q549" i="6"/>
  <c r="Q559" i="6"/>
  <c r="Q568" i="6"/>
  <c r="Q573" i="6"/>
  <c r="Q581" i="6"/>
  <c r="Q585" i="6"/>
  <c r="Q589" i="6"/>
  <c r="Q669" i="6"/>
  <c r="Q902" i="6"/>
  <c r="Q1070" i="6"/>
  <c r="Q1105" i="6"/>
  <c r="Q1111" i="6"/>
  <c r="Q1115" i="6"/>
  <c r="Q991" i="6"/>
  <c r="Q987" i="6"/>
  <c r="Q983" i="6"/>
  <c r="Q979" i="6"/>
  <c r="Q975" i="6"/>
  <c r="Q971" i="6"/>
  <c r="Q967" i="6"/>
  <c r="Q963" i="6"/>
  <c r="Q959" i="6"/>
  <c r="Q955" i="6"/>
  <c r="Q951" i="6"/>
  <c r="Q947" i="6"/>
  <c r="Q943" i="6"/>
  <c r="Q939" i="6"/>
  <c r="Q935" i="6"/>
  <c r="Q931" i="6"/>
  <c r="Q927" i="6"/>
  <c r="Q923" i="6"/>
  <c r="Q919" i="6"/>
  <c r="Q915" i="6"/>
  <c r="Q911" i="6"/>
  <c r="Q907" i="6"/>
  <c r="Q901" i="6"/>
  <c r="Q895" i="6"/>
  <c r="Q891" i="6"/>
  <c r="Q887" i="6"/>
  <c r="Q883" i="6"/>
  <c r="Q879" i="6"/>
  <c r="Q875" i="6"/>
  <c r="Q871" i="6"/>
  <c r="Q867" i="6"/>
  <c r="Q863" i="6"/>
  <c r="Q859" i="6"/>
  <c r="Q855" i="6"/>
  <c r="Q851" i="6"/>
  <c r="Q847" i="6"/>
  <c r="Q843" i="6"/>
  <c r="Q839" i="6"/>
  <c r="Q835" i="6"/>
  <c r="Q831" i="6"/>
  <c r="Q827" i="6"/>
  <c r="Q823" i="6"/>
  <c r="Q819" i="6"/>
  <c r="Q815" i="6"/>
  <c r="Q811" i="6"/>
  <c r="Q807" i="6"/>
  <c r="Q803" i="6"/>
  <c r="Q799" i="6"/>
  <c r="Q795" i="6"/>
  <c r="Q791" i="6"/>
  <c r="Q787" i="6"/>
  <c r="Q783" i="6"/>
  <c r="Q779" i="6"/>
  <c r="Q775" i="6"/>
  <c r="Q771" i="6"/>
  <c r="Q767" i="6"/>
  <c r="Q763" i="6"/>
  <c r="Q755" i="6"/>
  <c r="Q751" i="6"/>
  <c r="Q747" i="6"/>
  <c r="Q743" i="6"/>
  <c r="Q739" i="6"/>
  <c r="Q735" i="6"/>
  <c r="Q731" i="6"/>
  <c r="Q727" i="6"/>
  <c r="Q723" i="6"/>
  <c r="Q719" i="6"/>
  <c r="Q715" i="6"/>
  <c r="Q711" i="6"/>
  <c r="Q707" i="6"/>
  <c r="Q703" i="6"/>
  <c r="Q699" i="6"/>
  <c r="Q695" i="6"/>
  <c r="Q691" i="6"/>
  <c r="Q687" i="6"/>
  <c r="Q683" i="6"/>
  <c r="Q679" i="6"/>
  <c r="Q675" i="6"/>
  <c r="Q671" i="6"/>
  <c r="Q606" i="6"/>
  <c r="Q602" i="6"/>
  <c r="Q598" i="6"/>
  <c r="Q594" i="6"/>
  <c r="Q562" i="6"/>
  <c r="Q556" i="6"/>
  <c r="Q550" i="6"/>
  <c r="Q542" i="6"/>
  <c r="Q538" i="6"/>
  <c r="Q534" i="6"/>
  <c r="Q530" i="6"/>
  <c r="Q524" i="6"/>
  <c r="Q518" i="6"/>
  <c r="Q512" i="6"/>
  <c r="Q506" i="6"/>
  <c r="Q502" i="6"/>
  <c r="Q498" i="6"/>
  <c r="Q492" i="6"/>
  <c r="Q488" i="6"/>
  <c r="Q484" i="6"/>
  <c r="Q480" i="6"/>
  <c r="Q476" i="6"/>
  <c r="Q472" i="6"/>
  <c r="Q468" i="6"/>
  <c r="Q462" i="6"/>
  <c r="Q458" i="6"/>
  <c r="Q454" i="6"/>
  <c r="Q450" i="6"/>
  <c r="Q446" i="6"/>
  <c r="Q442" i="6"/>
  <c r="Q438" i="6"/>
  <c r="Q434" i="6"/>
  <c r="Q430" i="6"/>
  <c r="Q426" i="6"/>
  <c r="Q422" i="6"/>
  <c r="Q418" i="6"/>
  <c r="Q414" i="6"/>
  <c r="Q410" i="6"/>
  <c r="Q406" i="6"/>
  <c r="Q402" i="6"/>
  <c r="Q398" i="6"/>
  <c r="Q394" i="6"/>
  <c r="Q390" i="6"/>
  <c r="Q386" i="6"/>
  <c r="Q382" i="6"/>
  <c r="Q378" i="6"/>
  <c r="Q374" i="6"/>
  <c r="Q370" i="6"/>
  <c r="Q366" i="6"/>
  <c r="Q362" i="6"/>
  <c r="Q358" i="6"/>
  <c r="Q354" i="6"/>
  <c r="Q350" i="6"/>
  <c r="Q346" i="6"/>
  <c r="Q342" i="6"/>
  <c r="Q338" i="6"/>
  <c r="Q334" i="6"/>
  <c r="Q330" i="6"/>
  <c r="Q326" i="6"/>
  <c r="Q318" i="6"/>
  <c r="Q314" i="6"/>
  <c r="Q310" i="6"/>
  <c r="Q304" i="6"/>
  <c r="Q300" i="6"/>
  <c r="Q296" i="6"/>
  <c r="Q292" i="6"/>
  <c r="Q288" i="6"/>
  <c r="Q284" i="6"/>
  <c r="Q280" i="6"/>
  <c r="Q276" i="6"/>
  <c r="Q272" i="6"/>
  <c r="Q268" i="6"/>
  <c r="Q264" i="6"/>
  <c r="Q260" i="6"/>
  <c r="Q256" i="6"/>
  <c r="Q252" i="6"/>
  <c r="Q248" i="6"/>
  <c r="Q244" i="6"/>
  <c r="Q240" i="6"/>
  <c r="Q236" i="6"/>
  <c r="Q232" i="6"/>
  <c r="Q228" i="6"/>
  <c r="Q224" i="6"/>
  <c r="Q220" i="6"/>
  <c r="Q216" i="6"/>
  <c r="Q212" i="6"/>
  <c r="Q208" i="6"/>
  <c r="Q204" i="6"/>
  <c r="Q200" i="6"/>
  <c r="Q196" i="6"/>
  <c r="Q192" i="6"/>
  <c r="Q188" i="6"/>
  <c r="Q184" i="6"/>
  <c r="Q180" i="6"/>
  <c r="Q176" i="6"/>
  <c r="Q172" i="6"/>
  <c r="Q168" i="6"/>
  <c r="Q164" i="6"/>
  <c r="Q156" i="6"/>
  <c r="Q152" i="6"/>
  <c r="Q148" i="6"/>
  <c r="Q144" i="6"/>
  <c r="Q140" i="6"/>
  <c r="Q136" i="6"/>
  <c r="Q132" i="6"/>
  <c r="Q128" i="6"/>
  <c r="Q120" i="6"/>
  <c r="Q112" i="6"/>
  <c r="Q108" i="6"/>
  <c r="Q104" i="6"/>
  <c r="Q100" i="6"/>
  <c r="Q96" i="6"/>
  <c r="Q92" i="6"/>
  <c r="Q88" i="6"/>
  <c r="Q84" i="6"/>
  <c r="Q80" i="6"/>
  <c r="Q76" i="6"/>
  <c r="Q72" i="6"/>
  <c r="Q68" i="6"/>
  <c r="Q64" i="6"/>
  <c r="Q60" i="6"/>
  <c r="Q56" i="6"/>
  <c r="Q52" i="6"/>
  <c r="Q48" i="6"/>
  <c r="Q40" i="6"/>
  <c r="Q32" i="6"/>
  <c r="Q28" i="6"/>
  <c r="Q24" i="6"/>
  <c r="Q4" i="6"/>
  <c r="Q117" i="6"/>
  <c r="Q123" i="6"/>
  <c r="Q159" i="6"/>
  <c r="Q463" i="6"/>
  <c r="Q510" i="6"/>
  <c r="Q520" i="6"/>
  <c r="Q543" i="6"/>
  <c r="Q553" i="6"/>
  <c r="Q564" i="6"/>
  <c r="Q570" i="6"/>
  <c r="Q574" i="6"/>
  <c r="Q578" i="6"/>
  <c r="Q582" i="6"/>
  <c r="Q586" i="6"/>
  <c r="Q590" i="6"/>
  <c r="Q607" i="6"/>
  <c r="Q665" i="6"/>
  <c r="Q670" i="6"/>
  <c r="Q761" i="6"/>
  <c r="Q903" i="6"/>
  <c r="Q1071" i="6"/>
  <c r="Q1089" i="6"/>
  <c r="Q1093" i="6"/>
  <c r="Q1097" i="6"/>
  <c r="Q1101" i="6"/>
  <c r="Q1106" i="6"/>
  <c r="Q2" i="6"/>
  <c r="A3128" i="6"/>
  <c r="A3127" i="6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E4" i="1"/>
  <c r="D3" i="1"/>
  <c r="F12" i="2"/>
  <c r="F3" i="1" l="1"/>
  <c r="F4" i="1"/>
  <c r="G60" i="2"/>
  <c r="G56" i="2"/>
  <c r="G52" i="2"/>
  <c r="G48" i="2"/>
  <c r="G63" i="2"/>
  <c r="G40" i="2"/>
  <c r="G34" i="2"/>
  <c r="G30" i="2"/>
  <c r="G26" i="2"/>
  <c r="G22" i="2"/>
  <c r="G14" i="2"/>
  <c r="G59" i="2"/>
  <c r="G55" i="2"/>
  <c r="G51" i="2"/>
  <c r="G47" i="2"/>
  <c r="G43" i="2"/>
  <c r="G39" i="2"/>
  <c r="G33" i="2"/>
  <c r="G29" i="2"/>
  <c r="G25" i="2"/>
  <c r="G21" i="2"/>
  <c r="G17" i="2"/>
  <c r="G62" i="2"/>
  <c r="G58" i="2"/>
  <c r="G54" i="2"/>
  <c r="G50" i="2"/>
  <c r="G46" i="2"/>
  <c r="G45" i="2"/>
  <c r="G42" i="2"/>
  <c r="G38" i="2"/>
  <c r="G32" i="2"/>
  <c r="G28" i="2"/>
  <c r="G24" i="2"/>
  <c r="G20" i="2"/>
  <c r="G15" i="2"/>
  <c r="G19" i="2"/>
  <c r="G18" i="2"/>
  <c r="G61" i="2"/>
  <c r="G57" i="2"/>
  <c r="G53" i="2"/>
  <c r="G49" i="2"/>
  <c r="G37" i="2"/>
  <c r="G44" i="2"/>
  <c r="G41" i="2"/>
  <c r="G35" i="2"/>
  <c r="G31" i="2"/>
  <c r="G27" i="2"/>
  <c r="G23" i="2"/>
  <c r="G16" i="2"/>
  <c r="O808" i="1"/>
  <c r="E3" i="1"/>
  <c r="O408" i="1"/>
  <c r="O313" i="1"/>
  <c r="O317" i="1"/>
  <c r="O778" i="1"/>
  <c r="O779" i="1"/>
  <c r="O352" i="1"/>
  <c r="O360" i="1"/>
  <c r="O364" i="1"/>
  <c r="O372" i="1"/>
  <c r="O384" i="1"/>
  <c r="O392" i="1"/>
  <c r="O400" i="1"/>
  <c r="O404" i="1"/>
  <c r="O348" i="1"/>
  <c r="O356" i="1"/>
  <c r="O368" i="1"/>
  <c r="O376" i="1"/>
  <c r="O380" i="1"/>
  <c r="O388" i="1"/>
  <c r="O396" i="1"/>
  <c r="O145" i="1"/>
  <c r="O329" i="1"/>
  <c r="O141" i="1"/>
  <c r="O153" i="1"/>
  <c r="O325" i="1"/>
  <c r="O149" i="1"/>
  <c r="O321" i="1"/>
  <c r="O337" i="1"/>
  <c r="O341" i="1"/>
  <c r="O345" i="1"/>
  <c r="O126" i="1"/>
  <c r="O138" i="1"/>
  <c r="O333" i="1"/>
  <c r="O130" i="1"/>
  <c r="O134" i="1"/>
  <c r="O95" i="1"/>
  <c r="O111" i="1"/>
  <c r="O123" i="1"/>
  <c r="O99" i="1"/>
  <c r="O107" i="1"/>
  <c r="O119" i="1"/>
  <c r="O103" i="1"/>
  <c r="O115" i="1"/>
  <c r="O4596" i="1"/>
  <c r="O1716" i="1"/>
  <c r="O1124" i="1"/>
  <c r="O946" i="1"/>
  <c r="O818" i="1"/>
  <c r="O476" i="1"/>
  <c r="O412" i="1"/>
  <c r="O291" i="1"/>
  <c r="O241" i="1"/>
  <c r="O189" i="1"/>
  <c r="O3827" i="1"/>
  <c r="O1430" i="1"/>
  <c r="O1427" i="1"/>
  <c r="O1332" i="1"/>
  <c r="O690" i="1"/>
  <c r="O173" i="1"/>
  <c r="O109" i="1"/>
  <c r="O626" i="1"/>
  <c r="O3699" i="1"/>
  <c r="O658" i="1"/>
  <c r="O604" i="1"/>
  <c r="O311" i="1"/>
  <c r="O157" i="1"/>
  <c r="O93" i="1"/>
  <c r="O15" i="1"/>
  <c r="O27" i="1"/>
  <c r="O34" i="1"/>
  <c r="O46" i="1"/>
  <c r="O58" i="1"/>
  <c r="O69" i="1"/>
  <c r="O80" i="1"/>
  <c r="O92" i="1"/>
  <c r="O104" i="1"/>
  <c r="O190" i="1"/>
  <c r="O202" i="1"/>
  <c r="O213" i="1"/>
  <c r="O227" i="1"/>
  <c r="O239" i="1"/>
  <c r="O250" i="1"/>
  <c r="O258" i="1"/>
  <c r="O266" i="1"/>
  <c r="O278" i="1"/>
  <c r="O286" i="1"/>
  <c r="O294" i="1"/>
  <c r="O302" i="1"/>
  <c r="O310" i="1"/>
  <c r="O481" i="1"/>
  <c r="O489" i="1"/>
  <c r="O493" i="1"/>
  <c r="O497" i="1"/>
  <c r="O501" i="1"/>
  <c r="O505" i="1"/>
  <c r="O509" i="1"/>
  <c r="O513" i="1"/>
  <c r="O517" i="1"/>
  <c r="O521" i="1"/>
  <c r="O525" i="1"/>
  <c r="O529" i="1"/>
  <c r="O533" i="1"/>
  <c r="O537" i="1"/>
  <c r="O540" i="1"/>
  <c r="O544" i="1"/>
  <c r="O548" i="1"/>
  <c r="O884" i="1"/>
  <c r="O888" i="1"/>
  <c r="O892" i="1"/>
  <c r="O1012" i="1"/>
  <c r="O1016" i="1"/>
  <c r="O1020" i="1"/>
  <c r="O1024" i="1"/>
  <c r="O1027" i="1"/>
  <c r="O1031" i="1"/>
  <c r="O1035" i="1"/>
  <c r="O1039" i="1"/>
  <c r="O1043" i="1"/>
  <c r="O1047" i="1"/>
  <c r="O1051" i="1"/>
  <c r="O1055" i="1"/>
  <c r="O1059" i="1"/>
  <c r="O1063" i="1"/>
  <c r="O1067" i="1"/>
  <c r="O1071" i="1"/>
  <c r="O11" i="1"/>
  <c r="O23" i="1"/>
  <c r="O38" i="1"/>
  <c r="O54" i="1"/>
  <c r="O65" i="1"/>
  <c r="O88" i="1"/>
  <c r="O100" i="1"/>
  <c r="O198" i="1"/>
  <c r="O209" i="1"/>
  <c r="O224" i="1"/>
  <c r="O235" i="1"/>
  <c r="O274" i="1"/>
  <c r="O477" i="1"/>
  <c r="O16" i="1"/>
  <c r="O24" i="1"/>
  <c r="O31" i="1"/>
  <c r="O43" i="1"/>
  <c r="O51" i="1"/>
  <c r="O59" i="1"/>
  <c r="O66" i="1"/>
  <c r="O74" i="1"/>
  <c r="O81" i="1"/>
  <c r="O89" i="1"/>
  <c r="O167" i="1"/>
  <c r="O175" i="1"/>
  <c r="O179" i="1"/>
  <c r="O187" i="1"/>
  <c r="O191" i="1"/>
  <c r="O195" i="1"/>
  <c r="O199" i="1"/>
  <c r="O203" i="1"/>
  <c r="O206" i="1"/>
  <c r="O210" i="1"/>
  <c r="O214" i="1"/>
  <c r="O218" i="1"/>
  <c r="O221" i="1"/>
  <c r="O225" i="1"/>
  <c r="O228" i="1"/>
  <c r="O232" i="1"/>
  <c r="O236" i="1"/>
  <c r="O240" i="1"/>
  <c r="O244" i="1"/>
  <c r="O247" i="1"/>
  <c r="O251" i="1"/>
  <c r="O255" i="1"/>
  <c r="O259" i="1"/>
  <c r="O263" i="1"/>
  <c r="O267" i="1"/>
  <c r="O271" i="1"/>
  <c r="O275" i="1"/>
  <c r="O279" i="1"/>
  <c r="O283" i="1"/>
  <c r="O287" i="1"/>
  <c r="O19" i="1"/>
  <c r="O30" i="1"/>
  <c r="O42" i="1"/>
  <c r="O50" i="1"/>
  <c r="O61" i="1"/>
  <c r="O73" i="1"/>
  <c r="O84" i="1"/>
  <c r="O96" i="1"/>
  <c r="O108" i="1"/>
  <c r="O194" i="1"/>
  <c r="O205" i="1"/>
  <c r="O217" i="1"/>
  <c r="O231" i="1"/>
  <c r="O243" i="1"/>
  <c r="O254" i="1"/>
  <c r="O262" i="1"/>
  <c r="O270" i="1"/>
  <c r="O282" i="1"/>
  <c r="O290" i="1"/>
  <c r="O298" i="1"/>
  <c r="O306" i="1"/>
  <c r="O485" i="1"/>
  <c r="O12" i="1"/>
  <c r="O20" i="1"/>
  <c r="O28" i="1"/>
  <c r="O35" i="1"/>
  <c r="O39" i="1"/>
  <c r="O47" i="1"/>
  <c r="O55" i="1"/>
  <c r="O62" i="1"/>
  <c r="O70" i="1"/>
  <c r="O77" i="1"/>
  <c r="O85" i="1"/>
  <c r="O159" i="1"/>
  <c r="O163" i="1"/>
  <c r="O171" i="1"/>
  <c r="O183" i="1"/>
  <c r="O110" i="1"/>
  <c r="O114" i="1"/>
  <c r="O118" i="1"/>
  <c r="O122" i="1"/>
  <c r="O125" i="1"/>
  <c r="O129" i="1"/>
  <c r="O133" i="1"/>
  <c r="O137" i="1"/>
  <c r="O144" i="1"/>
  <c r="O148" i="1"/>
  <c r="O152" i="1"/>
  <c r="O156" i="1"/>
  <c r="O160" i="1"/>
  <c r="O164" i="1"/>
  <c r="O168" i="1"/>
  <c r="O172" i="1"/>
  <c r="O877" i="1"/>
  <c r="O556" i="1"/>
  <c r="O564" i="1"/>
  <c r="O572" i="1"/>
  <c r="O580" i="1"/>
  <c r="O588" i="1"/>
  <c r="O596" i="1"/>
  <c r="O607" i="1"/>
  <c r="O615" i="1"/>
  <c r="O623" i="1"/>
  <c r="O630" i="1"/>
  <c r="O638" i="1"/>
  <c r="O697" i="1"/>
  <c r="O705" i="1"/>
  <c r="O713" i="1"/>
  <c r="O725" i="1"/>
  <c r="O733" i="1"/>
  <c r="O745" i="1"/>
  <c r="O753" i="1"/>
  <c r="O857" i="1"/>
  <c r="O865" i="1"/>
  <c r="O881" i="1"/>
  <c r="O9" i="1"/>
  <c r="O17" i="1"/>
  <c r="O25" i="1"/>
  <c r="O32" i="1"/>
  <c r="O36" i="1"/>
  <c r="O44" i="1"/>
  <c r="O52" i="1"/>
  <c r="O60" i="1"/>
  <c r="O67" i="1"/>
  <c r="O71" i="1"/>
  <c r="O75" i="1"/>
  <c r="O78" i="1"/>
  <c r="O82" i="1"/>
  <c r="O86" i="1"/>
  <c r="O90" i="1"/>
  <c r="O97" i="1"/>
  <c r="O101" i="1"/>
  <c r="O105" i="1"/>
  <c r="O112" i="1"/>
  <c r="O116" i="1"/>
  <c r="O120" i="1"/>
  <c r="O124" i="1"/>
  <c r="O127" i="1"/>
  <c r="O131" i="1"/>
  <c r="O135" i="1"/>
  <c r="O139" i="1"/>
  <c r="O142" i="1"/>
  <c r="O146" i="1"/>
  <c r="O150" i="1"/>
  <c r="O154" i="1"/>
  <c r="O161" i="1"/>
  <c r="O165" i="1"/>
  <c r="O169" i="1"/>
  <c r="O176" i="1"/>
  <c r="O180" i="1"/>
  <c r="O184" i="1"/>
  <c r="O188" i="1"/>
  <c r="O192" i="1"/>
  <c r="O196" i="1"/>
  <c r="O200" i="1"/>
  <c r="O204" i="1"/>
  <c r="O207" i="1"/>
  <c r="O211" i="1"/>
  <c r="O215" i="1"/>
  <c r="O219" i="1"/>
  <c r="O222" i="1"/>
  <c r="O226" i="1"/>
  <c r="O229" i="1"/>
  <c r="O233" i="1"/>
  <c r="O237" i="1"/>
  <c r="O292" i="1"/>
  <c r="O296" i="1"/>
  <c r="O300" i="1"/>
  <c r="O304" i="1"/>
  <c r="O308" i="1"/>
  <c r="O315" i="1"/>
  <c r="O319" i="1"/>
  <c r="O323" i="1"/>
  <c r="O327" i="1"/>
  <c r="O331" i="1"/>
  <c r="O335" i="1"/>
  <c r="O339" i="1"/>
  <c r="O343" i="1"/>
  <c r="O347" i="1"/>
  <c r="O350" i="1"/>
  <c r="O354" i="1"/>
  <c r="O358" i="1"/>
  <c r="O362" i="1"/>
  <c r="O366" i="1"/>
  <c r="O370" i="1"/>
  <c r="O374" i="1"/>
  <c r="O378" i="1"/>
  <c r="O382" i="1"/>
  <c r="O386" i="1"/>
  <c r="O390" i="1"/>
  <c r="O414" i="1"/>
  <c r="O418" i="1"/>
  <c r="O422" i="1"/>
  <c r="O426" i="1"/>
  <c r="O430" i="1"/>
  <c r="O434" i="1"/>
  <c r="O438" i="1"/>
  <c r="O442" i="1"/>
  <c r="O446" i="1"/>
  <c r="O450" i="1"/>
  <c r="O454" i="1"/>
  <c r="O458" i="1"/>
  <c r="O462" i="1"/>
  <c r="O466" i="1"/>
  <c r="O470" i="1"/>
  <c r="O474" i="1"/>
  <c r="O478" i="1"/>
  <c r="O482" i="1"/>
  <c r="O486" i="1"/>
  <c r="O490" i="1"/>
  <c r="O494" i="1"/>
  <c r="O498" i="1"/>
  <c r="O502" i="1"/>
  <c r="O506" i="1"/>
  <c r="O510" i="1"/>
  <c r="O514" i="1"/>
  <c r="O518" i="1"/>
  <c r="O522" i="1"/>
  <c r="O526" i="1"/>
  <c r="O530" i="1"/>
  <c r="O534" i="1"/>
  <c r="O538" i="1"/>
  <c r="O541" i="1"/>
  <c r="O545" i="1"/>
  <c r="O549" i="1"/>
  <c r="O553" i="1"/>
  <c r="O557" i="1"/>
  <c r="O561" i="1"/>
  <c r="O565" i="1"/>
  <c r="O569" i="1"/>
  <c r="O573" i="1"/>
  <c r="O577" i="1"/>
  <c r="O581" i="1"/>
  <c r="O585" i="1"/>
  <c r="O589" i="1"/>
  <c r="O593" i="1"/>
  <c r="O597" i="1"/>
  <c r="O601" i="1"/>
  <c r="O608" i="1"/>
  <c r="O612" i="1"/>
  <c r="O616" i="1"/>
  <c r="O620" i="1"/>
  <c r="O624" i="1"/>
  <c r="O627" i="1"/>
  <c r="O631" i="1"/>
  <c r="O635" i="1"/>
  <c r="O639" i="1"/>
  <c r="O643" i="1"/>
  <c r="O647" i="1"/>
  <c r="O651" i="1"/>
  <c r="O655" i="1"/>
  <c r="O662" i="1"/>
  <c r="O666" i="1"/>
  <c r="O670" i="1"/>
  <c r="O674" i="1"/>
  <c r="O678" i="1"/>
  <c r="O682" i="1"/>
  <c r="O686" i="1"/>
  <c r="O552" i="1"/>
  <c r="O560" i="1"/>
  <c r="O568" i="1"/>
  <c r="O576" i="1"/>
  <c r="O584" i="1"/>
  <c r="O592" i="1"/>
  <c r="O600" i="1"/>
  <c r="O611" i="1"/>
  <c r="O619" i="1"/>
  <c r="O634" i="1"/>
  <c r="O693" i="1"/>
  <c r="O701" i="1"/>
  <c r="O709" i="1"/>
  <c r="O717" i="1"/>
  <c r="O721" i="1"/>
  <c r="O729" i="1"/>
  <c r="O737" i="1"/>
  <c r="O741" i="1"/>
  <c r="O749" i="1"/>
  <c r="O853" i="1"/>
  <c r="O861" i="1"/>
  <c r="O869" i="1"/>
  <c r="O873" i="1"/>
  <c r="O13" i="1"/>
  <c r="O21" i="1"/>
  <c r="O29" i="1"/>
  <c r="O40" i="1"/>
  <c r="O48" i="1"/>
  <c r="O56" i="1"/>
  <c r="O63" i="1"/>
  <c r="O10" i="1"/>
  <c r="O14" i="1"/>
  <c r="O18" i="1"/>
  <c r="O22" i="1"/>
  <c r="O26" i="1"/>
  <c r="O33" i="1"/>
  <c r="O37" i="1"/>
  <c r="O41" i="1"/>
  <c r="O45" i="1"/>
  <c r="O49" i="1"/>
  <c r="O53" i="1"/>
  <c r="O57" i="1"/>
  <c r="O64" i="1"/>
  <c r="O68" i="1"/>
  <c r="O72" i="1"/>
  <c r="O76" i="1"/>
  <c r="O79" i="1"/>
  <c r="O83" i="1"/>
  <c r="O87" i="1"/>
  <c r="O91" i="1"/>
  <c r="O94" i="1"/>
  <c r="O98" i="1"/>
  <c r="O102" i="1"/>
  <c r="O106" i="1"/>
  <c r="O113" i="1"/>
  <c r="O117" i="1"/>
  <c r="O121" i="1"/>
  <c r="O128" i="1"/>
  <c r="O132" i="1"/>
  <c r="O136" i="1"/>
  <c r="O140" i="1"/>
  <c r="O143" i="1"/>
  <c r="O147" i="1"/>
  <c r="O151" i="1"/>
  <c r="O155" i="1"/>
  <c r="O158" i="1"/>
  <c r="O162" i="1"/>
  <c r="O166" i="1"/>
  <c r="O170" i="1"/>
  <c r="O177" i="1"/>
  <c r="O181" i="1"/>
  <c r="O185" i="1"/>
  <c r="O242" i="1"/>
  <c r="O246" i="1"/>
  <c r="O249" i="1"/>
  <c r="O253" i="1"/>
  <c r="O257" i="1"/>
  <c r="O261" i="1"/>
  <c r="O265" i="1"/>
  <c r="O269" i="1"/>
  <c r="O273" i="1"/>
  <c r="O277" i="1"/>
  <c r="O281" i="1"/>
  <c r="O285" i="1"/>
  <c r="O289" i="1"/>
  <c r="O293" i="1"/>
  <c r="O297" i="1"/>
  <c r="O301" i="1"/>
  <c r="O305" i="1"/>
  <c r="O309" i="1"/>
  <c r="O312" i="1"/>
  <c r="O316" i="1"/>
  <c r="O320" i="1"/>
  <c r="O324" i="1"/>
  <c r="O328" i="1"/>
  <c r="O332" i="1"/>
  <c r="O336" i="1"/>
  <c r="O340" i="1"/>
  <c r="O344" i="1"/>
  <c r="O351" i="1"/>
  <c r="O355" i="1"/>
  <c r="O359" i="1"/>
  <c r="O363" i="1"/>
  <c r="O367" i="1"/>
  <c r="O371" i="1"/>
  <c r="O375" i="1"/>
  <c r="O379" i="1"/>
  <c r="O383" i="1"/>
  <c r="O387" i="1"/>
  <c r="O391" i="1"/>
  <c r="O395" i="1"/>
  <c r="O399" i="1"/>
  <c r="O403" i="1"/>
  <c r="O407" i="1"/>
  <c r="O411" i="1"/>
  <c r="O415" i="1"/>
  <c r="O419" i="1"/>
  <c r="O423" i="1"/>
  <c r="O427" i="1"/>
  <c r="O431" i="1"/>
  <c r="O435" i="1"/>
  <c r="O439" i="1"/>
  <c r="O443" i="1"/>
  <c r="O447" i="1"/>
  <c r="O451" i="1"/>
  <c r="O455" i="1"/>
  <c r="O459" i="1"/>
  <c r="O463" i="1"/>
  <c r="O467" i="1"/>
  <c r="O471" i="1"/>
  <c r="O475" i="1"/>
  <c r="O479" i="1"/>
  <c r="O483" i="1"/>
  <c r="O487" i="1"/>
  <c r="O491" i="1"/>
  <c r="O495" i="1"/>
  <c r="O499" i="1"/>
  <c r="O503" i="1"/>
  <c r="O507" i="1"/>
  <c r="O511" i="1"/>
  <c r="O515" i="1"/>
  <c r="O519" i="1"/>
  <c r="O523" i="1"/>
  <c r="O527" i="1"/>
  <c r="O531" i="1"/>
  <c r="O535" i="1"/>
  <c r="O539" i="1"/>
  <c r="O542" i="1"/>
  <c r="O546" i="1"/>
  <c r="O550" i="1"/>
  <c r="O554" i="1"/>
  <c r="O558" i="1"/>
  <c r="O562" i="1"/>
  <c r="O566" i="1"/>
  <c r="O570" i="1"/>
  <c r="O574" i="1"/>
  <c r="O578" i="1"/>
  <c r="O582" i="1"/>
  <c r="O586" i="1"/>
  <c r="O590" i="1"/>
  <c r="O594" i="1"/>
  <c r="O598" i="1"/>
  <c r="O602" i="1"/>
  <c r="O605" i="1"/>
  <c r="O609" i="1"/>
  <c r="O613" i="1"/>
  <c r="O617" i="1"/>
  <c r="O621" i="1"/>
  <c r="O625" i="1"/>
  <c r="O628" i="1"/>
  <c r="O632" i="1"/>
  <c r="O636" i="1"/>
  <c r="O640" i="1"/>
  <c r="O644" i="1"/>
  <c r="O648" i="1"/>
  <c r="O652" i="1"/>
  <c r="O656" i="1"/>
  <c r="O659" i="1"/>
  <c r="O663" i="1"/>
  <c r="O667" i="1"/>
  <c r="O671" i="1"/>
  <c r="O675" i="1"/>
  <c r="O679" i="1"/>
  <c r="O683" i="1"/>
  <c r="O687" i="1"/>
  <c r="O694" i="1"/>
  <c r="O698" i="1"/>
  <c r="O702" i="1"/>
  <c r="O706" i="1"/>
  <c r="O710" i="1"/>
  <c r="O714" i="1"/>
  <c r="O718" i="1"/>
  <c r="O1301" i="1"/>
  <c r="O1305" i="1"/>
  <c r="O1309" i="1"/>
  <c r="O1313" i="1"/>
  <c r="O1317" i="1"/>
  <c r="O1321" i="1"/>
  <c r="O1325" i="1"/>
  <c r="O1329" i="1"/>
  <c r="O1336" i="1"/>
  <c r="O1340" i="1"/>
  <c r="O1344" i="1"/>
  <c r="O1348" i="1"/>
  <c r="O1352" i="1"/>
  <c r="O1356" i="1"/>
  <c r="O1360" i="1"/>
  <c r="O1364" i="1"/>
  <c r="O1368" i="1"/>
  <c r="O1372" i="1"/>
  <c r="O1376" i="1"/>
  <c r="O1380" i="1"/>
  <c r="O1384" i="1"/>
  <c r="O1388" i="1"/>
  <c r="O1392" i="1"/>
  <c r="O1396" i="1"/>
  <c r="O1400" i="1"/>
  <c r="O1404" i="1"/>
  <c r="O1408" i="1"/>
  <c r="O1412" i="1"/>
  <c r="O1416" i="1"/>
  <c r="O1420" i="1"/>
  <c r="O1424" i="1"/>
  <c r="O1434" i="1"/>
  <c r="O1438" i="1"/>
  <c r="O1442" i="1"/>
  <c r="O1446" i="1"/>
  <c r="O1450" i="1"/>
  <c r="O1454" i="1"/>
  <c r="O174" i="1"/>
  <c r="O178" i="1"/>
  <c r="O182" i="1"/>
  <c r="O186" i="1"/>
  <c r="O193" i="1"/>
  <c r="O197" i="1"/>
  <c r="O201" i="1"/>
  <c r="O208" i="1"/>
  <c r="O212" i="1"/>
  <c r="O216" i="1"/>
  <c r="O220" i="1"/>
  <c r="O223" i="1"/>
  <c r="O230" i="1"/>
  <c r="O234" i="1"/>
  <c r="O238" i="1"/>
  <c r="O245" i="1"/>
  <c r="O248" i="1"/>
  <c r="O252" i="1"/>
  <c r="O256" i="1"/>
  <c r="O260" i="1"/>
  <c r="O264" i="1"/>
  <c r="O268" i="1"/>
  <c r="O272" i="1"/>
  <c r="O276" i="1"/>
  <c r="O280" i="1"/>
  <c r="O284" i="1"/>
  <c r="O288" i="1"/>
  <c r="O295" i="1"/>
  <c r="O299" i="1"/>
  <c r="O303" i="1"/>
  <c r="O307" i="1"/>
  <c r="O314" i="1"/>
  <c r="O318" i="1"/>
  <c r="O322" i="1"/>
  <c r="O326" i="1"/>
  <c r="O330" i="1"/>
  <c r="O334" i="1"/>
  <c r="O338" i="1"/>
  <c r="O342" i="1"/>
  <c r="O346" i="1"/>
  <c r="O349" i="1"/>
  <c r="O353" i="1"/>
  <c r="O357" i="1"/>
  <c r="O361" i="1"/>
  <c r="O365" i="1"/>
  <c r="O369" i="1"/>
  <c r="O373" i="1"/>
  <c r="O377" i="1"/>
  <c r="O381" i="1"/>
  <c r="O385" i="1"/>
  <c r="O389" i="1"/>
  <c r="O393" i="1"/>
  <c r="O397" i="1"/>
  <c r="O401" i="1"/>
  <c r="O405" i="1"/>
  <c r="O409" i="1"/>
  <c r="O416" i="1"/>
  <c r="O420" i="1"/>
  <c r="O424" i="1"/>
  <c r="O428" i="1"/>
  <c r="O432" i="1"/>
  <c r="O436" i="1"/>
  <c r="O440" i="1"/>
  <c r="O444" i="1"/>
  <c r="O448" i="1"/>
  <c r="O452" i="1"/>
  <c r="O456" i="1"/>
  <c r="O460" i="1"/>
  <c r="O464" i="1"/>
  <c r="O468" i="1"/>
  <c r="O472" i="1"/>
  <c r="O1222" i="1"/>
  <c r="O1226" i="1"/>
  <c r="O1270" i="1"/>
  <c r="O1274" i="1"/>
  <c r="O1278" i="1"/>
  <c r="O1282" i="1"/>
  <c r="O1286" i="1"/>
  <c r="O394" i="1"/>
  <c r="O398" i="1"/>
  <c r="O402" i="1"/>
  <c r="O406" i="1"/>
  <c r="O410" i="1"/>
  <c r="O413" i="1"/>
  <c r="O417" i="1"/>
  <c r="O421" i="1"/>
  <c r="O425" i="1"/>
  <c r="O429" i="1"/>
  <c r="O433" i="1"/>
  <c r="O437" i="1"/>
  <c r="O441" i="1"/>
  <c r="O445" i="1"/>
  <c r="O449" i="1"/>
  <c r="O453" i="1"/>
  <c r="O457" i="1"/>
  <c r="O461" i="1"/>
  <c r="O465" i="1"/>
  <c r="O469" i="1"/>
  <c r="O473" i="1"/>
  <c r="O480" i="1"/>
  <c r="O484" i="1"/>
  <c r="O488" i="1"/>
  <c r="O755" i="1"/>
  <c r="O759" i="1"/>
  <c r="O763" i="1"/>
  <c r="O767" i="1"/>
  <c r="O771" i="1"/>
  <c r="O775" i="1"/>
  <c r="O783" i="1"/>
  <c r="O787" i="1"/>
  <c r="O791" i="1"/>
  <c r="O795" i="1"/>
  <c r="O799" i="1"/>
  <c r="O803" i="1"/>
  <c r="O807" i="1"/>
  <c r="O811" i="1"/>
  <c r="O815" i="1"/>
  <c r="O822" i="1"/>
  <c r="O826" i="1"/>
  <c r="O830" i="1"/>
  <c r="O834" i="1"/>
  <c r="O838" i="1"/>
  <c r="O842" i="1"/>
  <c r="O846" i="1"/>
  <c r="O981" i="1"/>
  <c r="O989" i="1"/>
  <c r="O993" i="1"/>
  <c r="O997" i="1"/>
  <c r="O1001" i="1"/>
  <c r="O1005" i="1"/>
  <c r="O1009" i="1"/>
  <c r="O1135" i="1"/>
  <c r="O1139" i="1"/>
  <c r="O1143" i="1"/>
  <c r="O1147" i="1"/>
  <c r="O1151" i="1"/>
  <c r="O1155" i="1"/>
  <c r="O1199" i="1"/>
  <c r="O1203" i="1"/>
  <c r="O1207" i="1"/>
  <c r="O1211" i="1"/>
  <c r="O1215" i="1"/>
  <c r="O1219" i="1"/>
  <c r="O642" i="1"/>
  <c r="O646" i="1"/>
  <c r="O650" i="1"/>
  <c r="O654" i="1"/>
  <c r="O661" i="1"/>
  <c r="O665" i="1"/>
  <c r="O669" i="1"/>
  <c r="O673" i="1"/>
  <c r="O677" i="1"/>
  <c r="O681" i="1"/>
  <c r="O685" i="1"/>
  <c r="O689" i="1"/>
  <c r="O724" i="1"/>
  <c r="O728" i="1"/>
  <c r="O732" i="1"/>
  <c r="O736" i="1"/>
  <c r="O740" i="1"/>
  <c r="O744" i="1"/>
  <c r="O748" i="1"/>
  <c r="O752" i="1"/>
  <c r="O756" i="1"/>
  <c r="O760" i="1"/>
  <c r="O764" i="1"/>
  <c r="O768" i="1"/>
  <c r="O772" i="1"/>
  <c r="O776" i="1"/>
  <c r="O780" i="1"/>
  <c r="O784" i="1"/>
  <c r="O915" i="1"/>
  <c r="O919" i="1"/>
  <c r="O923" i="1"/>
  <c r="O927" i="1"/>
  <c r="O931" i="1"/>
  <c r="O935" i="1"/>
  <c r="O939" i="1"/>
  <c r="O943" i="1"/>
  <c r="O950" i="1"/>
  <c r="O954" i="1"/>
  <c r="O958" i="1"/>
  <c r="O962" i="1"/>
  <c r="O966" i="1"/>
  <c r="O970" i="1"/>
  <c r="O974" i="1"/>
  <c r="O1101" i="1"/>
  <c r="O1105" i="1"/>
  <c r="O1109" i="1"/>
  <c r="O1113" i="1"/>
  <c r="O1117" i="1"/>
  <c r="O1121" i="1"/>
  <c r="O1128" i="1"/>
  <c r="O1701" i="1"/>
  <c r="O1705" i="1"/>
  <c r="O1709" i="1"/>
  <c r="O1713" i="1"/>
  <c r="O1720" i="1"/>
  <c r="O1724" i="1"/>
  <c r="O1728" i="1"/>
  <c r="O1732" i="1"/>
  <c r="O1736" i="1"/>
  <c r="O1740" i="1"/>
  <c r="O1744" i="1"/>
  <c r="O1748" i="1"/>
  <c r="O1752" i="1"/>
  <c r="O1756" i="1"/>
  <c r="O1760" i="1"/>
  <c r="O1764" i="1"/>
  <c r="O1768" i="1"/>
  <c r="O1772" i="1"/>
  <c r="O1776" i="1"/>
  <c r="O1780" i="1"/>
  <c r="O1784" i="1"/>
  <c r="O1788" i="1"/>
  <c r="O1792" i="1"/>
  <c r="O1796" i="1"/>
  <c r="O1800" i="1"/>
  <c r="O1804" i="1"/>
  <c r="O1808" i="1"/>
  <c r="O1812" i="1"/>
  <c r="O1816" i="1"/>
  <c r="O1820" i="1"/>
  <c r="O1824" i="1"/>
  <c r="O4932" i="1"/>
  <c r="O4930" i="1"/>
  <c r="O4928" i="1"/>
  <c r="O4926" i="1"/>
  <c r="O4924" i="1"/>
  <c r="O4922" i="1"/>
  <c r="O4920" i="1"/>
  <c r="O4918" i="1"/>
  <c r="O4916" i="1"/>
  <c r="O4914" i="1"/>
  <c r="O4912" i="1"/>
  <c r="O4910" i="1"/>
  <c r="O4908" i="1"/>
  <c r="O4906" i="1"/>
  <c r="O4904" i="1"/>
  <c r="O4902" i="1"/>
  <c r="O4900" i="1"/>
  <c r="O4898" i="1"/>
  <c r="O4896" i="1"/>
  <c r="O4894" i="1"/>
  <c r="O4892" i="1"/>
  <c r="O4890" i="1"/>
  <c r="O4888" i="1"/>
  <c r="O4886" i="1"/>
  <c r="O4884" i="1"/>
  <c r="O4882" i="1"/>
  <c r="O4880" i="1"/>
  <c r="O4878" i="1"/>
  <c r="O4876" i="1"/>
  <c r="O4874" i="1"/>
  <c r="O4872" i="1"/>
  <c r="O4870" i="1"/>
  <c r="O4868" i="1"/>
  <c r="O4866" i="1"/>
  <c r="O4864" i="1"/>
  <c r="O4862" i="1"/>
  <c r="O4860" i="1"/>
  <c r="O4858" i="1"/>
  <c r="O4856" i="1"/>
  <c r="O4854" i="1"/>
  <c r="O4852" i="1"/>
  <c r="O4850" i="1"/>
  <c r="O4848" i="1"/>
  <c r="O4846" i="1"/>
  <c r="O4844" i="1"/>
  <c r="O4842" i="1"/>
  <c r="O4840" i="1"/>
  <c r="O4838" i="1"/>
  <c r="O4836" i="1"/>
  <c r="O4834" i="1"/>
  <c r="O4832" i="1"/>
  <c r="O4830" i="1"/>
  <c r="O4828" i="1"/>
  <c r="O4826" i="1"/>
  <c r="O4824" i="1"/>
  <c r="O4822" i="1"/>
  <c r="O4820" i="1"/>
  <c r="O4818" i="1"/>
  <c r="O4816" i="1"/>
  <c r="O4814" i="1"/>
  <c r="O4812" i="1"/>
  <c r="O4810" i="1"/>
  <c r="O4808" i="1"/>
  <c r="O4806" i="1"/>
  <c r="O4804" i="1"/>
  <c r="O4802" i="1"/>
  <c r="O4800" i="1"/>
  <c r="O4798" i="1"/>
  <c r="O4796" i="1"/>
  <c r="O4794" i="1"/>
  <c r="O4792" i="1"/>
  <c r="O4790" i="1"/>
  <c r="O4788" i="1"/>
  <c r="O4786" i="1"/>
  <c r="O4784" i="1"/>
  <c r="O4782" i="1"/>
  <c r="O4780" i="1"/>
  <c r="O4778" i="1"/>
  <c r="O4776" i="1"/>
  <c r="O4774" i="1"/>
  <c r="O4772" i="1"/>
  <c r="O4770" i="1"/>
  <c r="O4768" i="1"/>
  <c r="O4766" i="1"/>
  <c r="O4764" i="1"/>
  <c r="O2696" i="1"/>
  <c r="O4933" i="1"/>
  <c r="O4931" i="1"/>
  <c r="O4929" i="1"/>
  <c r="O4927" i="1"/>
  <c r="O4925" i="1"/>
  <c r="O4923" i="1"/>
  <c r="O4921" i="1"/>
  <c r="O4919" i="1"/>
  <c r="O4917" i="1"/>
  <c r="O4915" i="1"/>
  <c r="O4913" i="1"/>
  <c r="O4911" i="1"/>
  <c r="O4909" i="1"/>
  <c r="O4907" i="1"/>
  <c r="O4905" i="1"/>
  <c r="O4903" i="1"/>
  <c r="O4901" i="1"/>
  <c r="O4899" i="1"/>
  <c r="O4897" i="1"/>
  <c r="O4895" i="1"/>
  <c r="O4893" i="1"/>
  <c r="O4891" i="1"/>
  <c r="O4889" i="1"/>
  <c r="O4887" i="1"/>
  <c r="O4885" i="1"/>
  <c r="O4883" i="1"/>
  <c r="O4881" i="1"/>
  <c r="O4879" i="1"/>
  <c r="O4877" i="1"/>
  <c r="O4875" i="1"/>
  <c r="O4873" i="1"/>
  <c r="O4871" i="1"/>
  <c r="O4869" i="1"/>
  <c r="O4867" i="1"/>
  <c r="O4865" i="1"/>
  <c r="O4863" i="1"/>
  <c r="O4861" i="1"/>
  <c r="O4859" i="1"/>
  <c r="O4857" i="1"/>
  <c r="O4855" i="1"/>
  <c r="O4853" i="1"/>
  <c r="O4851" i="1"/>
  <c r="O4849" i="1"/>
  <c r="O4847" i="1"/>
  <c r="O4845" i="1"/>
  <c r="O4843" i="1"/>
  <c r="O4841" i="1"/>
  <c r="O4839" i="1"/>
  <c r="O4837" i="1"/>
  <c r="O4835" i="1"/>
  <c r="O4833" i="1"/>
  <c r="O4831" i="1"/>
  <c r="O4829" i="1"/>
  <c r="O4827" i="1"/>
  <c r="O4825" i="1"/>
  <c r="O4823" i="1"/>
  <c r="O4821" i="1"/>
  <c r="O4819" i="1"/>
  <c r="O4817" i="1"/>
  <c r="O4815" i="1"/>
  <c r="O4813" i="1"/>
  <c r="O4811" i="1"/>
  <c r="O4809" i="1"/>
  <c r="O4807" i="1"/>
  <c r="O4805" i="1"/>
  <c r="O4803" i="1"/>
  <c r="O4801" i="1"/>
  <c r="O4799" i="1"/>
  <c r="O4797" i="1"/>
  <c r="O4795" i="1"/>
  <c r="O4793" i="1"/>
  <c r="O4791" i="1"/>
  <c r="O4789" i="1"/>
  <c r="O4787" i="1"/>
  <c r="O4785" i="1"/>
  <c r="O4783" i="1"/>
  <c r="O4781" i="1"/>
  <c r="O4779" i="1"/>
  <c r="O4777" i="1"/>
  <c r="O4775" i="1"/>
  <c r="O4773" i="1"/>
  <c r="O4771" i="1"/>
  <c r="O4769" i="1"/>
  <c r="O4767" i="1"/>
  <c r="O4765" i="1"/>
  <c r="O4763" i="1"/>
  <c r="O4761" i="1"/>
  <c r="O4759" i="1"/>
  <c r="O4757" i="1"/>
  <c r="O4755" i="1"/>
  <c r="O4753" i="1"/>
  <c r="O4751" i="1"/>
  <c r="O4749" i="1"/>
  <c r="O4747" i="1"/>
  <c r="O4745" i="1"/>
  <c r="O4743" i="1"/>
  <c r="O4741" i="1"/>
  <c r="O4739" i="1"/>
  <c r="O4737" i="1"/>
  <c r="O4735" i="1"/>
  <c r="O4733" i="1"/>
  <c r="O4731" i="1"/>
  <c r="O4729" i="1"/>
  <c r="O4727" i="1"/>
  <c r="O4725" i="1"/>
  <c r="O4723" i="1"/>
  <c r="O4721" i="1"/>
  <c r="O4719" i="1"/>
  <c r="O4717" i="1"/>
  <c r="O4715" i="1"/>
  <c r="O4713" i="1"/>
  <c r="O4711" i="1"/>
  <c r="O4709" i="1"/>
  <c r="O4707" i="1"/>
  <c r="O4705" i="1"/>
  <c r="O4703" i="1"/>
  <c r="O4701" i="1"/>
  <c r="O4699" i="1"/>
  <c r="O4697" i="1"/>
  <c r="O4695" i="1"/>
  <c r="O4693" i="1"/>
  <c r="O4691" i="1"/>
  <c r="O4689" i="1"/>
  <c r="O4687" i="1"/>
  <c r="O4685" i="1"/>
  <c r="O4683" i="1"/>
  <c r="O4681" i="1"/>
  <c r="O4679" i="1"/>
  <c r="O4677" i="1"/>
  <c r="O4675" i="1"/>
  <c r="O4673" i="1"/>
  <c r="O4671" i="1"/>
  <c r="O4669" i="1"/>
  <c r="O4667" i="1"/>
  <c r="O4665" i="1"/>
  <c r="O4663" i="1"/>
  <c r="O4661" i="1"/>
  <c r="O4659" i="1"/>
  <c r="O4657" i="1"/>
  <c r="O4655" i="1"/>
  <c r="O4653" i="1"/>
  <c r="O4651" i="1"/>
  <c r="O4649" i="1"/>
  <c r="O4647" i="1"/>
  <c r="O4645" i="1"/>
  <c r="O4643" i="1"/>
  <c r="O4641" i="1"/>
  <c r="O4639" i="1"/>
  <c r="O4637" i="1"/>
  <c r="O4635" i="1"/>
  <c r="O4633" i="1"/>
  <c r="O4631" i="1"/>
  <c r="O4629" i="1"/>
  <c r="O4627" i="1"/>
  <c r="O4625" i="1"/>
  <c r="O4623" i="1"/>
  <c r="O4621" i="1"/>
  <c r="O4619" i="1"/>
  <c r="O4617" i="1"/>
  <c r="O4615" i="1"/>
  <c r="O4613" i="1"/>
  <c r="O4611" i="1"/>
  <c r="O4609" i="1"/>
  <c r="O4607" i="1"/>
  <c r="O4605" i="1"/>
  <c r="O4603" i="1"/>
  <c r="O4601" i="1"/>
  <c r="O4599" i="1"/>
  <c r="O4597" i="1"/>
  <c r="O4595" i="1"/>
  <c r="O4762" i="1"/>
  <c r="O4760" i="1"/>
  <c r="O4758" i="1"/>
  <c r="O4756" i="1"/>
  <c r="O4754" i="1"/>
  <c r="O4752" i="1"/>
  <c r="O4750" i="1"/>
  <c r="O4748" i="1"/>
  <c r="O4746" i="1"/>
  <c r="O4744" i="1"/>
  <c r="O4742" i="1"/>
  <c r="O4740" i="1"/>
  <c r="O4738" i="1"/>
  <c r="O4736" i="1"/>
  <c r="O4734" i="1"/>
  <c r="O4732" i="1"/>
  <c r="O4730" i="1"/>
  <c r="O4728" i="1"/>
  <c r="O4726" i="1"/>
  <c r="O4724" i="1"/>
  <c r="O4722" i="1"/>
  <c r="O4720" i="1"/>
  <c r="O4718" i="1"/>
  <c r="O4716" i="1"/>
  <c r="O4714" i="1"/>
  <c r="O4712" i="1"/>
  <c r="O4710" i="1"/>
  <c r="O4708" i="1"/>
  <c r="O4706" i="1"/>
  <c r="O4704" i="1"/>
  <c r="O4702" i="1"/>
  <c r="O4700" i="1"/>
  <c r="O4698" i="1"/>
  <c r="O4696" i="1"/>
  <c r="O4694" i="1"/>
  <c r="O4692" i="1"/>
  <c r="O4690" i="1"/>
  <c r="O4688" i="1"/>
  <c r="O4686" i="1"/>
  <c r="O4684" i="1"/>
  <c r="O4682" i="1"/>
  <c r="O4680" i="1"/>
  <c r="O4678" i="1"/>
  <c r="O4676" i="1"/>
  <c r="O4674" i="1"/>
  <c r="O4672" i="1"/>
  <c r="O4670" i="1"/>
  <c r="O4668" i="1"/>
  <c r="O4666" i="1"/>
  <c r="O4664" i="1"/>
  <c r="O4662" i="1"/>
  <c r="O4660" i="1"/>
  <c r="O4658" i="1"/>
  <c r="O4656" i="1"/>
  <c r="O4654" i="1"/>
  <c r="O4652" i="1"/>
  <c r="O4650" i="1"/>
  <c r="O4648" i="1"/>
  <c r="O4646" i="1"/>
  <c r="O4644" i="1"/>
  <c r="O4642" i="1"/>
  <c r="O4640" i="1"/>
  <c r="O4638" i="1"/>
  <c r="O4636" i="1"/>
  <c r="O4634" i="1"/>
  <c r="O4632" i="1"/>
  <c r="O4630" i="1"/>
  <c r="O4628" i="1"/>
  <c r="O4626" i="1"/>
  <c r="O4624" i="1"/>
  <c r="O4622" i="1"/>
  <c r="O4620" i="1"/>
  <c r="O4618" i="1"/>
  <c r="O4616" i="1"/>
  <c r="O4614" i="1"/>
  <c r="O4612" i="1"/>
  <c r="O4610" i="1"/>
  <c r="O4608" i="1"/>
  <c r="O4606" i="1"/>
  <c r="O4604" i="1"/>
  <c r="O4602" i="1"/>
  <c r="O4600" i="1"/>
  <c r="O4598" i="1"/>
  <c r="O4593" i="1"/>
  <c r="O4591" i="1"/>
  <c r="O4589" i="1"/>
  <c r="O4587" i="1"/>
  <c r="O4585" i="1"/>
  <c r="O4583" i="1"/>
  <c r="O4581" i="1"/>
  <c r="O4579" i="1"/>
  <c r="O4577" i="1"/>
  <c r="O4575" i="1"/>
  <c r="O4573" i="1"/>
  <c r="O4571" i="1"/>
  <c r="O4569" i="1"/>
  <c r="O4567" i="1"/>
  <c r="O4565" i="1"/>
  <c r="O4563" i="1"/>
  <c r="O4561" i="1"/>
  <c r="O4559" i="1"/>
  <c r="O4557" i="1"/>
  <c r="O4555" i="1"/>
  <c r="O4553" i="1"/>
  <c r="O4551" i="1"/>
  <c r="O4549" i="1"/>
  <c r="O4547" i="1"/>
  <c r="O4545" i="1"/>
  <c r="O4543" i="1"/>
  <c r="O4541" i="1"/>
  <c r="O4539" i="1"/>
  <c r="O4537" i="1"/>
  <c r="O4535" i="1"/>
  <c r="O4533" i="1"/>
  <c r="O4531" i="1"/>
  <c r="O4529" i="1"/>
  <c r="O4527" i="1"/>
  <c r="O4525" i="1"/>
  <c r="O4523" i="1"/>
  <c r="O4521" i="1"/>
  <c r="O4519" i="1"/>
  <c r="O4517" i="1"/>
  <c r="O4515" i="1"/>
  <c r="O4513" i="1"/>
  <c r="O4511" i="1"/>
  <c r="O4509" i="1"/>
  <c r="O4507" i="1"/>
  <c r="O4505" i="1"/>
  <c r="O4503" i="1"/>
  <c r="O4501" i="1"/>
  <c r="O4499" i="1"/>
  <c r="O4497" i="1"/>
  <c r="O4495" i="1"/>
  <c r="O4493" i="1"/>
  <c r="O4491" i="1"/>
  <c r="O4489" i="1"/>
  <c r="O4487" i="1"/>
  <c r="O4485" i="1"/>
  <c r="O4483" i="1"/>
  <c r="O4481" i="1"/>
  <c r="O4479" i="1"/>
  <c r="O4477" i="1"/>
  <c r="O4475" i="1"/>
  <c r="O4473" i="1"/>
  <c r="O4471" i="1"/>
  <c r="O4469" i="1"/>
  <c r="O4467" i="1"/>
  <c r="O4465" i="1"/>
  <c r="O4463" i="1"/>
  <c r="O4461" i="1"/>
  <c r="O4459" i="1"/>
  <c r="O4457" i="1"/>
  <c r="O4455" i="1"/>
  <c r="O4453" i="1"/>
  <c r="O4451" i="1"/>
  <c r="O4449" i="1"/>
  <c r="O4447" i="1"/>
  <c r="O4445" i="1"/>
  <c r="O4443" i="1"/>
  <c r="O4441" i="1"/>
  <c r="O4439" i="1"/>
  <c r="O4437" i="1"/>
  <c r="O4435" i="1"/>
  <c r="O4433" i="1"/>
  <c r="O4431" i="1"/>
  <c r="O4429" i="1"/>
  <c r="O4427" i="1"/>
  <c r="O4425" i="1"/>
  <c r="O4423" i="1"/>
  <c r="O4421" i="1"/>
  <c r="O4419" i="1"/>
  <c r="O4417" i="1"/>
  <c r="O4415" i="1"/>
  <c r="O4413" i="1"/>
  <c r="O4411" i="1"/>
  <c r="O4409" i="1"/>
  <c r="O4407" i="1"/>
  <c r="O4405" i="1"/>
  <c r="O4403" i="1"/>
  <c r="O4401" i="1"/>
  <c r="O4399" i="1"/>
  <c r="O4397" i="1"/>
  <c r="O4395" i="1"/>
  <c r="O4393" i="1"/>
  <c r="O4391" i="1"/>
  <c r="O4389" i="1"/>
  <c r="O4387" i="1"/>
  <c r="O4385" i="1"/>
  <c r="O4383" i="1"/>
  <c r="O4381" i="1"/>
  <c r="O4379" i="1"/>
  <c r="O4377" i="1"/>
  <c r="O4375" i="1"/>
  <c r="O4373" i="1"/>
  <c r="O4371" i="1"/>
  <c r="O4369" i="1"/>
  <c r="O4367" i="1"/>
  <c r="O4365" i="1"/>
  <c r="O4363" i="1"/>
  <c r="O4361" i="1"/>
  <c r="O4359" i="1"/>
  <c r="O4357" i="1"/>
  <c r="O4355" i="1"/>
  <c r="O4353" i="1"/>
  <c r="O4351" i="1"/>
  <c r="O4349" i="1"/>
  <c r="O4347" i="1"/>
  <c r="O4345" i="1"/>
  <c r="O4343" i="1"/>
  <c r="O4341" i="1"/>
  <c r="O4339" i="1"/>
  <c r="O4337" i="1"/>
  <c r="O4335" i="1"/>
  <c r="O4333" i="1"/>
  <c r="O4331" i="1"/>
  <c r="O4329" i="1"/>
  <c r="O4327" i="1"/>
  <c r="O4325" i="1"/>
  <c r="O4323" i="1"/>
  <c r="O4321" i="1"/>
  <c r="O4319" i="1"/>
  <c r="O4317" i="1"/>
  <c r="O4315" i="1"/>
  <c r="O4313" i="1"/>
  <c r="O4311" i="1"/>
  <c r="O4309" i="1"/>
  <c r="O4307" i="1"/>
  <c r="O4305" i="1"/>
  <c r="O4303" i="1"/>
  <c r="O4301" i="1"/>
  <c r="O4299" i="1"/>
  <c r="O4297" i="1"/>
  <c r="O4295" i="1"/>
  <c r="O4293" i="1"/>
  <c r="O4291" i="1"/>
  <c r="O4289" i="1"/>
  <c r="O4287" i="1"/>
  <c r="O4285" i="1"/>
  <c r="O4283" i="1"/>
  <c r="O4281" i="1"/>
  <c r="O4279" i="1"/>
  <c r="O4277" i="1"/>
  <c r="O4275" i="1"/>
  <c r="O4273" i="1"/>
  <c r="O4271" i="1"/>
  <c r="O4269" i="1"/>
  <c r="O4267" i="1"/>
  <c r="O4265" i="1"/>
  <c r="O4263" i="1"/>
  <c r="O4261" i="1"/>
  <c r="O4259" i="1"/>
  <c r="O4257" i="1"/>
  <c r="O4255" i="1"/>
  <c r="O2952" i="1"/>
  <c r="O4594" i="1"/>
  <c r="O4592" i="1"/>
  <c r="O4590" i="1"/>
  <c r="O4588" i="1"/>
  <c r="O4586" i="1"/>
  <c r="O4584" i="1"/>
  <c r="O4582" i="1"/>
  <c r="O4580" i="1"/>
  <c r="O4578" i="1"/>
  <c r="O4576" i="1"/>
  <c r="O4574" i="1"/>
  <c r="O4572" i="1"/>
  <c r="O4570" i="1"/>
  <c r="O4568" i="1"/>
  <c r="O4566" i="1"/>
  <c r="O4564" i="1"/>
  <c r="O4562" i="1"/>
  <c r="O4560" i="1"/>
  <c r="O4558" i="1"/>
  <c r="O4556" i="1"/>
  <c r="O4554" i="1"/>
  <c r="O4552" i="1"/>
  <c r="O4550" i="1"/>
  <c r="O4548" i="1"/>
  <c r="O4546" i="1"/>
  <c r="O4544" i="1"/>
  <c r="O4542" i="1"/>
  <c r="O4540" i="1"/>
  <c r="O4538" i="1"/>
  <c r="O4536" i="1"/>
  <c r="O4534" i="1"/>
  <c r="O4532" i="1"/>
  <c r="O4530" i="1"/>
  <c r="O4528" i="1"/>
  <c r="O4526" i="1"/>
  <c r="O4524" i="1"/>
  <c r="O4522" i="1"/>
  <c r="O4520" i="1"/>
  <c r="O4518" i="1"/>
  <c r="O4516" i="1"/>
  <c r="O4514" i="1"/>
  <c r="O4512" i="1"/>
  <c r="O4510" i="1"/>
  <c r="O4508" i="1"/>
  <c r="O4506" i="1"/>
  <c r="O4504" i="1"/>
  <c r="O4502" i="1"/>
  <c r="O4500" i="1"/>
  <c r="O4498" i="1"/>
  <c r="O4496" i="1"/>
  <c r="O4494" i="1"/>
  <c r="O4492" i="1"/>
  <c r="O4490" i="1"/>
  <c r="O4488" i="1"/>
  <c r="O4486" i="1"/>
  <c r="O4484" i="1"/>
  <c r="O4482" i="1"/>
  <c r="O4480" i="1"/>
  <c r="O4478" i="1"/>
  <c r="O4476" i="1"/>
  <c r="O4474" i="1"/>
  <c r="O4472" i="1"/>
  <c r="O4470" i="1"/>
  <c r="O4468" i="1"/>
  <c r="O4466" i="1"/>
  <c r="O4464" i="1"/>
  <c r="O4462" i="1"/>
  <c r="O4460" i="1"/>
  <c r="O4458" i="1"/>
  <c r="O4456" i="1"/>
  <c r="O4454" i="1"/>
  <c r="O4452" i="1"/>
  <c r="O4450" i="1"/>
  <c r="O4448" i="1"/>
  <c r="O4446" i="1"/>
  <c r="O4444" i="1"/>
  <c r="O4442" i="1"/>
  <c r="O4440" i="1"/>
  <c r="O4438" i="1"/>
  <c r="O4436" i="1"/>
  <c r="O4434" i="1"/>
  <c r="O4432" i="1"/>
  <c r="O4430" i="1"/>
  <c r="O4428" i="1"/>
  <c r="O4426" i="1"/>
  <c r="O4424" i="1"/>
  <c r="O4422" i="1"/>
  <c r="O4420" i="1"/>
  <c r="O4418" i="1"/>
  <c r="O4416" i="1"/>
  <c r="O4414" i="1"/>
  <c r="O4412" i="1"/>
  <c r="O4410" i="1"/>
  <c r="O4408" i="1"/>
  <c r="O4406" i="1"/>
  <c r="O4404" i="1"/>
  <c r="O4402" i="1"/>
  <c r="O4400" i="1"/>
  <c r="O4398" i="1"/>
  <c r="O4396" i="1"/>
  <c r="O4394" i="1"/>
  <c r="O4392" i="1"/>
  <c r="O4390" i="1"/>
  <c r="O4388" i="1"/>
  <c r="O4386" i="1"/>
  <c r="O4384" i="1"/>
  <c r="O4382" i="1"/>
  <c r="O4380" i="1"/>
  <c r="O4378" i="1"/>
  <c r="O4376" i="1"/>
  <c r="O4374" i="1"/>
  <c r="O4372" i="1"/>
  <c r="O4370" i="1"/>
  <c r="O4368" i="1"/>
  <c r="O4366" i="1"/>
  <c r="O4364" i="1"/>
  <c r="O4362" i="1"/>
  <c r="O4360" i="1"/>
  <c r="O4358" i="1"/>
  <c r="O4356" i="1"/>
  <c r="O4354" i="1"/>
  <c r="O4352" i="1"/>
  <c r="O4350" i="1"/>
  <c r="O4348" i="1"/>
  <c r="O4346" i="1"/>
  <c r="O4344" i="1"/>
  <c r="O4342" i="1"/>
  <c r="O4340" i="1"/>
  <c r="O4338" i="1"/>
  <c r="O4336" i="1"/>
  <c r="O4334" i="1"/>
  <c r="O4332" i="1"/>
  <c r="O4330" i="1"/>
  <c r="O4328" i="1"/>
  <c r="O4326" i="1"/>
  <c r="O4324" i="1"/>
  <c r="O4322" i="1"/>
  <c r="O4320" i="1"/>
  <c r="O4318" i="1"/>
  <c r="O4316" i="1"/>
  <c r="O4314" i="1"/>
  <c r="O4312" i="1"/>
  <c r="O4310" i="1"/>
  <c r="O4308" i="1"/>
  <c r="O4306" i="1"/>
  <c r="O4304" i="1"/>
  <c r="O4302" i="1"/>
  <c r="O4300" i="1"/>
  <c r="O4298" i="1"/>
  <c r="O4296" i="1"/>
  <c r="O4294" i="1"/>
  <c r="O4292" i="1"/>
  <c r="O4290" i="1"/>
  <c r="O4288" i="1"/>
  <c r="O4286" i="1"/>
  <c r="O4284" i="1"/>
  <c r="O4282" i="1"/>
  <c r="O4280" i="1"/>
  <c r="O4278" i="1"/>
  <c r="O4276" i="1"/>
  <c r="O4274" i="1"/>
  <c r="O4272" i="1"/>
  <c r="O4270" i="1"/>
  <c r="O4268" i="1"/>
  <c r="O4266" i="1"/>
  <c r="O4264" i="1"/>
  <c r="O4262" i="1"/>
  <c r="O4260" i="1"/>
  <c r="O4258" i="1"/>
  <c r="O4256" i="1"/>
  <c r="O4253" i="1"/>
  <c r="O4251" i="1"/>
  <c r="O4249" i="1"/>
  <c r="O4247" i="1"/>
  <c r="O4245" i="1"/>
  <c r="O4243" i="1"/>
  <c r="O4241" i="1"/>
  <c r="O4239" i="1"/>
  <c r="O4237" i="1"/>
  <c r="O4235" i="1"/>
  <c r="O4233" i="1"/>
  <c r="O4231" i="1"/>
  <c r="O4229" i="1"/>
  <c r="O4227" i="1"/>
  <c r="O4225" i="1"/>
  <c r="O4223" i="1"/>
  <c r="O4221" i="1"/>
  <c r="O4219" i="1"/>
  <c r="O4217" i="1"/>
  <c r="O4215" i="1"/>
  <c r="O4213" i="1"/>
  <c r="O4211" i="1"/>
  <c r="O4209" i="1"/>
  <c r="O4207" i="1"/>
  <c r="O4205" i="1"/>
  <c r="O4203" i="1"/>
  <c r="O4201" i="1"/>
  <c r="O4199" i="1"/>
  <c r="O4197" i="1"/>
  <c r="O4195" i="1"/>
  <c r="O4193" i="1"/>
  <c r="O4191" i="1"/>
  <c r="O4189" i="1"/>
  <c r="O4187" i="1"/>
  <c r="O4185" i="1"/>
  <c r="O4183" i="1"/>
  <c r="O4181" i="1"/>
  <c r="O4179" i="1"/>
  <c r="O4177" i="1"/>
  <c r="O4175" i="1"/>
  <c r="O4173" i="1"/>
  <c r="O4171" i="1"/>
  <c r="O4169" i="1"/>
  <c r="O4167" i="1"/>
  <c r="O4165" i="1"/>
  <c r="O4163" i="1"/>
  <c r="O4161" i="1"/>
  <c r="O4159" i="1"/>
  <c r="O4157" i="1"/>
  <c r="O4155" i="1"/>
  <c r="O4153" i="1"/>
  <c r="O4151" i="1"/>
  <c r="O4149" i="1"/>
  <c r="O4147" i="1"/>
  <c r="O4145" i="1"/>
  <c r="O4143" i="1"/>
  <c r="O4141" i="1"/>
  <c r="O4139" i="1"/>
  <c r="O4137" i="1"/>
  <c r="O4135" i="1"/>
  <c r="O4133" i="1"/>
  <c r="O4131" i="1"/>
  <c r="O4129" i="1"/>
  <c r="O4127" i="1"/>
  <c r="O4125" i="1"/>
  <c r="O4123" i="1"/>
  <c r="O4121" i="1"/>
  <c r="O4119" i="1"/>
  <c r="O4117" i="1"/>
  <c r="O4115" i="1"/>
  <c r="O4113" i="1"/>
  <c r="O4111" i="1"/>
  <c r="O4109" i="1"/>
  <c r="O4107" i="1"/>
  <c r="O4105" i="1"/>
  <c r="O4103" i="1"/>
  <c r="O4101" i="1"/>
  <c r="O4099" i="1"/>
  <c r="O4097" i="1"/>
  <c r="O4095" i="1"/>
  <c r="O4093" i="1"/>
  <c r="O4091" i="1"/>
  <c r="O4089" i="1"/>
  <c r="O4087" i="1"/>
  <c r="O4085" i="1"/>
  <c r="O4083" i="1"/>
  <c r="O4081" i="1"/>
  <c r="O4079" i="1"/>
  <c r="O4077" i="1"/>
  <c r="O4075" i="1"/>
  <c r="O4073" i="1"/>
  <c r="O4071" i="1"/>
  <c r="O4069" i="1"/>
  <c r="O4067" i="1"/>
  <c r="O4065" i="1"/>
  <c r="O4063" i="1"/>
  <c r="O4061" i="1"/>
  <c r="O4059" i="1"/>
  <c r="O4057" i="1"/>
  <c r="O4055" i="1"/>
  <c r="O4053" i="1"/>
  <c r="O4051" i="1"/>
  <c r="O4049" i="1"/>
  <c r="O4047" i="1"/>
  <c r="O4045" i="1"/>
  <c r="O4043" i="1"/>
  <c r="O4041" i="1"/>
  <c r="O4039" i="1"/>
  <c r="O4037" i="1"/>
  <c r="O4035" i="1"/>
  <c r="O4033" i="1"/>
  <c r="O4031" i="1"/>
  <c r="O4029" i="1"/>
  <c r="O4027" i="1"/>
  <c r="O4025" i="1"/>
  <c r="O4023" i="1"/>
  <c r="O4021" i="1"/>
  <c r="O4019" i="1"/>
  <c r="O4017" i="1"/>
  <c r="O4015" i="1"/>
  <c r="O4013" i="1"/>
  <c r="O4011" i="1"/>
  <c r="O4009" i="1"/>
  <c r="O4007" i="1"/>
  <c r="O4005" i="1"/>
  <c r="O4003" i="1"/>
  <c r="O4001" i="1"/>
  <c r="O3999" i="1"/>
  <c r="O3997" i="1"/>
  <c r="O3995" i="1"/>
  <c r="O3993" i="1"/>
  <c r="O3991" i="1"/>
  <c r="O3989" i="1"/>
  <c r="O3987" i="1"/>
  <c r="O3985" i="1"/>
  <c r="O3983" i="1"/>
  <c r="O3981" i="1"/>
  <c r="O3979" i="1"/>
  <c r="O3977" i="1"/>
  <c r="O3975" i="1"/>
  <c r="O3973" i="1"/>
  <c r="O3971" i="1"/>
  <c r="O3969" i="1"/>
  <c r="O3967" i="1"/>
  <c r="O3965" i="1"/>
  <c r="O3963" i="1"/>
  <c r="O3961" i="1"/>
  <c r="O3959" i="1"/>
  <c r="O3957" i="1"/>
  <c r="O3955" i="1"/>
  <c r="O3953" i="1"/>
  <c r="O3951" i="1"/>
  <c r="O3949" i="1"/>
  <c r="O3947" i="1"/>
  <c r="O3945" i="1"/>
  <c r="O3943" i="1"/>
  <c r="O3941" i="1"/>
  <c r="O3939" i="1"/>
  <c r="O3937" i="1"/>
  <c r="O3935" i="1"/>
  <c r="O3933" i="1"/>
  <c r="O3931" i="1"/>
  <c r="O3929" i="1"/>
  <c r="O3927" i="1"/>
  <c r="O3925" i="1"/>
  <c r="O3923" i="1"/>
  <c r="O3921" i="1"/>
  <c r="O3919" i="1"/>
  <c r="O3917" i="1"/>
  <c r="O3915" i="1"/>
  <c r="O3913" i="1"/>
  <c r="O2744" i="1"/>
  <c r="O2389" i="1"/>
  <c r="O4254" i="1"/>
  <c r="O4252" i="1"/>
  <c r="O4250" i="1"/>
  <c r="O4248" i="1"/>
  <c r="O4246" i="1"/>
  <c r="O4244" i="1"/>
  <c r="O4242" i="1"/>
  <c r="O4240" i="1"/>
  <c r="O4238" i="1"/>
  <c r="O4236" i="1"/>
  <c r="O4234" i="1"/>
  <c r="O4232" i="1"/>
  <c r="O4230" i="1"/>
  <c r="O4228" i="1"/>
  <c r="O4226" i="1"/>
  <c r="O4224" i="1"/>
  <c r="O4222" i="1"/>
  <c r="O4220" i="1"/>
  <c r="O4218" i="1"/>
  <c r="O4216" i="1"/>
  <c r="O4214" i="1"/>
  <c r="O4212" i="1"/>
  <c r="O4210" i="1"/>
  <c r="O4208" i="1"/>
  <c r="O4206" i="1"/>
  <c r="O4204" i="1"/>
  <c r="O4202" i="1"/>
  <c r="O4200" i="1"/>
  <c r="O4198" i="1"/>
  <c r="O4196" i="1"/>
  <c r="O4194" i="1"/>
  <c r="O4192" i="1"/>
  <c r="O4190" i="1"/>
  <c r="O4188" i="1"/>
  <c r="O4186" i="1"/>
  <c r="O4184" i="1"/>
  <c r="O4182" i="1"/>
  <c r="O4180" i="1"/>
  <c r="O4178" i="1"/>
  <c r="O4176" i="1"/>
  <c r="O4174" i="1"/>
  <c r="O4172" i="1"/>
  <c r="O4170" i="1"/>
  <c r="O4168" i="1"/>
  <c r="O4166" i="1"/>
  <c r="O4164" i="1"/>
  <c r="O4162" i="1"/>
  <c r="O4160" i="1"/>
  <c r="O4158" i="1"/>
  <c r="O4156" i="1"/>
  <c r="O4154" i="1"/>
  <c r="O4152" i="1"/>
  <c r="O4150" i="1"/>
  <c r="O4148" i="1"/>
  <c r="O4146" i="1"/>
  <c r="O4144" i="1"/>
  <c r="O4142" i="1"/>
  <c r="O4140" i="1"/>
  <c r="O4138" i="1"/>
  <c r="O4136" i="1"/>
  <c r="O4134" i="1"/>
  <c r="O4132" i="1"/>
  <c r="O4130" i="1"/>
  <c r="O4128" i="1"/>
  <c r="O4126" i="1"/>
  <c r="O4124" i="1"/>
  <c r="O4122" i="1"/>
  <c r="O4120" i="1"/>
  <c r="O4118" i="1"/>
  <c r="O4116" i="1"/>
  <c r="O4114" i="1"/>
  <c r="O4112" i="1"/>
  <c r="O4110" i="1"/>
  <c r="O4108" i="1"/>
  <c r="O4106" i="1"/>
  <c r="O4104" i="1"/>
  <c r="O4102" i="1"/>
  <c r="O4100" i="1"/>
  <c r="O4098" i="1"/>
  <c r="O4096" i="1"/>
  <c r="O4094" i="1"/>
  <c r="O4092" i="1"/>
  <c r="O4090" i="1"/>
  <c r="O4088" i="1"/>
  <c r="O4086" i="1"/>
  <c r="O4084" i="1"/>
  <c r="O4082" i="1"/>
  <c r="O4080" i="1"/>
  <c r="O4078" i="1"/>
  <c r="O4076" i="1"/>
  <c r="O4074" i="1"/>
  <c r="O4072" i="1"/>
  <c r="O4070" i="1"/>
  <c r="O4068" i="1"/>
  <c r="O4066" i="1"/>
  <c r="O4064" i="1"/>
  <c r="O4062" i="1"/>
  <c r="O4060" i="1"/>
  <c r="O4058" i="1"/>
  <c r="O4056" i="1"/>
  <c r="O4054" i="1"/>
  <c r="O4052" i="1"/>
  <c r="O4050" i="1"/>
  <c r="O4048" i="1"/>
  <c r="O4046" i="1"/>
  <c r="O4044" i="1"/>
  <c r="O4042" i="1"/>
  <c r="O4040" i="1"/>
  <c r="O4038" i="1"/>
  <c r="O4036" i="1"/>
  <c r="O4034" i="1"/>
  <c r="O4032" i="1"/>
  <c r="O4030" i="1"/>
  <c r="O4028" i="1"/>
  <c r="O4026" i="1"/>
  <c r="O4024" i="1"/>
  <c r="O4022" i="1"/>
  <c r="O4020" i="1"/>
  <c r="O4018" i="1"/>
  <c r="O4016" i="1"/>
  <c r="O4014" i="1"/>
  <c r="O4012" i="1"/>
  <c r="O4010" i="1"/>
  <c r="O4008" i="1"/>
  <c r="O4006" i="1"/>
  <c r="O4004" i="1"/>
  <c r="O4002" i="1"/>
  <c r="O4000" i="1"/>
  <c r="O3998" i="1"/>
  <c r="O3996" i="1"/>
  <c r="O3994" i="1"/>
  <c r="O3992" i="1"/>
  <c r="O3990" i="1"/>
  <c r="O3988" i="1"/>
  <c r="O3986" i="1"/>
  <c r="O3984" i="1"/>
  <c r="O3982" i="1"/>
  <c r="O3980" i="1"/>
  <c r="O3978" i="1"/>
  <c r="O3976" i="1"/>
  <c r="O3974" i="1"/>
  <c r="O3972" i="1"/>
  <c r="O3970" i="1"/>
  <c r="O3968" i="1"/>
  <c r="O3966" i="1"/>
  <c r="O3964" i="1"/>
  <c r="O3962" i="1"/>
  <c r="O3960" i="1"/>
  <c r="O3958" i="1"/>
  <c r="O3956" i="1"/>
  <c r="O3954" i="1"/>
  <c r="O3952" i="1"/>
  <c r="O3950" i="1"/>
  <c r="O3948" i="1"/>
  <c r="O3946" i="1"/>
  <c r="O3944" i="1"/>
  <c r="O3942" i="1"/>
  <c r="O3940" i="1"/>
  <c r="O3938" i="1"/>
  <c r="O3936" i="1"/>
  <c r="O3934" i="1"/>
  <c r="O3932" i="1"/>
  <c r="O3930" i="1"/>
  <c r="O3928" i="1"/>
  <c r="O3926" i="1"/>
  <c r="O3924" i="1"/>
  <c r="O3922" i="1"/>
  <c r="O3920" i="1"/>
  <c r="O3918" i="1"/>
  <c r="O3916" i="1"/>
  <c r="O3912" i="1"/>
  <c r="O3910" i="1"/>
  <c r="O3908" i="1"/>
  <c r="O3906" i="1"/>
  <c r="O3904" i="1"/>
  <c r="O3902" i="1"/>
  <c r="O3900" i="1"/>
  <c r="O3898" i="1"/>
  <c r="O3896" i="1"/>
  <c r="O3894" i="1"/>
  <c r="O3892" i="1"/>
  <c r="O3890" i="1"/>
  <c r="O3888" i="1"/>
  <c r="O3886" i="1"/>
  <c r="O3884" i="1"/>
  <c r="O3882" i="1"/>
  <c r="O3880" i="1"/>
  <c r="O3878" i="1"/>
  <c r="O3876" i="1"/>
  <c r="O3874" i="1"/>
  <c r="O3872" i="1"/>
  <c r="O3870" i="1"/>
  <c r="O3868" i="1"/>
  <c r="O3866" i="1"/>
  <c r="O3864" i="1"/>
  <c r="O3862" i="1"/>
  <c r="O3860" i="1"/>
  <c r="O3858" i="1"/>
  <c r="O3856" i="1"/>
  <c r="O3854" i="1"/>
  <c r="O3852" i="1"/>
  <c r="O3850" i="1"/>
  <c r="O3848" i="1"/>
  <c r="O3846" i="1"/>
  <c r="O3844" i="1"/>
  <c r="O3842" i="1"/>
  <c r="O3840" i="1"/>
  <c r="O3838" i="1"/>
  <c r="O3836" i="1"/>
  <c r="O3834" i="1"/>
  <c r="O3832" i="1"/>
  <c r="O3830" i="1"/>
  <c r="O3828" i="1"/>
  <c r="O3826" i="1"/>
  <c r="O3824" i="1"/>
  <c r="O3822" i="1"/>
  <c r="O3820" i="1"/>
  <c r="O3818" i="1"/>
  <c r="O3816" i="1"/>
  <c r="O3814" i="1"/>
  <c r="O3812" i="1"/>
  <c r="O3810" i="1"/>
  <c r="O3808" i="1"/>
  <c r="O3806" i="1"/>
  <c r="O3804" i="1"/>
  <c r="O3802" i="1"/>
  <c r="O3800" i="1"/>
  <c r="O3798" i="1"/>
  <c r="O3796" i="1"/>
  <c r="O3794" i="1"/>
  <c r="O3792" i="1"/>
  <c r="O3790" i="1"/>
  <c r="O3788" i="1"/>
  <c r="O3786" i="1"/>
  <c r="O3784" i="1"/>
  <c r="O3782" i="1"/>
  <c r="O3780" i="1"/>
  <c r="O3778" i="1"/>
  <c r="O3776" i="1"/>
  <c r="O3774" i="1"/>
  <c r="O3772" i="1"/>
  <c r="O3770" i="1"/>
  <c r="O3768" i="1"/>
  <c r="O3766" i="1"/>
  <c r="O3764" i="1"/>
  <c r="O3762" i="1"/>
  <c r="O3760" i="1"/>
  <c r="O3758" i="1"/>
  <c r="O3756" i="1"/>
  <c r="O3754" i="1"/>
  <c r="O3752" i="1"/>
  <c r="O3750" i="1"/>
  <c r="O3748" i="1"/>
  <c r="O3746" i="1"/>
  <c r="O3744" i="1"/>
  <c r="O3742" i="1"/>
  <c r="O3740" i="1"/>
  <c r="O3738" i="1"/>
  <c r="O3736" i="1"/>
  <c r="O3734" i="1"/>
  <c r="O3732" i="1"/>
  <c r="O3730" i="1"/>
  <c r="O3728" i="1"/>
  <c r="O3726" i="1"/>
  <c r="O3724" i="1"/>
  <c r="O3722" i="1"/>
  <c r="O3720" i="1"/>
  <c r="O3718" i="1"/>
  <c r="O3716" i="1"/>
  <c r="O3714" i="1"/>
  <c r="O3712" i="1"/>
  <c r="O3710" i="1"/>
  <c r="O3708" i="1"/>
  <c r="O3706" i="1"/>
  <c r="O3704" i="1"/>
  <c r="O3702" i="1"/>
  <c r="O3700" i="1"/>
  <c r="O3698" i="1"/>
  <c r="O3696" i="1"/>
  <c r="O3694" i="1"/>
  <c r="O3692" i="1"/>
  <c r="O3690" i="1"/>
  <c r="O3688" i="1"/>
  <c r="O3686" i="1"/>
  <c r="O3684" i="1"/>
  <c r="O3682" i="1"/>
  <c r="O3680" i="1"/>
  <c r="O3678" i="1"/>
  <c r="O3676" i="1"/>
  <c r="O3674" i="1"/>
  <c r="O3672" i="1"/>
  <c r="O3670" i="1"/>
  <c r="O3668" i="1"/>
  <c r="O3666" i="1"/>
  <c r="O3664" i="1"/>
  <c r="O3662" i="1"/>
  <c r="O3660" i="1"/>
  <c r="O3658" i="1"/>
  <c r="O3656" i="1"/>
  <c r="O3654" i="1"/>
  <c r="O3652" i="1"/>
  <c r="O3650" i="1"/>
  <c r="O3648" i="1"/>
  <c r="O3646" i="1"/>
  <c r="O3644" i="1"/>
  <c r="O3642" i="1"/>
  <c r="O3640" i="1"/>
  <c r="O3638" i="1"/>
  <c r="O3636" i="1"/>
  <c r="O3634" i="1"/>
  <c r="O3632" i="1"/>
  <c r="O3630" i="1"/>
  <c r="O3628" i="1"/>
  <c r="O3626" i="1"/>
  <c r="O3624" i="1"/>
  <c r="O3622" i="1"/>
  <c r="O3620" i="1"/>
  <c r="O3618" i="1"/>
  <c r="O3616" i="1"/>
  <c r="O3614" i="1"/>
  <c r="O3612" i="1"/>
  <c r="O3610" i="1"/>
  <c r="O3608" i="1"/>
  <c r="O3606" i="1"/>
  <c r="O3604" i="1"/>
  <c r="O3602" i="1"/>
  <c r="O3600" i="1"/>
  <c r="O3598" i="1"/>
  <c r="O3596" i="1"/>
  <c r="O3594" i="1"/>
  <c r="O3592" i="1"/>
  <c r="O3590" i="1"/>
  <c r="O3588" i="1"/>
  <c r="O3586" i="1"/>
  <c r="O3584" i="1"/>
  <c r="O3582" i="1"/>
  <c r="O3580" i="1"/>
  <c r="O3578" i="1"/>
  <c r="O3576" i="1"/>
  <c r="O3574" i="1"/>
  <c r="O3914" i="1"/>
  <c r="O2198" i="1"/>
  <c r="O3909" i="1"/>
  <c r="O3901" i="1"/>
  <c r="O3893" i="1"/>
  <c r="O3885" i="1"/>
  <c r="O3877" i="1"/>
  <c r="O3869" i="1"/>
  <c r="O3861" i="1"/>
  <c r="O3853" i="1"/>
  <c r="O3845" i="1"/>
  <c r="O3837" i="1"/>
  <c r="O3829" i="1"/>
  <c r="O3821" i="1"/>
  <c r="O3813" i="1"/>
  <c r="O3805" i="1"/>
  <c r="O3797" i="1"/>
  <c r="O3789" i="1"/>
  <c r="O3781" i="1"/>
  <c r="O3773" i="1"/>
  <c r="O3765" i="1"/>
  <c r="O3757" i="1"/>
  <c r="O3749" i="1"/>
  <c r="O3741" i="1"/>
  <c r="O3733" i="1"/>
  <c r="O3725" i="1"/>
  <c r="O3717" i="1"/>
  <c r="O3709" i="1"/>
  <c r="O3701" i="1"/>
  <c r="O3693" i="1"/>
  <c r="O3685" i="1"/>
  <c r="O3677" i="1"/>
  <c r="O3669" i="1"/>
  <c r="O3661" i="1"/>
  <c r="O3653" i="1"/>
  <c r="O3645" i="1"/>
  <c r="O3637" i="1"/>
  <c r="O3629" i="1"/>
  <c r="O3621" i="1"/>
  <c r="O3613" i="1"/>
  <c r="O3605" i="1"/>
  <c r="O3597" i="1"/>
  <c r="O3589" i="1"/>
  <c r="O3581" i="1"/>
  <c r="O3573" i="1"/>
  <c r="O3571" i="1"/>
  <c r="O3569" i="1"/>
  <c r="O3567" i="1"/>
  <c r="O3565" i="1"/>
  <c r="O3563" i="1"/>
  <c r="O3561" i="1"/>
  <c r="O3559" i="1"/>
  <c r="O3557" i="1"/>
  <c r="O3555" i="1"/>
  <c r="O3553" i="1"/>
  <c r="O3551" i="1"/>
  <c r="O3549" i="1"/>
  <c r="O3547" i="1"/>
  <c r="O3545" i="1"/>
  <c r="O3543" i="1"/>
  <c r="O3541" i="1"/>
  <c r="O3539" i="1"/>
  <c r="O3537" i="1"/>
  <c r="O3535" i="1"/>
  <c r="O3533" i="1"/>
  <c r="O3531" i="1"/>
  <c r="O3529" i="1"/>
  <c r="O3527" i="1"/>
  <c r="O3525" i="1"/>
  <c r="O3523" i="1"/>
  <c r="O3521" i="1"/>
  <c r="O3519" i="1"/>
  <c r="O3517" i="1"/>
  <c r="O3515" i="1"/>
  <c r="O3513" i="1"/>
  <c r="O3511" i="1"/>
  <c r="O3509" i="1"/>
  <c r="O3507" i="1"/>
  <c r="O3505" i="1"/>
  <c r="O3503" i="1"/>
  <c r="O3501" i="1"/>
  <c r="O3499" i="1"/>
  <c r="O3497" i="1"/>
  <c r="O3495" i="1"/>
  <c r="O3493" i="1"/>
  <c r="O3491" i="1"/>
  <c r="O3489" i="1"/>
  <c r="O3487" i="1"/>
  <c r="O3485" i="1"/>
  <c r="O3483" i="1"/>
  <c r="O3481" i="1"/>
  <c r="O3479" i="1"/>
  <c r="O3477" i="1"/>
  <c r="O3475" i="1"/>
  <c r="O3473" i="1"/>
  <c r="O3471" i="1"/>
  <c r="O3469" i="1"/>
  <c r="O3467" i="1"/>
  <c r="O3465" i="1"/>
  <c r="O3463" i="1"/>
  <c r="O3461" i="1"/>
  <c r="O3459" i="1"/>
  <c r="O3457" i="1"/>
  <c r="O3455" i="1"/>
  <c r="O3453" i="1"/>
  <c r="O3451" i="1"/>
  <c r="O3449" i="1"/>
  <c r="O3447" i="1"/>
  <c r="O3445" i="1"/>
  <c r="O3443" i="1"/>
  <c r="O3441" i="1"/>
  <c r="O3439" i="1"/>
  <c r="O3437" i="1"/>
  <c r="O3435" i="1"/>
  <c r="O3433" i="1"/>
  <c r="O3431" i="1"/>
  <c r="O3429" i="1"/>
  <c r="O3427" i="1"/>
  <c r="O3425" i="1"/>
  <c r="O3423" i="1"/>
  <c r="O3421" i="1"/>
  <c r="O3419" i="1"/>
  <c r="O3417" i="1"/>
  <c r="O3415" i="1"/>
  <c r="O3413" i="1"/>
  <c r="O3411" i="1"/>
  <c r="O3409" i="1"/>
  <c r="O3407" i="1"/>
  <c r="O3405" i="1"/>
  <c r="O3403" i="1"/>
  <c r="O3401" i="1"/>
  <c r="O3399" i="1"/>
  <c r="O3397" i="1"/>
  <c r="O3395" i="1"/>
  <c r="O3393" i="1"/>
  <c r="O3391" i="1"/>
  <c r="O3389" i="1"/>
  <c r="O3387" i="1"/>
  <c r="O3385" i="1"/>
  <c r="O3383" i="1"/>
  <c r="O3381" i="1"/>
  <c r="O3379" i="1"/>
  <c r="O3377" i="1"/>
  <c r="O3375" i="1"/>
  <c r="O3373" i="1"/>
  <c r="O3371" i="1"/>
  <c r="O3369" i="1"/>
  <c r="O3367" i="1"/>
  <c r="O3365" i="1"/>
  <c r="O3363" i="1"/>
  <c r="O3361" i="1"/>
  <c r="O3359" i="1"/>
  <c r="O3357" i="1"/>
  <c r="O3355" i="1"/>
  <c r="O3353" i="1"/>
  <c r="O3351" i="1"/>
  <c r="O3349" i="1"/>
  <c r="O3347" i="1"/>
  <c r="O3345" i="1"/>
  <c r="O3343" i="1"/>
  <c r="O3341" i="1"/>
  <c r="O3339" i="1"/>
  <c r="O3337" i="1"/>
  <c r="O3335" i="1"/>
  <c r="O3333" i="1"/>
  <c r="O3331" i="1"/>
  <c r="O3329" i="1"/>
  <c r="O3327" i="1"/>
  <c r="O3325" i="1"/>
  <c r="O3323" i="1"/>
  <c r="O3321" i="1"/>
  <c r="O2996" i="1"/>
  <c r="O3911" i="1"/>
  <c r="O3903" i="1"/>
  <c r="O3895" i="1"/>
  <c r="O3887" i="1"/>
  <c r="O3879" i="1"/>
  <c r="O3871" i="1"/>
  <c r="O3863" i="1"/>
  <c r="O3855" i="1"/>
  <c r="O3847" i="1"/>
  <c r="O3839" i="1"/>
  <c r="O3831" i="1"/>
  <c r="O3823" i="1"/>
  <c r="O3815" i="1"/>
  <c r="O3807" i="1"/>
  <c r="O3799" i="1"/>
  <c r="O3791" i="1"/>
  <c r="O3783" i="1"/>
  <c r="O3775" i="1"/>
  <c r="O3767" i="1"/>
  <c r="O3759" i="1"/>
  <c r="O3751" i="1"/>
  <c r="O3743" i="1"/>
  <c r="O3735" i="1"/>
  <c r="O3727" i="1"/>
  <c r="O3719" i="1"/>
  <c r="O3711" i="1"/>
  <c r="O3703" i="1"/>
  <c r="O3695" i="1"/>
  <c r="O3687" i="1"/>
  <c r="O3679" i="1"/>
  <c r="O3671" i="1"/>
  <c r="O3663" i="1"/>
  <c r="O3655" i="1"/>
  <c r="O3647" i="1"/>
  <c r="O3639" i="1"/>
  <c r="O3631" i="1"/>
  <c r="O3623" i="1"/>
  <c r="O3615" i="1"/>
  <c r="O3607" i="1"/>
  <c r="O3599" i="1"/>
  <c r="O3591" i="1"/>
  <c r="O3583" i="1"/>
  <c r="O3575" i="1"/>
  <c r="O1828" i="1"/>
  <c r="O1474" i="1"/>
  <c r="O1292" i="1"/>
  <c r="O3905" i="1"/>
  <c r="O3897" i="1"/>
  <c r="O3889" i="1"/>
  <c r="O3881" i="1"/>
  <c r="O3873" i="1"/>
  <c r="O3865" i="1"/>
  <c r="O3857" i="1"/>
  <c r="O3849" i="1"/>
  <c r="O3841" i="1"/>
  <c r="O3833" i="1"/>
  <c r="O3825" i="1"/>
  <c r="O3817" i="1"/>
  <c r="O3809" i="1"/>
  <c r="O3801" i="1"/>
  <c r="O3793" i="1"/>
  <c r="O3785" i="1"/>
  <c r="O3777" i="1"/>
  <c r="O3769" i="1"/>
  <c r="O3761" i="1"/>
  <c r="O3753" i="1"/>
  <c r="O3745" i="1"/>
  <c r="O3737" i="1"/>
  <c r="O3729" i="1"/>
  <c r="O3721" i="1"/>
  <c r="O3713" i="1"/>
  <c r="O3705" i="1"/>
  <c r="O3697" i="1"/>
  <c r="O3689" i="1"/>
  <c r="O3681" i="1"/>
  <c r="O3673" i="1"/>
  <c r="O3665" i="1"/>
  <c r="O3657" i="1"/>
  <c r="O3649" i="1"/>
  <c r="O3641" i="1"/>
  <c r="O3633" i="1"/>
  <c r="O3625" i="1"/>
  <c r="O3617" i="1"/>
  <c r="O3609" i="1"/>
  <c r="O3601" i="1"/>
  <c r="O3593" i="1"/>
  <c r="O3585" i="1"/>
  <c r="O3577" i="1"/>
  <c r="O3572" i="1"/>
  <c r="O3570" i="1"/>
  <c r="O3568" i="1"/>
  <c r="O3566" i="1"/>
  <c r="O3564" i="1"/>
  <c r="O3562" i="1"/>
  <c r="O3560" i="1"/>
  <c r="O3558" i="1"/>
  <c r="O3556" i="1"/>
  <c r="O3554" i="1"/>
  <c r="O3552" i="1"/>
  <c r="O3550" i="1"/>
  <c r="O3548" i="1"/>
  <c r="O3546" i="1"/>
  <c r="O3544" i="1"/>
  <c r="O3542" i="1"/>
  <c r="O3540" i="1"/>
  <c r="O3538" i="1"/>
  <c r="O3536" i="1"/>
  <c r="O3534" i="1"/>
  <c r="O3532" i="1"/>
  <c r="O3530" i="1"/>
  <c r="O3528" i="1"/>
  <c r="O3526" i="1"/>
  <c r="O3524" i="1"/>
  <c r="O3522" i="1"/>
  <c r="O3520" i="1"/>
  <c r="O3518" i="1"/>
  <c r="O3516" i="1"/>
  <c r="O3514" i="1"/>
  <c r="O3512" i="1"/>
  <c r="O3510" i="1"/>
  <c r="O3508" i="1"/>
  <c r="O3506" i="1"/>
  <c r="O3504" i="1"/>
  <c r="O3502" i="1"/>
  <c r="O3500" i="1"/>
  <c r="O3498" i="1"/>
  <c r="O3496" i="1"/>
  <c r="O3494" i="1"/>
  <c r="O3492" i="1"/>
  <c r="O3490" i="1"/>
  <c r="O3488" i="1"/>
  <c r="O3486" i="1"/>
  <c r="O3484" i="1"/>
  <c r="O3482" i="1"/>
  <c r="O3480" i="1"/>
  <c r="O3478" i="1"/>
  <c r="O3476" i="1"/>
  <c r="O3474" i="1"/>
  <c r="O3472" i="1"/>
  <c r="O3470" i="1"/>
  <c r="O3468" i="1"/>
  <c r="O3466" i="1"/>
  <c r="O3464" i="1"/>
  <c r="O3462" i="1"/>
  <c r="O3460" i="1"/>
  <c r="O3458" i="1"/>
  <c r="O3456" i="1"/>
  <c r="O3454" i="1"/>
  <c r="O3452" i="1"/>
  <c r="O3450" i="1"/>
  <c r="O3448" i="1"/>
  <c r="O3446" i="1"/>
  <c r="O3444" i="1"/>
  <c r="O3442" i="1"/>
  <c r="O3440" i="1"/>
  <c r="O3438" i="1"/>
  <c r="O3436" i="1"/>
  <c r="O3434" i="1"/>
  <c r="O3432" i="1"/>
  <c r="O3430" i="1"/>
  <c r="O3428" i="1"/>
  <c r="O3426" i="1"/>
  <c r="O3424" i="1"/>
  <c r="O3422" i="1"/>
  <c r="O3420" i="1"/>
  <c r="O3418" i="1"/>
  <c r="O3416" i="1"/>
  <c r="O3414" i="1"/>
  <c r="O3412" i="1"/>
  <c r="O3410" i="1"/>
  <c r="O3408" i="1"/>
  <c r="O3406" i="1"/>
  <c r="O3404" i="1"/>
  <c r="O3402" i="1"/>
  <c r="O3400" i="1"/>
  <c r="O3398" i="1"/>
  <c r="O3396" i="1"/>
  <c r="O3394" i="1"/>
  <c r="O3392" i="1"/>
  <c r="O3390" i="1"/>
  <c r="O3388" i="1"/>
  <c r="O3386" i="1"/>
  <c r="O3384" i="1"/>
  <c r="O3382" i="1"/>
  <c r="O3380" i="1"/>
  <c r="O3378" i="1"/>
  <c r="O3376" i="1"/>
  <c r="O3374" i="1"/>
  <c r="O3372" i="1"/>
  <c r="O3370" i="1"/>
  <c r="O3368" i="1"/>
  <c r="O3366" i="1"/>
  <c r="O3364" i="1"/>
  <c r="O3362" i="1"/>
  <c r="O3360" i="1"/>
  <c r="O3358" i="1"/>
  <c r="O3356" i="1"/>
  <c r="O3354" i="1"/>
  <c r="O3352" i="1"/>
  <c r="O3350" i="1"/>
  <c r="O3348" i="1"/>
  <c r="O3346" i="1"/>
  <c r="O3344" i="1"/>
  <c r="O3342" i="1"/>
  <c r="O3340" i="1"/>
  <c r="O3338" i="1"/>
  <c r="O3336" i="1"/>
  <c r="O3334" i="1"/>
  <c r="O3332" i="1"/>
  <c r="O3330" i="1"/>
  <c r="O3328" i="1"/>
  <c r="O3326" i="1"/>
  <c r="O3324" i="1"/>
  <c r="O3322" i="1"/>
  <c r="O3320" i="1"/>
  <c r="O3883" i="1"/>
  <c r="O3851" i="1"/>
  <c r="O3819" i="1"/>
  <c r="O3787" i="1"/>
  <c r="O3755" i="1"/>
  <c r="O3723" i="1"/>
  <c r="O3691" i="1"/>
  <c r="O3659" i="1"/>
  <c r="O3627" i="1"/>
  <c r="O3595" i="1"/>
  <c r="O1972" i="1"/>
  <c r="O1700" i="1"/>
  <c r="O1538" i="1"/>
  <c r="O1456" i="1"/>
  <c r="O1300" i="1"/>
  <c r="O1228" i="1"/>
  <c r="O1164" i="1"/>
  <c r="O1100" i="1"/>
  <c r="O1011" i="1"/>
  <c r="O914" i="1"/>
  <c r="O786" i="1"/>
  <c r="O3907" i="1"/>
  <c r="O3875" i="1"/>
  <c r="O3843" i="1"/>
  <c r="O3811" i="1"/>
  <c r="O3779" i="1"/>
  <c r="O3747" i="1"/>
  <c r="O3715" i="1"/>
  <c r="O3683" i="1"/>
  <c r="O3651" i="1"/>
  <c r="O3619" i="1"/>
  <c r="O3587" i="1"/>
  <c r="O2134" i="1"/>
  <c r="O1956" i="1"/>
  <c r="O1506" i="1"/>
  <c r="O1268" i="1"/>
  <c r="O1220" i="1"/>
  <c r="O1156" i="1"/>
  <c r="O1092" i="1"/>
  <c r="O882" i="1"/>
  <c r="O754" i="1"/>
  <c r="O3899" i="1"/>
  <c r="O3867" i="1"/>
  <c r="O3835" i="1"/>
  <c r="O3803" i="1"/>
  <c r="O3771" i="1"/>
  <c r="O3739" i="1"/>
  <c r="O3707" i="1"/>
  <c r="O3675" i="1"/>
  <c r="O3643" i="1"/>
  <c r="O3611" i="1"/>
  <c r="O3579" i="1"/>
  <c r="O1844" i="1"/>
  <c r="O1260" i="1"/>
  <c r="O1196" i="1"/>
  <c r="O1132" i="1"/>
  <c r="O978" i="1"/>
  <c r="O850" i="1"/>
  <c r="O722" i="1"/>
  <c r="O1290" i="1"/>
  <c r="O1294" i="1"/>
  <c r="O1298" i="1"/>
  <c r="O1539" i="1"/>
  <c r="O1543" i="1"/>
  <c r="O1547" i="1"/>
  <c r="O1551" i="1"/>
  <c r="O1555" i="1"/>
  <c r="O1559" i="1"/>
  <c r="O1563" i="1"/>
  <c r="O1567" i="1"/>
  <c r="O1570" i="1"/>
  <c r="O1574" i="1"/>
  <c r="O1578" i="1"/>
  <c r="O1582" i="1"/>
  <c r="O1586" i="1"/>
  <c r="O1590" i="1"/>
  <c r="O1594" i="1"/>
  <c r="O1598" i="1"/>
  <c r="O1602" i="1"/>
  <c r="O1606" i="1"/>
  <c r="O1610" i="1"/>
  <c r="O1614" i="1"/>
  <c r="O1618" i="1"/>
  <c r="O1622" i="1"/>
  <c r="O1626" i="1"/>
  <c r="O1630" i="1"/>
  <c r="O1634" i="1"/>
  <c r="O1638" i="1"/>
  <c r="O1642" i="1"/>
  <c r="O1646" i="1"/>
  <c r="O1650" i="1"/>
  <c r="O1654" i="1"/>
  <c r="O1658" i="1"/>
  <c r="O1662" i="1"/>
  <c r="O1666" i="1"/>
  <c r="O1670" i="1"/>
  <c r="O1674" i="1"/>
  <c r="O1678" i="1"/>
  <c r="O1682" i="1"/>
  <c r="O1686" i="1"/>
  <c r="O1690" i="1"/>
  <c r="O1694" i="1"/>
  <c r="O1698" i="1"/>
  <c r="O3603" i="1"/>
  <c r="O3731" i="1"/>
  <c r="O3859" i="1"/>
  <c r="O896" i="1"/>
  <c r="O900" i="1"/>
  <c r="O904" i="1"/>
  <c r="O908" i="1"/>
  <c r="O912" i="1"/>
  <c r="O1094" i="1"/>
  <c r="O1098" i="1"/>
  <c r="O1165" i="1"/>
  <c r="O1169" i="1"/>
  <c r="O1173" i="1"/>
  <c r="O1177" i="1"/>
  <c r="O1181" i="1"/>
  <c r="O1185" i="1"/>
  <c r="O1188" i="1"/>
  <c r="O1192" i="1"/>
  <c r="O1263" i="1"/>
  <c r="O1267" i="1"/>
  <c r="O1508" i="1"/>
  <c r="O1512" i="1"/>
  <c r="O1516" i="1"/>
  <c r="O1520" i="1"/>
  <c r="O1524" i="1"/>
  <c r="O1528" i="1"/>
  <c r="O1532" i="1"/>
  <c r="O1536" i="1"/>
  <c r="O3635" i="1"/>
  <c r="O3763" i="1"/>
  <c r="O3891" i="1"/>
  <c r="O1075" i="1"/>
  <c r="O1079" i="1"/>
  <c r="O1083" i="1"/>
  <c r="O1087" i="1"/>
  <c r="O1091" i="1"/>
  <c r="O1158" i="1"/>
  <c r="O1162" i="1"/>
  <c r="O1229" i="1"/>
  <c r="O1233" i="1"/>
  <c r="O1237" i="1"/>
  <c r="O1241" i="1"/>
  <c r="O1245" i="1"/>
  <c r="O1249" i="1"/>
  <c r="O1252" i="1"/>
  <c r="O1256" i="1"/>
  <c r="O1457" i="1"/>
  <c r="O1461" i="1"/>
  <c r="O1465" i="1"/>
  <c r="O1469" i="1"/>
  <c r="O1473" i="1"/>
  <c r="O1477" i="1"/>
  <c r="O1481" i="1"/>
  <c r="O1485" i="1"/>
  <c r="O1489" i="1"/>
  <c r="O1493" i="1"/>
  <c r="O1497" i="1"/>
  <c r="O1501" i="1"/>
  <c r="O1505" i="1"/>
  <c r="O3667" i="1"/>
  <c r="O3795" i="1"/>
  <c r="O492" i="1"/>
  <c r="O496" i="1"/>
  <c r="O500" i="1"/>
  <c r="O504" i="1"/>
  <c r="O508" i="1"/>
  <c r="O512" i="1"/>
  <c r="O516" i="1"/>
  <c r="O520" i="1"/>
  <c r="O524" i="1"/>
  <c r="O528" i="1"/>
  <c r="O532" i="1"/>
  <c r="O536" i="1"/>
  <c r="O543" i="1"/>
  <c r="O547" i="1"/>
  <c r="O551" i="1"/>
  <c r="O555" i="1"/>
  <c r="O559" i="1"/>
  <c r="O563" i="1"/>
  <c r="O567" i="1"/>
  <c r="O571" i="1"/>
  <c r="O575" i="1"/>
  <c r="O579" i="1"/>
  <c r="O583" i="1"/>
  <c r="O587" i="1"/>
  <c r="O591" i="1"/>
  <c r="O595" i="1"/>
  <c r="O599" i="1"/>
  <c r="O603" i="1"/>
  <c r="O606" i="1"/>
  <c r="O610" i="1"/>
  <c r="O614" i="1"/>
  <c r="O618" i="1"/>
  <c r="O622" i="1"/>
  <c r="O629" i="1"/>
  <c r="O633" i="1"/>
  <c r="O637" i="1"/>
  <c r="O641" i="1"/>
  <c r="O645" i="1"/>
  <c r="O649" i="1"/>
  <c r="O653" i="1"/>
  <c r="O657" i="1"/>
  <c r="O660" i="1"/>
  <c r="O664" i="1"/>
  <c r="O668" i="1"/>
  <c r="O672" i="1"/>
  <c r="O676" i="1"/>
  <c r="O680" i="1"/>
  <c r="O684" i="1"/>
  <c r="O688" i="1"/>
  <c r="O691" i="1"/>
  <c r="O695" i="1"/>
  <c r="O699" i="1"/>
  <c r="O703" i="1"/>
  <c r="O707" i="1"/>
  <c r="O711" i="1"/>
  <c r="O715" i="1"/>
  <c r="O719" i="1"/>
  <c r="O726" i="1"/>
  <c r="O730" i="1"/>
  <c r="O734" i="1"/>
  <c r="O738" i="1"/>
  <c r="O742" i="1"/>
  <c r="O746" i="1"/>
  <c r="O750" i="1"/>
  <c r="O757" i="1"/>
  <c r="O761" i="1"/>
  <c r="O765" i="1"/>
  <c r="O769" i="1"/>
  <c r="O773" i="1"/>
  <c r="O777" i="1"/>
  <c r="O781" i="1"/>
  <c r="O785" i="1"/>
  <c r="O788" i="1"/>
  <c r="O792" i="1"/>
  <c r="O796" i="1"/>
  <c r="O800" i="1"/>
  <c r="O804" i="1"/>
  <c r="O812" i="1"/>
  <c r="O816" i="1"/>
  <c r="O819" i="1"/>
  <c r="O823" i="1"/>
  <c r="O827" i="1"/>
  <c r="O831" i="1"/>
  <c r="O835" i="1"/>
  <c r="O839" i="1"/>
  <c r="O843" i="1"/>
  <c r="O847" i="1"/>
  <c r="O854" i="1"/>
  <c r="O858" i="1"/>
  <c r="O862" i="1"/>
  <c r="O866" i="1"/>
  <c r="O870" i="1"/>
  <c r="O874" i="1"/>
  <c r="O878" i="1"/>
  <c r="O885" i="1"/>
  <c r="O889" i="1"/>
  <c r="O893" i="1"/>
  <c r="O897" i="1"/>
  <c r="O901" i="1"/>
  <c r="O905" i="1"/>
  <c r="O909" i="1"/>
  <c r="O913" i="1"/>
  <c r="O916" i="1"/>
  <c r="O920" i="1"/>
  <c r="O924" i="1"/>
  <c r="O928" i="1"/>
  <c r="O932" i="1"/>
  <c r="O936" i="1"/>
  <c r="O940" i="1"/>
  <c r="O944" i="1"/>
  <c r="O947" i="1"/>
  <c r="O951" i="1"/>
  <c r="O955" i="1"/>
  <c r="O959" i="1"/>
  <c r="O963" i="1"/>
  <c r="O967" i="1"/>
  <c r="O971" i="1"/>
  <c r="O975" i="1"/>
  <c r="O982" i="1"/>
  <c r="O986" i="1"/>
  <c r="O990" i="1"/>
  <c r="O994" i="1"/>
  <c r="O998" i="1"/>
  <c r="O1002" i="1"/>
  <c r="O1006" i="1"/>
  <c r="O1010" i="1"/>
  <c r="O1013" i="1"/>
  <c r="O1017" i="1"/>
  <c r="O1021" i="1"/>
  <c r="O1025" i="1"/>
  <c r="O1028" i="1"/>
  <c r="O1032" i="1"/>
  <c r="O1036" i="1"/>
  <c r="O1040" i="1"/>
  <c r="O1044" i="1"/>
  <c r="O1048" i="1"/>
  <c r="O1052" i="1"/>
  <c r="O1056" i="1"/>
  <c r="O1060" i="1"/>
  <c r="O1064" i="1"/>
  <c r="O1068" i="1"/>
  <c r="O1072" i="1"/>
  <c r="O1076" i="1"/>
  <c r="O1080" i="1"/>
  <c r="O1084" i="1"/>
  <c r="O1088" i="1"/>
  <c r="O1095" i="1"/>
  <c r="O1099" i="1"/>
  <c r="O1102" i="1"/>
  <c r="O1106" i="1"/>
  <c r="O1110" i="1"/>
  <c r="O1114" i="1"/>
  <c r="O1118" i="1"/>
  <c r="O1122" i="1"/>
  <c r="O1125" i="1"/>
  <c r="O1129" i="1"/>
  <c r="O1136" i="1"/>
  <c r="O1140" i="1"/>
  <c r="O1144" i="1"/>
  <c r="O1148" i="1"/>
  <c r="O1152" i="1"/>
  <c r="O1159" i="1"/>
  <c r="O1163" i="1"/>
  <c r="O1166" i="1"/>
  <c r="O1170" i="1"/>
  <c r="O1174" i="1"/>
  <c r="O1178" i="1"/>
  <c r="O1182" i="1"/>
  <c r="O1186" i="1"/>
  <c r="O1189" i="1"/>
  <c r="O1193" i="1"/>
  <c r="O1200" i="1"/>
  <c r="O1204" i="1"/>
  <c r="O1208" i="1"/>
  <c r="O1212" i="1"/>
  <c r="O1216" i="1"/>
  <c r="O1223" i="1"/>
  <c r="O1227" i="1"/>
  <c r="O1230" i="1"/>
  <c r="O1234" i="1"/>
  <c r="O1238" i="1"/>
  <c r="O1242" i="1"/>
  <c r="O1246" i="1"/>
  <c r="O1250" i="1"/>
  <c r="O1253" i="1"/>
  <c r="O1257" i="1"/>
  <c r="O1264" i="1"/>
  <c r="O1271" i="1"/>
  <c r="O1275" i="1"/>
  <c r="O1279" i="1"/>
  <c r="O1283" i="1"/>
  <c r="O1287" i="1"/>
  <c r="O1291" i="1"/>
  <c r="O1295" i="1"/>
  <c r="O1299" i="1"/>
  <c r="O1302" i="1"/>
  <c r="O1306" i="1"/>
  <c r="O1310" i="1"/>
  <c r="O1314" i="1"/>
  <c r="O1318" i="1"/>
  <c r="O1322" i="1"/>
  <c r="O1326" i="1"/>
  <c r="O1330" i="1"/>
  <c r="O1333" i="1"/>
  <c r="O1337" i="1"/>
  <c r="O1341" i="1"/>
  <c r="O1345" i="1"/>
  <c r="O1349" i="1"/>
  <c r="O1353" i="1"/>
  <c r="O1357" i="1"/>
  <c r="O1361" i="1"/>
  <c r="O1365" i="1"/>
  <c r="O1369" i="1"/>
  <c r="O1373" i="1"/>
  <c r="O1377" i="1"/>
  <c r="O1381" i="1"/>
  <c r="O1385" i="1"/>
  <c r="O1389" i="1"/>
  <c r="O1393" i="1"/>
  <c r="O1397" i="1"/>
  <c r="O1401" i="1"/>
  <c r="O1405" i="1"/>
  <c r="O1409" i="1"/>
  <c r="O1413" i="1"/>
  <c r="O1417" i="1"/>
  <c r="O1421" i="1"/>
  <c r="O1425" i="1"/>
  <c r="O1428" i="1"/>
  <c r="O1431" i="1"/>
  <c r="O1435" i="1"/>
  <c r="O1439" i="1"/>
  <c r="O1443" i="1"/>
  <c r="O1447" i="1"/>
  <c r="O1451" i="1"/>
  <c r="O1455" i="1"/>
  <c r="O1458" i="1"/>
  <c r="O1462" i="1"/>
  <c r="O1466" i="1"/>
  <c r="O1470" i="1"/>
  <c r="O1829" i="1"/>
  <c r="O1833" i="1"/>
  <c r="O1837" i="1"/>
  <c r="O1841" i="1"/>
  <c r="O1848" i="1"/>
  <c r="O1852" i="1"/>
  <c r="O692" i="1"/>
  <c r="O696" i="1"/>
  <c r="O700" i="1"/>
  <c r="O704" i="1"/>
  <c r="O708" i="1"/>
  <c r="O712" i="1"/>
  <c r="O716" i="1"/>
  <c r="O720" i="1"/>
  <c r="O723" i="1"/>
  <c r="O727" i="1"/>
  <c r="O731" i="1"/>
  <c r="O735" i="1"/>
  <c r="O739" i="1"/>
  <c r="O743" i="1"/>
  <c r="O747" i="1"/>
  <c r="O751" i="1"/>
  <c r="O758" i="1"/>
  <c r="O762" i="1"/>
  <c r="O766" i="1"/>
  <c r="O770" i="1"/>
  <c r="O774" i="1"/>
  <c r="O782" i="1"/>
  <c r="O789" i="1"/>
  <c r="O793" i="1"/>
  <c r="O797" i="1"/>
  <c r="O801" i="1"/>
  <c r="O805" i="1"/>
  <c r="O809" i="1"/>
  <c r="O813" i="1"/>
  <c r="O817" i="1"/>
  <c r="O820" i="1"/>
  <c r="O824" i="1"/>
  <c r="O828" i="1"/>
  <c r="O832" i="1"/>
  <c r="O836" i="1"/>
  <c r="O840" i="1"/>
  <c r="O844" i="1"/>
  <c r="O848" i="1"/>
  <c r="O851" i="1"/>
  <c r="O855" i="1"/>
  <c r="O859" i="1"/>
  <c r="O863" i="1"/>
  <c r="O867" i="1"/>
  <c r="O871" i="1"/>
  <c r="O875" i="1"/>
  <c r="O879" i="1"/>
  <c r="O886" i="1"/>
  <c r="O890" i="1"/>
  <c r="O894" i="1"/>
  <c r="O898" i="1"/>
  <c r="O902" i="1"/>
  <c r="O906" i="1"/>
  <c r="O910" i="1"/>
  <c r="O917" i="1"/>
  <c r="O921" i="1"/>
  <c r="O925" i="1"/>
  <c r="O929" i="1"/>
  <c r="O933" i="1"/>
  <c r="O937" i="1"/>
  <c r="O941" i="1"/>
  <c r="O945" i="1"/>
  <c r="O948" i="1"/>
  <c r="O952" i="1"/>
  <c r="O956" i="1"/>
  <c r="O960" i="1"/>
  <c r="O964" i="1"/>
  <c r="O968" i="1"/>
  <c r="O972" i="1"/>
  <c r="O976" i="1"/>
  <c r="O979" i="1"/>
  <c r="O983" i="1"/>
  <c r="O987" i="1"/>
  <c r="O991" i="1"/>
  <c r="O995" i="1"/>
  <c r="O999" i="1"/>
  <c r="O1003" i="1"/>
  <c r="O1007" i="1"/>
  <c r="O1014" i="1"/>
  <c r="O1018" i="1"/>
  <c r="O1022" i="1"/>
  <c r="O1026" i="1"/>
  <c r="O1029" i="1"/>
  <c r="O1033" i="1"/>
  <c r="O1037" i="1"/>
  <c r="O1041" i="1"/>
  <c r="O1045" i="1"/>
  <c r="O1049" i="1"/>
  <c r="O1053" i="1"/>
  <c r="O1057" i="1"/>
  <c r="O1061" i="1"/>
  <c r="O1065" i="1"/>
  <c r="O1069" i="1"/>
  <c r="O1073" i="1"/>
  <c r="O1077" i="1"/>
  <c r="O1081" i="1"/>
  <c r="O1085" i="1"/>
  <c r="O1089" i="1"/>
  <c r="O1096" i="1"/>
  <c r="O1103" i="1"/>
  <c r="O1107" i="1"/>
  <c r="O1111" i="1"/>
  <c r="O1115" i="1"/>
  <c r="O1119" i="1"/>
  <c r="O1123" i="1"/>
  <c r="O1126" i="1"/>
  <c r="O1130" i="1"/>
  <c r="O1133" i="1"/>
  <c r="O1137" i="1"/>
  <c r="O1141" i="1"/>
  <c r="O1145" i="1"/>
  <c r="O1149" i="1"/>
  <c r="O1153" i="1"/>
  <c r="O1160" i="1"/>
  <c r="O1167" i="1"/>
  <c r="O1171" i="1"/>
  <c r="O1175" i="1"/>
  <c r="O1179" i="1"/>
  <c r="O1183" i="1"/>
  <c r="O1187" i="1"/>
  <c r="O1190" i="1"/>
  <c r="O1194" i="1"/>
  <c r="O1197" i="1"/>
  <c r="O1201" i="1"/>
  <c r="O1205" i="1"/>
  <c r="O1209" i="1"/>
  <c r="O1213" i="1"/>
  <c r="O1217" i="1"/>
  <c r="O1224" i="1"/>
  <c r="O1231" i="1"/>
  <c r="O1235" i="1"/>
  <c r="O1239" i="1"/>
  <c r="O1243" i="1"/>
  <c r="O1247" i="1"/>
  <c r="O1251" i="1"/>
  <c r="O1254" i="1"/>
  <c r="O1258" i="1"/>
  <c r="O1261" i="1"/>
  <c r="O1265" i="1"/>
  <c r="O1272" i="1"/>
  <c r="O1276" i="1"/>
  <c r="O1280" i="1"/>
  <c r="O1284" i="1"/>
  <c r="O1288" i="1"/>
  <c r="O1475" i="1"/>
  <c r="O1479" i="1"/>
  <c r="O1483" i="1"/>
  <c r="O1487" i="1"/>
  <c r="O1491" i="1"/>
  <c r="O1495" i="1"/>
  <c r="O1499" i="1"/>
  <c r="O1503" i="1"/>
  <c r="O1510" i="1"/>
  <c r="O1514" i="1"/>
  <c r="O1518" i="1"/>
  <c r="O1522" i="1"/>
  <c r="O1526" i="1"/>
  <c r="O1530" i="1"/>
  <c r="O1534" i="1"/>
  <c r="O1541" i="1"/>
  <c r="O1545" i="1"/>
  <c r="O1549" i="1"/>
  <c r="O1553" i="1"/>
  <c r="O1557" i="1"/>
  <c r="O1561" i="1"/>
  <c r="O1565" i="1"/>
  <c r="O1569" i="1"/>
  <c r="O1572" i="1"/>
  <c r="O1576" i="1"/>
  <c r="O1580" i="1"/>
  <c r="O1584" i="1"/>
  <c r="O1588" i="1"/>
  <c r="O1592" i="1"/>
  <c r="O1596" i="1"/>
  <c r="O1600" i="1"/>
  <c r="O1604" i="1"/>
  <c r="O1608" i="1"/>
  <c r="O1612" i="1"/>
  <c r="O1616" i="1"/>
  <c r="O1620" i="1"/>
  <c r="O1624" i="1"/>
  <c r="O1628" i="1"/>
  <c r="O1632" i="1"/>
  <c r="O1636" i="1"/>
  <c r="O1640" i="1"/>
  <c r="O1644" i="1"/>
  <c r="O1648" i="1"/>
  <c r="O1652" i="1"/>
  <c r="O1656" i="1"/>
  <c r="O1660" i="1"/>
  <c r="O1664" i="1"/>
  <c r="O1668" i="1"/>
  <c r="O1672" i="1"/>
  <c r="O1676" i="1"/>
  <c r="O1680" i="1"/>
  <c r="O1684" i="1"/>
  <c r="O1688" i="1"/>
  <c r="O1692" i="1"/>
  <c r="O1696" i="1"/>
  <c r="O1703" i="1"/>
  <c r="O1707" i="1"/>
  <c r="O1711" i="1"/>
  <c r="O1715" i="1"/>
  <c r="O1718" i="1"/>
  <c r="O1722" i="1"/>
  <c r="O1726" i="1"/>
  <c r="O1730" i="1"/>
  <c r="O1734" i="1"/>
  <c r="O1738" i="1"/>
  <c r="O1742" i="1"/>
  <c r="O1746" i="1"/>
  <c r="O1750" i="1"/>
  <c r="O1754" i="1"/>
  <c r="O1758" i="1"/>
  <c r="O1762" i="1"/>
  <c r="O1766" i="1"/>
  <c r="O1770" i="1"/>
  <c r="O1774" i="1"/>
  <c r="O1778" i="1"/>
  <c r="O1782" i="1"/>
  <c r="O1786" i="1"/>
  <c r="O1790" i="1"/>
  <c r="O1794" i="1"/>
  <c r="O1798" i="1"/>
  <c r="O1802" i="1"/>
  <c r="O1806" i="1"/>
  <c r="O1810" i="1"/>
  <c r="O1814" i="1"/>
  <c r="O1818" i="1"/>
  <c r="O1822" i="1"/>
  <c r="O1826" i="1"/>
  <c r="O1830" i="1"/>
  <c r="O1834" i="1"/>
  <c r="O1838" i="1"/>
  <c r="O1842" i="1"/>
  <c r="O1845" i="1"/>
  <c r="O1849" i="1"/>
  <c r="O1853" i="1"/>
  <c r="O1857" i="1"/>
  <c r="O1861" i="1"/>
  <c r="O1865" i="1"/>
  <c r="O1869" i="1"/>
  <c r="O1873" i="1"/>
  <c r="O1877" i="1"/>
  <c r="O1881" i="1"/>
  <c r="O1885" i="1"/>
  <c r="O1889" i="1"/>
  <c r="O1893" i="1"/>
  <c r="O1897" i="1"/>
  <c r="O1901" i="1"/>
  <c r="O1905" i="1"/>
  <c r="O1909" i="1"/>
  <c r="O1913" i="1"/>
  <c r="O1917" i="1"/>
  <c r="O1921" i="1"/>
  <c r="O1925" i="1"/>
  <c r="O1929" i="1"/>
  <c r="O1933" i="1"/>
  <c r="O1937" i="1"/>
  <c r="O1941" i="1"/>
  <c r="O1945" i="1"/>
  <c r="O1949" i="1"/>
  <c r="O1953" i="1"/>
  <c r="O1960" i="1"/>
  <c r="O1964" i="1"/>
  <c r="O1968" i="1"/>
  <c r="O1975" i="1"/>
  <c r="O1979" i="1"/>
  <c r="O1983" i="1"/>
  <c r="O1987" i="1"/>
  <c r="O1991" i="1"/>
  <c r="O1995" i="1"/>
  <c r="O1999" i="1"/>
  <c r="O2003" i="1"/>
  <c r="O2007" i="1"/>
  <c r="O2011" i="1"/>
  <c r="O2015" i="1"/>
  <c r="O2019" i="1"/>
  <c r="O2023" i="1"/>
  <c r="O2027" i="1"/>
  <c r="O2031" i="1"/>
  <c r="O2035" i="1"/>
  <c r="O2039" i="1"/>
  <c r="O2043" i="1"/>
  <c r="O2047" i="1"/>
  <c r="O2051" i="1"/>
  <c r="O2055" i="1"/>
  <c r="O2059" i="1"/>
  <c r="O2063" i="1"/>
  <c r="O2067" i="1"/>
  <c r="O2071" i="1"/>
  <c r="O2075" i="1"/>
  <c r="O2079" i="1"/>
  <c r="O2083" i="1"/>
  <c r="O2087" i="1"/>
  <c r="O2091" i="1"/>
  <c r="O2095" i="1"/>
  <c r="O2099" i="1"/>
  <c r="O2103" i="1"/>
  <c r="O2107" i="1"/>
  <c r="O2111" i="1"/>
  <c r="O2115" i="1"/>
  <c r="O2119" i="1"/>
  <c r="O2123" i="1"/>
  <c r="O2127" i="1"/>
  <c r="O2131" i="1"/>
  <c r="O2138" i="1"/>
  <c r="O2142" i="1"/>
  <c r="O2146" i="1"/>
  <c r="O2150" i="1"/>
  <c r="O2154" i="1"/>
  <c r="O2158" i="1"/>
  <c r="O2162" i="1"/>
  <c r="O2166" i="1"/>
  <c r="O2170" i="1"/>
  <c r="O2174" i="1"/>
  <c r="O2178" i="1"/>
  <c r="O2182" i="1"/>
  <c r="O2186" i="1"/>
  <c r="O2190" i="1"/>
  <c r="O2194" i="1"/>
  <c r="O790" i="1"/>
  <c r="O794" i="1"/>
  <c r="O798" i="1"/>
  <c r="O802" i="1"/>
  <c r="O806" i="1"/>
  <c r="O810" i="1"/>
  <c r="O814" i="1"/>
  <c r="O821" i="1"/>
  <c r="O825" i="1"/>
  <c r="O829" i="1"/>
  <c r="O833" i="1"/>
  <c r="O837" i="1"/>
  <c r="O841" i="1"/>
  <c r="O845" i="1"/>
  <c r="O849" i="1"/>
  <c r="O852" i="1"/>
  <c r="O856" i="1"/>
  <c r="O860" i="1"/>
  <c r="O864" i="1"/>
  <c r="O868" i="1"/>
  <c r="O872" i="1"/>
  <c r="O876" i="1"/>
  <c r="O880" i="1"/>
  <c r="O883" i="1"/>
  <c r="O887" i="1"/>
  <c r="O891" i="1"/>
  <c r="O895" i="1"/>
  <c r="O899" i="1"/>
  <c r="O903" i="1"/>
  <c r="O907" i="1"/>
  <c r="O911" i="1"/>
  <c r="O918" i="1"/>
  <c r="O922" i="1"/>
  <c r="O926" i="1"/>
  <c r="O930" i="1"/>
  <c r="O934" i="1"/>
  <c r="O938" i="1"/>
  <c r="O942" i="1"/>
  <c r="O949" i="1"/>
  <c r="O953" i="1"/>
  <c r="O957" i="1"/>
  <c r="O961" i="1"/>
  <c r="O965" i="1"/>
  <c r="O969" i="1"/>
  <c r="O973" i="1"/>
  <c r="O977" i="1"/>
  <c r="O980" i="1"/>
  <c r="O988" i="1"/>
  <c r="O992" i="1"/>
  <c r="O996" i="1"/>
  <c r="O1000" i="1"/>
  <c r="O1004" i="1"/>
  <c r="O1008" i="1"/>
  <c r="O1015" i="1"/>
  <c r="O1019" i="1"/>
  <c r="O1023" i="1"/>
  <c r="O1030" i="1"/>
  <c r="O1034" i="1"/>
  <c r="O1038" i="1"/>
  <c r="O1042" i="1"/>
  <c r="O1046" i="1"/>
  <c r="O1050" i="1"/>
  <c r="O1054" i="1"/>
  <c r="O1058" i="1"/>
  <c r="O1062" i="1"/>
  <c r="O1066" i="1"/>
  <c r="O1070" i="1"/>
  <c r="O1074" i="1"/>
  <c r="O1078" i="1"/>
  <c r="O1082" i="1"/>
  <c r="O1086" i="1"/>
  <c r="O1090" i="1"/>
  <c r="O1093" i="1"/>
  <c r="O1097" i="1"/>
  <c r="O1104" i="1"/>
  <c r="O1108" i="1"/>
  <c r="O1112" i="1"/>
  <c r="O1116" i="1"/>
  <c r="O1120" i="1"/>
  <c r="O1127" i="1"/>
  <c r="O1131" i="1"/>
  <c r="O1134" i="1"/>
  <c r="O1138" i="1"/>
  <c r="O1142" i="1"/>
  <c r="O1146" i="1"/>
  <c r="O1150" i="1"/>
  <c r="O1154" i="1"/>
  <c r="O1157" i="1"/>
  <c r="O1161" i="1"/>
  <c r="O1168" i="1"/>
  <c r="O1172" i="1"/>
  <c r="O1176" i="1"/>
  <c r="O1180" i="1"/>
  <c r="O1184" i="1"/>
  <c r="O1191" i="1"/>
  <c r="O1195" i="1"/>
  <c r="O1198" i="1"/>
  <c r="O1202" i="1"/>
  <c r="O1206" i="1"/>
  <c r="O1210" i="1"/>
  <c r="O1214" i="1"/>
  <c r="O1218" i="1"/>
  <c r="O1221" i="1"/>
  <c r="O1225" i="1"/>
  <c r="O1232" i="1"/>
  <c r="O1236" i="1"/>
  <c r="O1240" i="1"/>
  <c r="O1244" i="1"/>
  <c r="O1248" i="1"/>
  <c r="O1255" i="1"/>
  <c r="O1259" i="1"/>
  <c r="O1262" i="1"/>
  <c r="O1266" i="1"/>
  <c r="O1269" i="1"/>
  <c r="O1273" i="1"/>
  <c r="O1277" i="1"/>
  <c r="O1281" i="1"/>
  <c r="O1293" i="1"/>
  <c r="O1297" i="1"/>
  <c r="O1304" i="1"/>
  <c r="O1308" i="1"/>
  <c r="O1312" i="1"/>
  <c r="O1316" i="1"/>
  <c r="O1320" i="1"/>
  <c r="O1324" i="1"/>
  <c r="O1328" i="1"/>
  <c r="O1335" i="1"/>
  <c r="O1339" i="1"/>
  <c r="O1343" i="1"/>
  <c r="O1347" i="1"/>
  <c r="O1351" i="1"/>
  <c r="O1355" i="1"/>
  <c r="O1359" i="1"/>
  <c r="O1363" i="1"/>
  <c r="O1367" i="1"/>
  <c r="O1371" i="1"/>
  <c r="O1375" i="1"/>
  <c r="O1379" i="1"/>
  <c r="O1383" i="1"/>
  <c r="O1387" i="1"/>
  <c r="O1391" i="1"/>
  <c r="O1395" i="1"/>
  <c r="O1399" i="1"/>
  <c r="O1403" i="1"/>
  <c r="O1407" i="1"/>
  <c r="O1411" i="1"/>
  <c r="O1415" i="1"/>
  <c r="O1419" i="1"/>
  <c r="O1423" i="1"/>
  <c r="O1433" i="1"/>
  <c r="O1437" i="1"/>
  <c r="O1441" i="1"/>
  <c r="O1445" i="1"/>
  <c r="O1449" i="1"/>
  <c r="O1453" i="1"/>
  <c r="O1460" i="1"/>
  <c r="O1464" i="1"/>
  <c r="O1468" i="1"/>
  <c r="O1472" i="1"/>
  <c r="O1476" i="1"/>
  <c r="O1480" i="1"/>
  <c r="O1484" i="1"/>
  <c r="O1488" i="1"/>
  <c r="O1492" i="1"/>
  <c r="O1496" i="1"/>
  <c r="O1500" i="1"/>
  <c r="O1504" i="1"/>
  <c r="O1507" i="1"/>
  <c r="O1511" i="1"/>
  <c r="O1515" i="1"/>
  <c r="O1519" i="1"/>
  <c r="O1523" i="1"/>
  <c r="O1527" i="1"/>
  <c r="O1531" i="1"/>
  <c r="O1535" i="1"/>
  <c r="O1542" i="1"/>
  <c r="O1546" i="1"/>
  <c r="O1550" i="1"/>
  <c r="O1554" i="1"/>
  <c r="O1558" i="1"/>
  <c r="O1562" i="1"/>
  <c r="O1566" i="1"/>
  <c r="O1573" i="1"/>
  <c r="O1577" i="1"/>
  <c r="O1581" i="1"/>
  <c r="O1585" i="1"/>
  <c r="O1589" i="1"/>
  <c r="O1593" i="1"/>
  <c r="O1597" i="1"/>
  <c r="O1601" i="1"/>
  <c r="O1605" i="1"/>
  <c r="O1609" i="1"/>
  <c r="O1613" i="1"/>
  <c r="O1617" i="1"/>
  <c r="O1621" i="1"/>
  <c r="O1625" i="1"/>
  <c r="O1629" i="1"/>
  <c r="O1633" i="1"/>
  <c r="O1637" i="1"/>
  <c r="O1641" i="1"/>
  <c r="O1645" i="1"/>
  <c r="O1649" i="1"/>
  <c r="O1653" i="1"/>
  <c r="O1657" i="1"/>
  <c r="O1661" i="1"/>
  <c r="O1665" i="1"/>
  <c r="O1669" i="1"/>
  <c r="O1673" i="1"/>
  <c r="O1677" i="1"/>
  <c r="O1681" i="1"/>
  <c r="O1685" i="1"/>
  <c r="O1689" i="1"/>
  <c r="O1693" i="1"/>
  <c r="O1697" i="1"/>
  <c r="O1704" i="1"/>
  <c r="O1708" i="1"/>
  <c r="O1712" i="1"/>
  <c r="O1719" i="1"/>
  <c r="O1723" i="1"/>
  <c r="O1727" i="1"/>
  <c r="O1731" i="1"/>
  <c r="O1735" i="1"/>
  <c r="O1739" i="1"/>
  <c r="O1743" i="1"/>
  <c r="O1747" i="1"/>
  <c r="O1751" i="1"/>
  <c r="O1755" i="1"/>
  <c r="O1759" i="1"/>
  <c r="O1763" i="1"/>
  <c r="O1767" i="1"/>
  <c r="O1771" i="1"/>
  <c r="O1775" i="1"/>
  <c r="O1779" i="1"/>
  <c r="O1783" i="1"/>
  <c r="O1787" i="1"/>
  <c r="O1791" i="1"/>
  <c r="O1795" i="1"/>
  <c r="O1799" i="1"/>
  <c r="O1803" i="1"/>
  <c r="O1807" i="1"/>
  <c r="O1811" i="1"/>
  <c r="O1815" i="1"/>
  <c r="O1819" i="1"/>
  <c r="O1823" i="1"/>
  <c r="O1827" i="1"/>
  <c r="O1831" i="1"/>
  <c r="O1835" i="1"/>
  <c r="O1839" i="1"/>
  <c r="O1843" i="1"/>
  <c r="O1846" i="1"/>
  <c r="O1850" i="1"/>
  <c r="O1854" i="1"/>
  <c r="O1858" i="1"/>
  <c r="O1862" i="1"/>
  <c r="O1866" i="1"/>
  <c r="O1870" i="1"/>
  <c r="O1874" i="1"/>
  <c r="O1878" i="1"/>
  <c r="O1882" i="1"/>
  <c r="O1886" i="1"/>
  <c r="O1890" i="1"/>
  <c r="O1894" i="1"/>
  <c r="O1898" i="1"/>
  <c r="O1902" i="1"/>
  <c r="O1906" i="1"/>
  <c r="O1910" i="1"/>
  <c r="O1914" i="1"/>
  <c r="O1918" i="1"/>
  <c r="O1922" i="1"/>
  <c r="O1926" i="1"/>
  <c r="O1930" i="1"/>
  <c r="O1934" i="1"/>
  <c r="O1938" i="1"/>
  <c r="O1942" i="1"/>
  <c r="O1946" i="1"/>
  <c r="O1950" i="1"/>
  <c r="O1954" i="1"/>
  <c r="O1957" i="1"/>
  <c r="O1961" i="1"/>
  <c r="O1965" i="1"/>
  <c r="O1969" i="1"/>
  <c r="O1976" i="1"/>
  <c r="O1980" i="1"/>
  <c r="O1984" i="1"/>
  <c r="O1988" i="1"/>
  <c r="O1992" i="1"/>
  <c r="O1996" i="1"/>
  <c r="O2000" i="1"/>
  <c r="O2004" i="1"/>
  <c r="O2008" i="1"/>
  <c r="O2012" i="1"/>
  <c r="O2016" i="1"/>
  <c r="O2020" i="1"/>
  <c r="O2024" i="1"/>
  <c r="O2028" i="1"/>
  <c r="O2032" i="1"/>
  <c r="O2036" i="1"/>
  <c r="O2040" i="1"/>
  <c r="O2044" i="1"/>
  <c r="O2048" i="1"/>
  <c r="O2052" i="1"/>
  <c r="O2056" i="1"/>
  <c r="O2060" i="1"/>
  <c r="O2064" i="1"/>
  <c r="O2068" i="1"/>
  <c r="O2072" i="1"/>
  <c r="O2076" i="1"/>
  <c r="O2080" i="1"/>
  <c r="O2084" i="1"/>
  <c r="O2088" i="1"/>
  <c r="O2092" i="1"/>
  <c r="O2096" i="1"/>
  <c r="O2100" i="1"/>
  <c r="O2104" i="1"/>
  <c r="O2108" i="1"/>
  <c r="O2112" i="1"/>
  <c r="O2116" i="1"/>
  <c r="O2199" i="1"/>
  <c r="O2203" i="1"/>
  <c r="O2207" i="1"/>
  <c r="O2211" i="1"/>
  <c r="O2215" i="1"/>
  <c r="O2219" i="1"/>
  <c r="O2223" i="1"/>
  <c r="O2227" i="1"/>
  <c r="O2231" i="1"/>
  <c r="O2235" i="1"/>
  <c r="O2239" i="1"/>
  <c r="O2243" i="1"/>
  <c r="O2247" i="1"/>
  <c r="O2251" i="1"/>
  <c r="O2255" i="1"/>
  <c r="O2259" i="1"/>
  <c r="O2263" i="1"/>
  <c r="O2267" i="1"/>
  <c r="O2271" i="1"/>
  <c r="O2275" i="1"/>
  <c r="O2279" i="1"/>
  <c r="O2283" i="1"/>
  <c r="O2287" i="1"/>
  <c r="O2291" i="1"/>
  <c r="O2295" i="1"/>
  <c r="O2299" i="1"/>
  <c r="O2303" i="1"/>
  <c r="O2307" i="1"/>
  <c r="O2311" i="1"/>
  <c r="O2315" i="1"/>
  <c r="O2319" i="1"/>
  <c r="O2323" i="1"/>
  <c r="O2327" i="1"/>
  <c r="O2331" i="1"/>
  <c r="O2335" i="1"/>
  <c r="O2339" i="1"/>
  <c r="O2343" i="1"/>
  <c r="O2347" i="1"/>
  <c r="O2351" i="1"/>
  <c r="O2355" i="1"/>
  <c r="O2359" i="1"/>
  <c r="O2363" i="1"/>
  <c r="O2367" i="1"/>
  <c r="O2371" i="1"/>
  <c r="O2375" i="1"/>
  <c r="O2379" i="1"/>
  <c r="O2383" i="1"/>
  <c r="O2387" i="1"/>
  <c r="O2391" i="1"/>
  <c r="O2395" i="1"/>
  <c r="O2399" i="1"/>
  <c r="O2403" i="1"/>
  <c r="O2407" i="1"/>
  <c r="O2411" i="1"/>
  <c r="O2415" i="1"/>
  <c r="O2419" i="1"/>
  <c r="O2423" i="1"/>
  <c r="O2427" i="1"/>
  <c r="O2431" i="1"/>
  <c r="O2435" i="1"/>
  <c r="O2439" i="1"/>
  <c r="O2443" i="1"/>
  <c r="O2447" i="1"/>
  <c r="O2451" i="1"/>
  <c r="O2455" i="1"/>
  <c r="O2459" i="1"/>
  <c r="O2463" i="1"/>
  <c r="O2467" i="1"/>
  <c r="O2471" i="1"/>
  <c r="O2475" i="1"/>
  <c r="O2479" i="1"/>
  <c r="O2483" i="1"/>
  <c r="O2487" i="1"/>
  <c r="O2491" i="1"/>
  <c r="O2495" i="1"/>
  <c r="O2499" i="1"/>
  <c r="O2503" i="1"/>
  <c r="O2507" i="1"/>
  <c r="O2511" i="1"/>
  <c r="O2515" i="1"/>
  <c r="O2519" i="1"/>
  <c r="O2523" i="1"/>
  <c r="O2527" i="1"/>
  <c r="O2531" i="1"/>
  <c r="O2535" i="1"/>
  <c r="O2539" i="1"/>
  <c r="O2543" i="1"/>
  <c r="O2547" i="1"/>
  <c r="O2551" i="1"/>
  <c r="O2555" i="1"/>
  <c r="O2559" i="1"/>
  <c r="O2563" i="1"/>
  <c r="O2567" i="1"/>
  <c r="O2571" i="1"/>
  <c r="O2575" i="1"/>
  <c r="O2579" i="1"/>
  <c r="O2583" i="1"/>
  <c r="O2587" i="1"/>
  <c r="O2591" i="1"/>
  <c r="O2595" i="1"/>
  <c r="O2599" i="1"/>
  <c r="O2603" i="1"/>
  <c r="O2607" i="1"/>
  <c r="O2611" i="1"/>
  <c r="O2615" i="1"/>
  <c r="O2619" i="1"/>
  <c r="O2623" i="1"/>
  <c r="O2627" i="1"/>
  <c r="O2631" i="1"/>
  <c r="O2635" i="1"/>
  <c r="O2639" i="1"/>
  <c r="O2643" i="1"/>
  <c r="O2647" i="1"/>
  <c r="O2651" i="1"/>
  <c r="O2655" i="1"/>
  <c r="O2659" i="1"/>
  <c r="O2663" i="1"/>
  <c r="O2667" i="1"/>
  <c r="O2671" i="1"/>
  <c r="O2675" i="1"/>
  <c r="O2679" i="1"/>
  <c r="O2683" i="1"/>
  <c r="O2687" i="1"/>
  <c r="O2691" i="1"/>
  <c r="O2695" i="1"/>
  <c r="O2699" i="1"/>
  <c r="O2703" i="1"/>
  <c r="O2707" i="1"/>
  <c r="O2711" i="1"/>
  <c r="O2715" i="1"/>
  <c r="O2719" i="1"/>
  <c r="O2723" i="1"/>
  <c r="O2727" i="1"/>
  <c r="O2731" i="1"/>
  <c r="O2735" i="1"/>
  <c r="O2739" i="1"/>
  <c r="O2743" i="1"/>
  <c r="O2955" i="1"/>
  <c r="O2959" i="1"/>
  <c r="O2963" i="1"/>
  <c r="O2967" i="1"/>
  <c r="O2971" i="1"/>
  <c r="O2975" i="1"/>
  <c r="O2979" i="1"/>
  <c r="O2983" i="1"/>
  <c r="O2987" i="1"/>
  <c r="O2991" i="1"/>
  <c r="O2995" i="1"/>
  <c r="O2998" i="1"/>
  <c r="O3002" i="1"/>
  <c r="O3006" i="1"/>
  <c r="O3010" i="1"/>
  <c r="O3014" i="1"/>
  <c r="O3018" i="1"/>
  <c r="O3022" i="1"/>
  <c r="O3026" i="1"/>
  <c r="O3030" i="1"/>
  <c r="O3034" i="1"/>
  <c r="O3038" i="1"/>
  <c r="O3042" i="1"/>
  <c r="O3046" i="1"/>
  <c r="O3050" i="1"/>
  <c r="O3054" i="1"/>
  <c r="O3058" i="1"/>
  <c r="O3062" i="1"/>
  <c r="O3066" i="1"/>
  <c r="O3070" i="1"/>
  <c r="O3074" i="1"/>
  <c r="O3078" i="1"/>
  <c r="O3082" i="1"/>
  <c r="O3086" i="1"/>
  <c r="O3090" i="1"/>
  <c r="O3094" i="1"/>
  <c r="O3098" i="1"/>
  <c r="O3102" i="1"/>
  <c r="O3106" i="1"/>
  <c r="O3110" i="1"/>
  <c r="O3114" i="1"/>
  <c r="O3118" i="1"/>
  <c r="O3122" i="1"/>
  <c r="O3126" i="1"/>
  <c r="O3130" i="1"/>
  <c r="O3134" i="1"/>
  <c r="O3138" i="1"/>
  <c r="O3142" i="1"/>
  <c r="O3146" i="1"/>
  <c r="O3150" i="1"/>
  <c r="O3154" i="1"/>
  <c r="O3158" i="1"/>
  <c r="O3162" i="1"/>
  <c r="O3166" i="1"/>
  <c r="O3170" i="1"/>
  <c r="O3174" i="1"/>
  <c r="O3178" i="1"/>
  <c r="O3182" i="1"/>
  <c r="O3186" i="1"/>
  <c r="O3190" i="1"/>
  <c r="O1285" i="1"/>
  <c r="O1289" i="1"/>
  <c r="O1296" i="1"/>
  <c r="O1303" i="1"/>
  <c r="O1307" i="1"/>
  <c r="O1311" i="1"/>
  <c r="O1315" i="1"/>
  <c r="O1319" i="1"/>
  <c r="O1323" i="1"/>
  <c r="O1327" i="1"/>
  <c r="O1331" i="1"/>
  <c r="O1334" i="1"/>
  <c r="O1338" i="1"/>
  <c r="O1342" i="1"/>
  <c r="O1346" i="1"/>
  <c r="O1350" i="1"/>
  <c r="O1354" i="1"/>
  <c r="O1358" i="1"/>
  <c r="O1362" i="1"/>
  <c r="O1366" i="1"/>
  <c r="O1370" i="1"/>
  <c r="O1374" i="1"/>
  <c r="O1378" i="1"/>
  <c r="O1382" i="1"/>
  <c r="O1386" i="1"/>
  <c r="O1390" i="1"/>
  <c r="O1394" i="1"/>
  <c r="O1398" i="1"/>
  <c r="O1402" i="1"/>
  <c r="O1406" i="1"/>
  <c r="O1410" i="1"/>
  <c r="O1414" i="1"/>
  <c r="O1418" i="1"/>
  <c r="O1422" i="1"/>
  <c r="O1426" i="1"/>
  <c r="O1429" i="1"/>
  <c r="O1432" i="1"/>
  <c r="O1436" i="1"/>
  <c r="O1440" i="1"/>
  <c r="O1444" i="1"/>
  <c r="O1448" i="1"/>
  <c r="O1452" i="1"/>
  <c r="O1459" i="1"/>
  <c r="O1463" i="1"/>
  <c r="O1467" i="1"/>
  <c r="O1471" i="1"/>
  <c r="O1478" i="1"/>
  <c r="O1482" i="1"/>
  <c r="O1486" i="1"/>
  <c r="O1490" i="1"/>
  <c r="O1494" i="1"/>
  <c r="O1498" i="1"/>
  <c r="O1502" i="1"/>
  <c r="O1509" i="1"/>
  <c r="O1513" i="1"/>
  <c r="O1517" i="1"/>
  <c r="O1521" i="1"/>
  <c r="O1525" i="1"/>
  <c r="O1529" i="1"/>
  <c r="O1533" i="1"/>
  <c r="O1537" i="1"/>
  <c r="O1540" i="1"/>
  <c r="O1544" i="1"/>
  <c r="O1548" i="1"/>
  <c r="O1552" i="1"/>
  <c r="O1556" i="1"/>
  <c r="O1560" i="1"/>
  <c r="O1564" i="1"/>
  <c r="O1568" i="1"/>
  <c r="O1571" i="1"/>
  <c r="O1575" i="1"/>
  <c r="O1579" i="1"/>
  <c r="O1583" i="1"/>
  <c r="O1587" i="1"/>
  <c r="O1591" i="1"/>
  <c r="O1595" i="1"/>
  <c r="O1599" i="1"/>
  <c r="O1603" i="1"/>
  <c r="O1607" i="1"/>
  <c r="O1611" i="1"/>
  <c r="O1615" i="1"/>
  <c r="O1619" i="1"/>
  <c r="O1623" i="1"/>
  <c r="O1627" i="1"/>
  <c r="O1631" i="1"/>
  <c r="O1635" i="1"/>
  <c r="O1639" i="1"/>
  <c r="O1643" i="1"/>
  <c r="O1647" i="1"/>
  <c r="O1651" i="1"/>
  <c r="O1655" i="1"/>
  <c r="O1659" i="1"/>
  <c r="O1663" i="1"/>
  <c r="O1667" i="1"/>
  <c r="O1671" i="1"/>
  <c r="O1675" i="1"/>
  <c r="O1679" i="1"/>
  <c r="O1683" i="1"/>
  <c r="O1687" i="1"/>
  <c r="O1691" i="1"/>
  <c r="O1695" i="1"/>
  <c r="O1699" i="1"/>
  <c r="O1702" i="1"/>
  <c r="O1706" i="1"/>
  <c r="O1710" i="1"/>
  <c r="O1714" i="1"/>
  <c r="O1717" i="1"/>
  <c r="O1721" i="1"/>
  <c r="O1725" i="1"/>
  <c r="O1729" i="1"/>
  <c r="O1733" i="1"/>
  <c r="O1737" i="1"/>
  <c r="O1741" i="1"/>
  <c r="O1745" i="1"/>
  <c r="O1749" i="1"/>
  <c r="O1753" i="1"/>
  <c r="O1757" i="1"/>
  <c r="O1761" i="1"/>
  <c r="O1765" i="1"/>
  <c r="O1769" i="1"/>
  <c r="O1773" i="1"/>
  <c r="O1777" i="1"/>
  <c r="O1781" i="1"/>
  <c r="O1785" i="1"/>
  <c r="O1789" i="1"/>
  <c r="O1793" i="1"/>
  <c r="O1797" i="1"/>
  <c r="O1801" i="1"/>
  <c r="O1805" i="1"/>
  <c r="O1809" i="1"/>
  <c r="O1813" i="1"/>
  <c r="O1817" i="1"/>
  <c r="O1821" i="1"/>
  <c r="O1825" i="1"/>
  <c r="O1832" i="1"/>
  <c r="O1836" i="1"/>
  <c r="O1840" i="1"/>
  <c r="O1847" i="1"/>
  <c r="O1851" i="1"/>
  <c r="O1855" i="1"/>
  <c r="O1859" i="1"/>
  <c r="O1863" i="1"/>
  <c r="O1867" i="1"/>
  <c r="O1871" i="1"/>
  <c r="O1875" i="1"/>
  <c r="O1879" i="1"/>
  <c r="O1883" i="1"/>
  <c r="O1887" i="1"/>
  <c r="O1891" i="1"/>
  <c r="O1895" i="1"/>
  <c r="O1899" i="1"/>
  <c r="O1903" i="1"/>
  <c r="O1907" i="1"/>
  <c r="O1911" i="1"/>
  <c r="O1915" i="1"/>
  <c r="O1919" i="1"/>
  <c r="O1923" i="1"/>
  <c r="O1927" i="1"/>
  <c r="O1931" i="1"/>
  <c r="O1935" i="1"/>
  <c r="O1939" i="1"/>
  <c r="O1943" i="1"/>
  <c r="O1947" i="1"/>
  <c r="O1951" i="1"/>
  <c r="O1955" i="1"/>
  <c r="O1958" i="1"/>
  <c r="O1962" i="1"/>
  <c r="O1966" i="1"/>
  <c r="O1970" i="1"/>
  <c r="O1973" i="1"/>
  <c r="O1977" i="1"/>
  <c r="O1981" i="1"/>
  <c r="O1985" i="1"/>
  <c r="O1989" i="1"/>
  <c r="O1993" i="1"/>
  <c r="O1997" i="1"/>
  <c r="O2001" i="1"/>
  <c r="O2005" i="1"/>
  <c r="O2009" i="1"/>
  <c r="O2013" i="1"/>
  <c r="O2017" i="1"/>
  <c r="O2021" i="1"/>
  <c r="O2025" i="1"/>
  <c r="O2029" i="1"/>
  <c r="O2033" i="1"/>
  <c r="O2037" i="1"/>
  <c r="O2041" i="1"/>
  <c r="O2045" i="1"/>
  <c r="O2049" i="1"/>
  <c r="O2053" i="1"/>
  <c r="O2057" i="1"/>
  <c r="O2061" i="1"/>
  <c r="O2065" i="1"/>
  <c r="O2069" i="1"/>
  <c r="O2073" i="1"/>
  <c r="O2077" i="1"/>
  <c r="O2081" i="1"/>
  <c r="O2085" i="1"/>
  <c r="O2089" i="1"/>
  <c r="O2093" i="1"/>
  <c r="O2097" i="1"/>
  <c r="O2101" i="1"/>
  <c r="O2105" i="1"/>
  <c r="O2109" i="1"/>
  <c r="O2113" i="1"/>
  <c r="O2117" i="1"/>
  <c r="O2121" i="1"/>
  <c r="O2125" i="1"/>
  <c r="O2129" i="1"/>
  <c r="O2133" i="1"/>
  <c r="O2136" i="1"/>
  <c r="O2140" i="1"/>
  <c r="O2144" i="1"/>
  <c r="O2148" i="1"/>
  <c r="O2152" i="1"/>
  <c r="O2156" i="1"/>
  <c r="O2160" i="1"/>
  <c r="O2164" i="1"/>
  <c r="O2168" i="1"/>
  <c r="O2172" i="1"/>
  <c r="O2176" i="1"/>
  <c r="O2180" i="1"/>
  <c r="O2184" i="1"/>
  <c r="O2188" i="1"/>
  <c r="O2192" i="1"/>
  <c r="O2196" i="1"/>
  <c r="O1856" i="1"/>
  <c r="O1860" i="1"/>
  <c r="O1864" i="1"/>
  <c r="O1868" i="1"/>
  <c r="O1872" i="1"/>
  <c r="O1876" i="1"/>
  <c r="O1880" i="1"/>
  <c r="O1884" i="1"/>
  <c r="O1888" i="1"/>
  <c r="O1892" i="1"/>
  <c r="O1896" i="1"/>
  <c r="O1900" i="1"/>
  <c r="O1904" i="1"/>
  <c r="O1908" i="1"/>
  <c r="O1912" i="1"/>
  <c r="O1916" i="1"/>
  <c r="O1920" i="1"/>
  <c r="O1924" i="1"/>
  <c r="O1928" i="1"/>
  <c r="O1932" i="1"/>
  <c r="O1936" i="1"/>
  <c r="O1940" i="1"/>
  <c r="O1944" i="1"/>
  <c r="O1948" i="1"/>
  <c r="O1952" i="1"/>
  <c r="O1959" i="1"/>
  <c r="O1963" i="1"/>
  <c r="O1967" i="1"/>
  <c r="O1971" i="1"/>
  <c r="O1974" i="1"/>
  <c r="O1978" i="1"/>
  <c r="O1982" i="1"/>
  <c r="O1986" i="1"/>
  <c r="O1990" i="1"/>
  <c r="O1994" i="1"/>
  <c r="O1998" i="1"/>
  <c r="O2002" i="1"/>
  <c r="O2006" i="1"/>
  <c r="O2010" i="1"/>
  <c r="O2014" i="1"/>
  <c r="O2018" i="1"/>
  <c r="O2022" i="1"/>
  <c r="O2026" i="1"/>
  <c r="O2030" i="1"/>
  <c r="O2034" i="1"/>
  <c r="O2038" i="1"/>
  <c r="O2042" i="1"/>
  <c r="O2046" i="1"/>
  <c r="O2050" i="1"/>
  <c r="O2054" i="1"/>
  <c r="O2058" i="1"/>
  <c r="O2062" i="1"/>
  <c r="O2066" i="1"/>
  <c r="O2070" i="1"/>
  <c r="O2074" i="1"/>
  <c r="O2078" i="1"/>
  <c r="O2082" i="1"/>
  <c r="O2086" i="1"/>
  <c r="O2090" i="1"/>
  <c r="O2094" i="1"/>
  <c r="O2098" i="1"/>
  <c r="O2102" i="1"/>
  <c r="O2106" i="1"/>
  <c r="O2110" i="1"/>
  <c r="O2201" i="1"/>
  <c r="O2205" i="1"/>
  <c r="O2209" i="1"/>
  <c r="O2213" i="1"/>
  <c r="O2217" i="1"/>
  <c r="O2221" i="1"/>
  <c r="O2225" i="1"/>
  <c r="O2229" i="1"/>
  <c r="O2233" i="1"/>
  <c r="O2237" i="1"/>
  <c r="O2241" i="1"/>
  <c r="O2245" i="1"/>
  <c r="O2249" i="1"/>
  <c r="O2253" i="1"/>
  <c r="O2257" i="1"/>
  <c r="O2261" i="1"/>
  <c r="O2265" i="1"/>
  <c r="O2269" i="1"/>
  <c r="O2273" i="1"/>
  <c r="O2277" i="1"/>
  <c r="O2281" i="1"/>
  <c r="O2285" i="1"/>
  <c r="O2289" i="1"/>
  <c r="O2293" i="1"/>
  <c r="O2297" i="1"/>
  <c r="O2301" i="1"/>
  <c r="O2305" i="1"/>
  <c r="O2309" i="1"/>
  <c r="O2313" i="1"/>
  <c r="O2317" i="1"/>
  <c r="O2321" i="1"/>
  <c r="O2325" i="1"/>
  <c r="O2329" i="1"/>
  <c r="O2333" i="1"/>
  <c r="O2337" i="1"/>
  <c r="O2341" i="1"/>
  <c r="O2345" i="1"/>
  <c r="O2349" i="1"/>
  <c r="O2353" i="1"/>
  <c r="O2357" i="1"/>
  <c r="O2361" i="1"/>
  <c r="O2365" i="1"/>
  <c r="O2369" i="1"/>
  <c r="O2373" i="1"/>
  <c r="O2377" i="1"/>
  <c r="O2381" i="1"/>
  <c r="O2385" i="1"/>
  <c r="O2953" i="1"/>
  <c r="O2957" i="1"/>
  <c r="O2961" i="1"/>
  <c r="O2965" i="1"/>
  <c r="O2969" i="1"/>
  <c r="O2973" i="1"/>
  <c r="O2977" i="1"/>
  <c r="O2981" i="1"/>
  <c r="O2985" i="1"/>
  <c r="O2989" i="1"/>
  <c r="O2993" i="1"/>
  <c r="O3000" i="1"/>
  <c r="O3004" i="1"/>
  <c r="O3008" i="1"/>
  <c r="O3012" i="1"/>
  <c r="O3016" i="1"/>
  <c r="O3020" i="1"/>
  <c r="O3024" i="1"/>
  <c r="O3028" i="1"/>
  <c r="O3032" i="1"/>
  <c r="O3036" i="1"/>
  <c r="O3040" i="1"/>
  <c r="O3044" i="1"/>
  <c r="O3048" i="1"/>
  <c r="O3052" i="1"/>
  <c r="O3056" i="1"/>
  <c r="O3060" i="1"/>
  <c r="O3064" i="1"/>
  <c r="O3068" i="1"/>
  <c r="O3072" i="1"/>
  <c r="O3076" i="1"/>
  <c r="O3080" i="1"/>
  <c r="O3084" i="1"/>
  <c r="O3088" i="1"/>
  <c r="O3092" i="1"/>
  <c r="O3096" i="1"/>
  <c r="O3100" i="1"/>
  <c r="O3104" i="1"/>
  <c r="O3108" i="1"/>
  <c r="O3112" i="1"/>
  <c r="O3116" i="1"/>
  <c r="O3120" i="1"/>
  <c r="O3124" i="1"/>
  <c r="O3128" i="1"/>
  <c r="O3132" i="1"/>
  <c r="O3136" i="1"/>
  <c r="O3140" i="1"/>
  <c r="O3144" i="1"/>
  <c r="O3148" i="1"/>
  <c r="O3152" i="1"/>
  <c r="O3156" i="1"/>
  <c r="O3160" i="1"/>
  <c r="O3164" i="1"/>
  <c r="O3168" i="1"/>
  <c r="O3172" i="1"/>
  <c r="O3176" i="1"/>
  <c r="O3180" i="1"/>
  <c r="O3184" i="1"/>
  <c r="O3188" i="1"/>
  <c r="O3192" i="1"/>
  <c r="O2120" i="1"/>
  <c r="O2124" i="1"/>
  <c r="O2128" i="1"/>
  <c r="O2132" i="1"/>
  <c r="O2135" i="1"/>
  <c r="O2139" i="1"/>
  <c r="O2143" i="1"/>
  <c r="O2147" i="1"/>
  <c r="O2151" i="1"/>
  <c r="O2155" i="1"/>
  <c r="O2159" i="1"/>
  <c r="O2163" i="1"/>
  <c r="O2167" i="1"/>
  <c r="O2171" i="1"/>
  <c r="O2175" i="1"/>
  <c r="O2179" i="1"/>
  <c r="O2183" i="1"/>
  <c r="O2187" i="1"/>
  <c r="O2191" i="1"/>
  <c r="O2195" i="1"/>
  <c r="O2202" i="1"/>
  <c r="O2206" i="1"/>
  <c r="O2210" i="1"/>
  <c r="O2214" i="1"/>
  <c r="O2218" i="1"/>
  <c r="O2222" i="1"/>
  <c r="O2226" i="1"/>
  <c r="O2230" i="1"/>
  <c r="O2234" i="1"/>
  <c r="O2238" i="1"/>
  <c r="O2242" i="1"/>
  <c r="O2246" i="1"/>
  <c r="O2250" i="1"/>
  <c r="O2254" i="1"/>
  <c r="O2258" i="1"/>
  <c r="O2262" i="1"/>
  <c r="O2266" i="1"/>
  <c r="O2270" i="1"/>
  <c r="O2274" i="1"/>
  <c r="O2278" i="1"/>
  <c r="O2282" i="1"/>
  <c r="O2286" i="1"/>
  <c r="O2290" i="1"/>
  <c r="O2294" i="1"/>
  <c r="O2298" i="1"/>
  <c r="O2302" i="1"/>
  <c r="O2306" i="1"/>
  <c r="O2310" i="1"/>
  <c r="O2314" i="1"/>
  <c r="O2318" i="1"/>
  <c r="O2322" i="1"/>
  <c r="O2326" i="1"/>
  <c r="O2330" i="1"/>
  <c r="O2334" i="1"/>
  <c r="O2338" i="1"/>
  <c r="O2342" i="1"/>
  <c r="O2390" i="1"/>
  <c r="O2394" i="1"/>
  <c r="O2398" i="1"/>
  <c r="O2402" i="1"/>
  <c r="O2406" i="1"/>
  <c r="O2410" i="1"/>
  <c r="O2414" i="1"/>
  <c r="O2418" i="1"/>
  <c r="O2422" i="1"/>
  <c r="O2426" i="1"/>
  <c r="O2430" i="1"/>
  <c r="O2434" i="1"/>
  <c r="O2438" i="1"/>
  <c r="O2442" i="1"/>
  <c r="O2446" i="1"/>
  <c r="O2450" i="1"/>
  <c r="O2454" i="1"/>
  <c r="O2458" i="1"/>
  <c r="O2462" i="1"/>
  <c r="O2466" i="1"/>
  <c r="O2470" i="1"/>
  <c r="O2474" i="1"/>
  <c r="O2478" i="1"/>
  <c r="O2482" i="1"/>
  <c r="O2486" i="1"/>
  <c r="O2490" i="1"/>
  <c r="O2494" i="1"/>
  <c r="O2498" i="1"/>
  <c r="O2502" i="1"/>
  <c r="O2506" i="1"/>
  <c r="O2510" i="1"/>
  <c r="O2514" i="1"/>
  <c r="O2518" i="1"/>
  <c r="O2522" i="1"/>
  <c r="O2526" i="1"/>
  <c r="O2530" i="1"/>
  <c r="O2746" i="1"/>
  <c r="O2750" i="1"/>
  <c r="O2754" i="1"/>
  <c r="O2758" i="1"/>
  <c r="O2762" i="1"/>
  <c r="O2766" i="1"/>
  <c r="O2770" i="1"/>
  <c r="O2774" i="1"/>
  <c r="O2778" i="1"/>
  <c r="O2782" i="1"/>
  <c r="O2786" i="1"/>
  <c r="O2790" i="1"/>
  <c r="O2794" i="1"/>
  <c r="O2798" i="1"/>
  <c r="O2802" i="1"/>
  <c r="O2806" i="1"/>
  <c r="O2810" i="1"/>
  <c r="O2814" i="1"/>
  <c r="O2818" i="1"/>
  <c r="O2822" i="1"/>
  <c r="O2826" i="1"/>
  <c r="O2830" i="1"/>
  <c r="O2834" i="1"/>
  <c r="O2838" i="1"/>
  <c r="O2842" i="1"/>
  <c r="O2846" i="1"/>
  <c r="O2850" i="1"/>
  <c r="O2854" i="1"/>
  <c r="O2858" i="1"/>
  <c r="O2862" i="1"/>
  <c r="O2866" i="1"/>
  <c r="O2870" i="1"/>
  <c r="O2874" i="1"/>
  <c r="O2878" i="1"/>
  <c r="O2882" i="1"/>
  <c r="O2886" i="1"/>
  <c r="O2890" i="1"/>
  <c r="O2894" i="1"/>
  <c r="O2898" i="1"/>
  <c r="O2902" i="1"/>
  <c r="O2906" i="1"/>
  <c r="O2910" i="1"/>
  <c r="O2914" i="1"/>
  <c r="O2918" i="1"/>
  <c r="O2922" i="1"/>
  <c r="O2926" i="1"/>
  <c r="O2930" i="1"/>
  <c r="O2934" i="1"/>
  <c r="O2938" i="1"/>
  <c r="O2942" i="1"/>
  <c r="O2946" i="1"/>
  <c r="O2950" i="1"/>
  <c r="O2114" i="1"/>
  <c r="O2118" i="1"/>
  <c r="O2122" i="1"/>
  <c r="O2126" i="1"/>
  <c r="O2130" i="1"/>
  <c r="O2137" i="1"/>
  <c r="O2141" i="1"/>
  <c r="O2145" i="1"/>
  <c r="O2149" i="1"/>
  <c r="O2153" i="1"/>
  <c r="O2157" i="1"/>
  <c r="O2161" i="1"/>
  <c r="O2165" i="1"/>
  <c r="O2169" i="1"/>
  <c r="O2173" i="1"/>
  <c r="O2177" i="1"/>
  <c r="O2181" i="1"/>
  <c r="O2185" i="1"/>
  <c r="O2189" i="1"/>
  <c r="O2193" i="1"/>
  <c r="O2197" i="1"/>
  <c r="O2200" i="1"/>
  <c r="O2204" i="1"/>
  <c r="O2208" i="1"/>
  <c r="O2212" i="1"/>
  <c r="O2216" i="1"/>
  <c r="O2220" i="1"/>
  <c r="O2224" i="1"/>
  <c r="O2228" i="1"/>
  <c r="O2232" i="1"/>
  <c r="O2236" i="1"/>
  <c r="O2240" i="1"/>
  <c r="O2244" i="1"/>
  <c r="O2248" i="1"/>
  <c r="O2252" i="1"/>
  <c r="O2256" i="1"/>
  <c r="O2260" i="1"/>
  <c r="O2264" i="1"/>
  <c r="O2268" i="1"/>
  <c r="O2272" i="1"/>
  <c r="O2276" i="1"/>
  <c r="O2280" i="1"/>
  <c r="O2284" i="1"/>
  <c r="O2288" i="1"/>
  <c r="O2292" i="1"/>
  <c r="O2296" i="1"/>
  <c r="O2300" i="1"/>
  <c r="O2304" i="1"/>
  <c r="O2308" i="1"/>
  <c r="O2312" i="1"/>
  <c r="O2316" i="1"/>
  <c r="O2320" i="1"/>
  <c r="O2324" i="1"/>
  <c r="O2328" i="1"/>
  <c r="O2332" i="1"/>
  <c r="O2336" i="1"/>
  <c r="O2340" i="1"/>
  <c r="O2344" i="1"/>
  <c r="O2348" i="1"/>
  <c r="O2352" i="1"/>
  <c r="O2356" i="1"/>
  <c r="O2360" i="1"/>
  <c r="O2364" i="1"/>
  <c r="O2368" i="1"/>
  <c r="O2372" i="1"/>
  <c r="O2376" i="1"/>
  <c r="O2380" i="1"/>
  <c r="O2384" i="1"/>
  <c r="O2388" i="1"/>
  <c r="O2392" i="1"/>
  <c r="O2396" i="1"/>
  <c r="O2400" i="1"/>
  <c r="O2404" i="1"/>
  <c r="O2408" i="1"/>
  <c r="O2412" i="1"/>
  <c r="O2416" i="1"/>
  <c r="O2420" i="1"/>
  <c r="O2424" i="1"/>
  <c r="O2428" i="1"/>
  <c r="O2432" i="1"/>
  <c r="O2436" i="1"/>
  <c r="O2440" i="1"/>
  <c r="O2444" i="1"/>
  <c r="O2448" i="1"/>
  <c r="O2452" i="1"/>
  <c r="O2456" i="1"/>
  <c r="O2460" i="1"/>
  <c r="O2464" i="1"/>
  <c r="O2468" i="1"/>
  <c r="O2472" i="1"/>
  <c r="O2476" i="1"/>
  <c r="O2480" i="1"/>
  <c r="O2484" i="1"/>
  <c r="O2488" i="1"/>
  <c r="O2492" i="1"/>
  <c r="O2496" i="1"/>
  <c r="O2500" i="1"/>
  <c r="O2504" i="1"/>
  <c r="O2508" i="1"/>
  <c r="O2512" i="1"/>
  <c r="O2516" i="1"/>
  <c r="O2520" i="1"/>
  <c r="O2524" i="1"/>
  <c r="O2528" i="1"/>
  <c r="O2532" i="1"/>
  <c r="O2536" i="1"/>
  <c r="O2540" i="1"/>
  <c r="O2544" i="1"/>
  <c r="O2548" i="1"/>
  <c r="O2552" i="1"/>
  <c r="O2556" i="1"/>
  <c r="O2560" i="1"/>
  <c r="O2564" i="1"/>
  <c r="O2568" i="1"/>
  <c r="O2572" i="1"/>
  <c r="O2576" i="1"/>
  <c r="O2580" i="1"/>
  <c r="O2584" i="1"/>
  <c r="O2588" i="1"/>
  <c r="O2592" i="1"/>
  <c r="O2596" i="1"/>
  <c r="O2600" i="1"/>
  <c r="O2604" i="1"/>
  <c r="O2608" i="1"/>
  <c r="O2612" i="1"/>
  <c r="O2616" i="1"/>
  <c r="O2620" i="1"/>
  <c r="O2624" i="1"/>
  <c r="O2628" i="1"/>
  <c r="O2632" i="1"/>
  <c r="O2636" i="1"/>
  <c r="O2640" i="1"/>
  <c r="O2644" i="1"/>
  <c r="O2648" i="1"/>
  <c r="O2652" i="1"/>
  <c r="O2656" i="1"/>
  <c r="O2660" i="1"/>
  <c r="O2664" i="1"/>
  <c r="O2668" i="1"/>
  <c r="O2672" i="1"/>
  <c r="O2676" i="1"/>
  <c r="O2680" i="1"/>
  <c r="O2684" i="1"/>
  <c r="O2688" i="1"/>
  <c r="O2692" i="1"/>
  <c r="O2346" i="1"/>
  <c r="O2350" i="1"/>
  <c r="O2354" i="1"/>
  <c r="O2358" i="1"/>
  <c r="O2362" i="1"/>
  <c r="O2366" i="1"/>
  <c r="O2370" i="1"/>
  <c r="O2374" i="1"/>
  <c r="O2378" i="1"/>
  <c r="O2382" i="1"/>
  <c r="O2386" i="1"/>
  <c r="O2393" i="1"/>
  <c r="O2397" i="1"/>
  <c r="O2401" i="1"/>
  <c r="O2405" i="1"/>
  <c r="O2409" i="1"/>
  <c r="O2413" i="1"/>
  <c r="O2417" i="1"/>
  <c r="O2421" i="1"/>
  <c r="O2425" i="1"/>
  <c r="O2429" i="1"/>
  <c r="O2433" i="1"/>
  <c r="O2437" i="1"/>
  <c r="O2441" i="1"/>
  <c r="O2445" i="1"/>
  <c r="O2449" i="1"/>
  <c r="O2453" i="1"/>
  <c r="O2457" i="1"/>
  <c r="O2461" i="1"/>
  <c r="O2465" i="1"/>
  <c r="O2469" i="1"/>
  <c r="O2473" i="1"/>
  <c r="O2477" i="1"/>
  <c r="O2481" i="1"/>
  <c r="O2485" i="1"/>
  <c r="O2489" i="1"/>
  <c r="O2493" i="1"/>
  <c r="O2497" i="1"/>
  <c r="O2501" i="1"/>
  <c r="O2505" i="1"/>
  <c r="O2509" i="1"/>
  <c r="O2513" i="1"/>
  <c r="O2517" i="1"/>
  <c r="O2521" i="1"/>
  <c r="O2525" i="1"/>
  <c r="O2529" i="1"/>
  <c r="O2533" i="1"/>
  <c r="O2537" i="1"/>
  <c r="O2541" i="1"/>
  <c r="O2545" i="1"/>
  <c r="O2549" i="1"/>
  <c r="O2553" i="1"/>
  <c r="O2557" i="1"/>
  <c r="O2561" i="1"/>
  <c r="O2565" i="1"/>
  <c r="O2569" i="1"/>
  <c r="O2573" i="1"/>
  <c r="O2577" i="1"/>
  <c r="O2581" i="1"/>
  <c r="O2697" i="1"/>
  <c r="O2701" i="1"/>
  <c r="O2705" i="1"/>
  <c r="O2709" i="1"/>
  <c r="O2713" i="1"/>
  <c r="O2717" i="1"/>
  <c r="O2721" i="1"/>
  <c r="O2725" i="1"/>
  <c r="O2729" i="1"/>
  <c r="O2733" i="1"/>
  <c r="O2737" i="1"/>
  <c r="O2741" i="1"/>
  <c r="O2748" i="1"/>
  <c r="O2752" i="1"/>
  <c r="O2756" i="1"/>
  <c r="O2760" i="1"/>
  <c r="O2764" i="1"/>
  <c r="O2768" i="1"/>
  <c r="O2772" i="1"/>
  <c r="O2776" i="1"/>
  <c r="O2780" i="1"/>
  <c r="O2784" i="1"/>
  <c r="O2788" i="1"/>
  <c r="O2792" i="1"/>
  <c r="O2796" i="1"/>
  <c r="O2800" i="1"/>
  <c r="O2804" i="1"/>
  <c r="O2808" i="1"/>
  <c r="O2812" i="1"/>
  <c r="O2816" i="1"/>
  <c r="O2820" i="1"/>
  <c r="O2824" i="1"/>
  <c r="O2828" i="1"/>
  <c r="O2832" i="1"/>
  <c r="O2836" i="1"/>
  <c r="O2840" i="1"/>
  <c r="O2844" i="1"/>
  <c r="O2848" i="1"/>
  <c r="O2852" i="1"/>
  <c r="O2856" i="1"/>
  <c r="O2860" i="1"/>
  <c r="O2864" i="1"/>
  <c r="O2868" i="1"/>
  <c r="O2872" i="1"/>
  <c r="O2876" i="1"/>
  <c r="O2880" i="1"/>
  <c r="O2884" i="1"/>
  <c r="O2888" i="1"/>
  <c r="O2892" i="1"/>
  <c r="O2896" i="1"/>
  <c r="O2900" i="1"/>
  <c r="O2904" i="1"/>
  <c r="O2908" i="1"/>
  <c r="O2912" i="1"/>
  <c r="O2916" i="1"/>
  <c r="O2920" i="1"/>
  <c r="O2924" i="1"/>
  <c r="O2928" i="1"/>
  <c r="O2932" i="1"/>
  <c r="O2936" i="1"/>
  <c r="O2940" i="1"/>
  <c r="O2944" i="1"/>
  <c r="O2948" i="1"/>
  <c r="O2534" i="1"/>
  <c r="O2538" i="1"/>
  <c r="O2542" i="1"/>
  <c r="O2546" i="1"/>
  <c r="O2550" i="1"/>
  <c r="O2554" i="1"/>
  <c r="O2558" i="1"/>
  <c r="O2562" i="1"/>
  <c r="O2566" i="1"/>
  <c r="O2570" i="1"/>
  <c r="O2574" i="1"/>
  <c r="O2578" i="1"/>
  <c r="O2582" i="1"/>
  <c r="O2586" i="1"/>
  <c r="O2590" i="1"/>
  <c r="O2594" i="1"/>
  <c r="O2598" i="1"/>
  <c r="O2602" i="1"/>
  <c r="O2606" i="1"/>
  <c r="O2610" i="1"/>
  <c r="O2614" i="1"/>
  <c r="O2618" i="1"/>
  <c r="O2622" i="1"/>
  <c r="O2626" i="1"/>
  <c r="O2630" i="1"/>
  <c r="O2634" i="1"/>
  <c r="O2638" i="1"/>
  <c r="O2642" i="1"/>
  <c r="O2646" i="1"/>
  <c r="O2650" i="1"/>
  <c r="O2654" i="1"/>
  <c r="O2658" i="1"/>
  <c r="O2662" i="1"/>
  <c r="O2666" i="1"/>
  <c r="O2670" i="1"/>
  <c r="O2674" i="1"/>
  <c r="O2678" i="1"/>
  <c r="O2682" i="1"/>
  <c r="O2686" i="1"/>
  <c r="O2690" i="1"/>
  <c r="O2694" i="1"/>
  <c r="O2698" i="1"/>
  <c r="O2702" i="1"/>
  <c r="O2706" i="1"/>
  <c r="O2710" i="1"/>
  <c r="O2714" i="1"/>
  <c r="O2718" i="1"/>
  <c r="O2722" i="1"/>
  <c r="O2726" i="1"/>
  <c r="O2730" i="1"/>
  <c r="O2734" i="1"/>
  <c r="O2738" i="1"/>
  <c r="O2742" i="1"/>
  <c r="O2745" i="1"/>
  <c r="O2749" i="1"/>
  <c r="O2753" i="1"/>
  <c r="O2757" i="1"/>
  <c r="O2761" i="1"/>
  <c r="O2765" i="1"/>
  <c r="O2769" i="1"/>
  <c r="O2773" i="1"/>
  <c r="O2777" i="1"/>
  <c r="O2781" i="1"/>
  <c r="O2785" i="1"/>
  <c r="O2789" i="1"/>
  <c r="O2793" i="1"/>
  <c r="O2797" i="1"/>
  <c r="O2801" i="1"/>
  <c r="O2805" i="1"/>
  <c r="O2809" i="1"/>
  <c r="O2813" i="1"/>
  <c r="O2817" i="1"/>
  <c r="O2821" i="1"/>
  <c r="O2825" i="1"/>
  <c r="O2829" i="1"/>
  <c r="O2833" i="1"/>
  <c r="O2837" i="1"/>
  <c r="O2841" i="1"/>
  <c r="O2845" i="1"/>
  <c r="O2849" i="1"/>
  <c r="O2853" i="1"/>
  <c r="O2857" i="1"/>
  <c r="O2861" i="1"/>
  <c r="O2865" i="1"/>
  <c r="O2869" i="1"/>
  <c r="O2873" i="1"/>
  <c r="O2877" i="1"/>
  <c r="O2881" i="1"/>
  <c r="O2885" i="1"/>
  <c r="O2889" i="1"/>
  <c r="O2893" i="1"/>
  <c r="O2897" i="1"/>
  <c r="O2901" i="1"/>
  <c r="O2905" i="1"/>
  <c r="O2909" i="1"/>
  <c r="O2913" i="1"/>
  <c r="O2917" i="1"/>
  <c r="O2921" i="1"/>
  <c r="O2925" i="1"/>
  <c r="O2929" i="1"/>
  <c r="O2933" i="1"/>
  <c r="O2937" i="1"/>
  <c r="O2941" i="1"/>
  <c r="O2945" i="1"/>
  <c r="O2949" i="1"/>
  <c r="O2956" i="1"/>
  <c r="O2960" i="1"/>
  <c r="O2964" i="1"/>
  <c r="O2968" i="1"/>
  <c r="O2972" i="1"/>
  <c r="O2976" i="1"/>
  <c r="O2980" i="1"/>
  <c r="O2984" i="1"/>
  <c r="O2988" i="1"/>
  <c r="O2992" i="1"/>
  <c r="O2999" i="1"/>
  <c r="O3003" i="1"/>
  <c r="O3007" i="1"/>
  <c r="O3011" i="1"/>
  <c r="O3015" i="1"/>
  <c r="O3019" i="1"/>
  <c r="O3023" i="1"/>
  <c r="O3027" i="1"/>
  <c r="O3031" i="1"/>
  <c r="O3035" i="1"/>
  <c r="O3039" i="1"/>
  <c r="O3043" i="1"/>
  <c r="O3047" i="1"/>
  <c r="O3051" i="1"/>
  <c r="O3055" i="1"/>
  <c r="O3059" i="1"/>
  <c r="O3063" i="1"/>
  <c r="O3067" i="1"/>
  <c r="O3071" i="1"/>
  <c r="O3075" i="1"/>
  <c r="O3079" i="1"/>
  <c r="O3083" i="1"/>
  <c r="O3087" i="1"/>
  <c r="O3091" i="1"/>
  <c r="O3095" i="1"/>
  <c r="O3099" i="1"/>
  <c r="O3103" i="1"/>
  <c r="O3107" i="1"/>
  <c r="O3111" i="1"/>
  <c r="O3115" i="1"/>
  <c r="O3119" i="1"/>
  <c r="O3123" i="1"/>
  <c r="O3127" i="1"/>
  <c r="O3131" i="1"/>
  <c r="O3135" i="1"/>
  <c r="O3139" i="1"/>
  <c r="O3143" i="1"/>
  <c r="O3147" i="1"/>
  <c r="O3151" i="1"/>
  <c r="O3155" i="1"/>
  <c r="O3159" i="1"/>
  <c r="O3163" i="1"/>
  <c r="O3167" i="1"/>
  <c r="O3171" i="1"/>
  <c r="O3175" i="1"/>
  <c r="O3179" i="1"/>
  <c r="O3183" i="1"/>
  <c r="O3187" i="1"/>
  <c r="O3191" i="1"/>
  <c r="O2585" i="1"/>
  <c r="O2589" i="1"/>
  <c r="O2593" i="1"/>
  <c r="O2597" i="1"/>
  <c r="O2601" i="1"/>
  <c r="O2605" i="1"/>
  <c r="O2609" i="1"/>
  <c r="O2613" i="1"/>
  <c r="O2617" i="1"/>
  <c r="O2621" i="1"/>
  <c r="O2625" i="1"/>
  <c r="O2629" i="1"/>
  <c r="O2633" i="1"/>
  <c r="O2637" i="1"/>
  <c r="O2641" i="1"/>
  <c r="O2645" i="1"/>
  <c r="O2649" i="1"/>
  <c r="O2653" i="1"/>
  <c r="O2657" i="1"/>
  <c r="O2661" i="1"/>
  <c r="O2665" i="1"/>
  <c r="O2669" i="1"/>
  <c r="O2673" i="1"/>
  <c r="O2677" i="1"/>
  <c r="O2681" i="1"/>
  <c r="O2685" i="1"/>
  <c r="O2689" i="1"/>
  <c r="O2693" i="1"/>
  <c r="O2700" i="1"/>
  <c r="O2704" i="1"/>
  <c r="O2708" i="1"/>
  <c r="O2712" i="1"/>
  <c r="O2716" i="1"/>
  <c r="O2720" i="1"/>
  <c r="O2724" i="1"/>
  <c r="O2728" i="1"/>
  <c r="O2732" i="1"/>
  <c r="O2736" i="1"/>
  <c r="O2740" i="1"/>
  <c r="O2747" i="1"/>
  <c r="O2751" i="1"/>
  <c r="O2755" i="1"/>
  <c r="O2759" i="1"/>
  <c r="O2763" i="1"/>
  <c r="O2767" i="1"/>
  <c r="O2771" i="1"/>
  <c r="O2775" i="1"/>
  <c r="O2779" i="1"/>
  <c r="O2783" i="1"/>
  <c r="O2787" i="1"/>
  <c r="O2791" i="1"/>
  <c r="O2795" i="1"/>
  <c r="O2799" i="1"/>
  <c r="O2803" i="1"/>
  <c r="O2807" i="1"/>
  <c r="O2811" i="1"/>
  <c r="O2815" i="1"/>
  <c r="O2819" i="1"/>
  <c r="O2823" i="1"/>
  <c r="O2827" i="1"/>
  <c r="O2831" i="1"/>
  <c r="O2835" i="1"/>
  <c r="O2839" i="1"/>
  <c r="O2843" i="1"/>
  <c r="O2847" i="1"/>
  <c r="O2851" i="1"/>
  <c r="O2855" i="1"/>
  <c r="O2859" i="1"/>
  <c r="O2863" i="1"/>
  <c r="O2867" i="1"/>
  <c r="O2871" i="1"/>
  <c r="O2875" i="1"/>
  <c r="O2879" i="1"/>
  <c r="O2883" i="1"/>
  <c r="O2887" i="1"/>
  <c r="O2891" i="1"/>
  <c r="O2895" i="1"/>
  <c r="O2899" i="1"/>
  <c r="O2903" i="1"/>
  <c r="O2907" i="1"/>
  <c r="O2911" i="1"/>
  <c r="O2915" i="1"/>
  <c r="O2919" i="1"/>
  <c r="O2923" i="1"/>
  <c r="O2927" i="1"/>
  <c r="O2931" i="1"/>
  <c r="O2935" i="1"/>
  <c r="O2939" i="1"/>
  <c r="O2943" i="1"/>
  <c r="O2947" i="1"/>
  <c r="O2951" i="1"/>
  <c r="O2954" i="1"/>
  <c r="O2958" i="1"/>
  <c r="O2962" i="1"/>
  <c r="O2966" i="1"/>
  <c r="O2970" i="1"/>
  <c r="O2974" i="1"/>
  <c r="O2978" i="1"/>
  <c r="O2982" i="1"/>
  <c r="O2986" i="1"/>
  <c r="O2990" i="1"/>
  <c r="O2994" i="1"/>
  <c r="O2997" i="1"/>
  <c r="O3001" i="1"/>
  <c r="O3005" i="1"/>
  <c r="O3009" i="1"/>
  <c r="O3013" i="1"/>
  <c r="O3017" i="1"/>
  <c r="O3021" i="1"/>
  <c r="O3025" i="1"/>
  <c r="O3029" i="1"/>
  <c r="O3033" i="1"/>
  <c r="O3037" i="1"/>
  <c r="O3041" i="1"/>
  <c r="O3045" i="1"/>
  <c r="O3049" i="1"/>
  <c r="O3053" i="1"/>
  <c r="O3057" i="1"/>
  <c r="O3061" i="1"/>
  <c r="O3065" i="1"/>
  <c r="O3069" i="1"/>
  <c r="O3073" i="1"/>
  <c r="O3077" i="1"/>
  <c r="O3081" i="1"/>
  <c r="O3085" i="1"/>
  <c r="O3089" i="1"/>
  <c r="O3093" i="1"/>
  <c r="O3097" i="1"/>
  <c r="O3101" i="1"/>
  <c r="O3105" i="1"/>
  <c r="O3109" i="1"/>
  <c r="O3113" i="1"/>
  <c r="O3117" i="1"/>
  <c r="O3121" i="1"/>
  <c r="O3125" i="1"/>
  <c r="O3129" i="1"/>
  <c r="O3133" i="1"/>
  <c r="O3137" i="1"/>
  <c r="O3141" i="1"/>
  <c r="O3145" i="1"/>
  <c r="O3149" i="1"/>
  <c r="O3153" i="1"/>
  <c r="O3157" i="1"/>
  <c r="O3161" i="1"/>
  <c r="O3165" i="1"/>
  <c r="O3169" i="1"/>
  <c r="O3173" i="1"/>
  <c r="O3177" i="1"/>
  <c r="O3181" i="1"/>
  <c r="O3185" i="1"/>
  <c r="O3189" i="1"/>
  <c r="L12" i="2"/>
  <c r="I12" i="2"/>
  <c r="J63" i="2" l="1"/>
  <c r="J59" i="2"/>
  <c r="J55" i="2"/>
  <c r="J51" i="2"/>
  <c r="J47" i="2"/>
  <c r="J43" i="2"/>
  <c r="J39" i="2"/>
  <c r="J35" i="2"/>
  <c r="J31" i="2"/>
  <c r="J27" i="2"/>
  <c r="J23" i="2"/>
  <c r="J19" i="2"/>
  <c r="J15" i="2"/>
  <c r="J62" i="2"/>
  <c r="J58" i="2"/>
  <c r="M58" i="2" s="1"/>
  <c r="S53" i="1" s="1"/>
  <c r="J54" i="2"/>
  <c r="J50" i="2"/>
  <c r="J46" i="2"/>
  <c r="J42" i="2"/>
  <c r="J38" i="2"/>
  <c r="J34" i="2"/>
  <c r="J30" i="2"/>
  <c r="J26" i="2"/>
  <c r="M26" i="2" s="1"/>
  <c r="S21" i="1" s="1"/>
  <c r="J22" i="2"/>
  <c r="J18" i="2"/>
  <c r="J14" i="2"/>
  <c r="J61" i="2"/>
  <c r="J57" i="2"/>
  <c r="M57" i="2" s="1"/>
  <c r="S52" i="1" s="1"/>
  <c r="J53" i="2"/>
  <c r="J49" i="2"/>
  <c r="J45" i="2"/>
  <c r="M45" i="2" s="1"/>
  <c r="S40" i="1" s="1"/>
  <c r="J41" i="2"/>
  <c r="M41" i="2" s="1"/>
  <c r="S36" i="1" s="1"/>
  <c r="J37" i="2"/>
  <c r="J33" i="2"/>
  <c r="J29" i="2"/>
  <c r="M29" i="2" s="1"/>
  <c r="S24" i="1" s="1"/>
  <c r="J25" i="2"/>
  <c r="M25" i="2" s="1"/>
  <c r="S20" i="1" s="1"/>
  <c r="J21" i="2"/>
  <c r="M21" i="2" s="1"/>
  <c r="S16" i="1" s="1"/>
  <c r="J17" i="2"/>
  <c r="M17" i="2" s="1"/>
  <c r="S12" i="1" s="1"/>
  <c r="J60" i="2"/>
  <c r="M60" i="2" s="1"/>
  <c r="S55" i="1" s="1"/>
  <c r="J56" i="2"/>
  <c r="M56" i="2" s="1"/>
  <c r="S51" i="1" s="1"/>
  <c r="J52" i="2"/>
  <c r="M52" i="2" s="1"/>
  <c r="S47" i="1" s="1"/>
  <c r="J48" i="2"/>
  <c r="M48" i="2" s="1"/>
  <c r="S43" i="1" s="1"/>
  <c r="J44" i="2"/>
  <c r="M44" i="2" s="1"/>
  <c r="S39" i="1" s="1"/>
  <c r="J40" i="2"/>
  <c r="M40" i="2" s="1"/>
  <c r="S35" i="1" s="1"/>
  <c r="J36" i="2"/>
  <c r="M36" i="2" s="1"/>
  <c r="S31" i="1" s="1"/>
  <c r="J32" i="2"/>
  <c r="M32" i="2" s="1"/>
  <c r="S27" i="1" s="1"/>
  <c r="J28" i="2"/>
  <c r="M28" i="2" s="1"/>
  <c r="S23" i="1" s="1"/>
  <c r="J24" i="2"/>
  <c r="M24" i="2" s="1"/>
  <c r="S19" i="1" s="1"/>
  <c r="J20" i="2"/>
  <c r="M20" i="2" s="1"/>
  <c r="S15" i="1" s="1"/>
  <c r="J16" i="2"/>
  <c r="M16" i="2" s="1"/>
  <c r="S11" i="1" s="1"/>
  <c r="G65" i="2"/>
  <c r="M63" i="2"/>
  <c r="M14" i="2"/>
  <c r="S9" i="1" s="1"/>
  <c r="M22" i="2"/>
  <c r="S17" i="1" s="1"/>
  <c r="M30" i="2"/>
  <c r="S25" i="1" s="1"/>
  <c r="M34" i="2"/>
  <c r="S29" i="1" s="1"/>
  <c r="M38" i="2"/>
  <c r="S33" i="1" s="1"/>
  <c r="M50" i="2"/>
  <c r="S45" i="1" s="1"/>
  <c r="M54" i="2"/>
  <c r="S49" i="1" s="1"/>
  <c r="M62" i="2"/>
  <c r="S57" i="1" s="1"/>
  <c r="M53" i="2"/>
  <c r="S48" i="1" s="1"/>
  <c r="M15" i="2"/>
  <c r="S10" i="1" s="1"/>
  <c r="M19" i="2"/>
  <c r="S14" i="1" s="1"/>
  <c r="M23" i="2"/>
  <c r="S18" i="1" s="1"/>
  <c r="M27" i="2"/>
  <c r="S22" i="1" s="1"/>
  <c r="M31" i="2"/>
  <c r="S26" i="1" s="1"/>
  <c r="M35" i="2"/>
  <c r="S30" i="1" s="1"/>
  <c r="M39" i="2"/>
  <c r="S34" i="1" s="1"/>
  <c r="M43" i="2"/>
  <c r="S38" i="1" s="1"/>
  <c r="M47" i="2"/>
  <c r="S42" i="1" s="1"/>
  <c r="M51" i="2"/>
  <c r="S46" i="1" s="1"/>
  <c r="M55" i="2"/>
  <c r="S50" i="1" s="1"/>
  <c r="M59" i="2"/>
  <c r="S54" i="1" s="1"/>
  <c r="M61" i="2"/>
  <c r="S56" i="1" s="1"/>
  <c r="M33" i="2"/>
  <c r="S28" i="1" s="1"/>
  <c r="M37" i="2"/>
  <c r="S32" i="1" s="1"/>
  <c r="M49" i="2"/>
  <c r="S44" i="1" s="1"/>
  <c r="F5" i="1"/>
  <c r="M46" i="2"/>
  <c r="S41" i="1" s="1"/>
  <c r="M42" i="2"/>
  <c r="S37" i="1" s="1"/>
  <c r="M18" i="2"/>
  <c r="S13" i="1" s="1"/>
  <c r="J65" i="2" l="1"/>
  <c r="M65" i="2" s="1"/>
  <c r="B5" i="5"/>
  <c r="F5" i="5"/>
  <c r="D5" i="5"/>
  <c r="L5" i="2"/>
</calcChain>
</file>

<file path=xl/comments1.xml><?xml version="1.0" encoding="utf-8"?>
<comments xmlns="http://schemas.openxmlformats.org/spreadsheetml/2006/main">
  <authors>
    <author>Benjamin Mercier</author>
  </authors>
  <commentList>
    <comment ref="D5" authorId="0" shapeId="0">
      <text>
        <r>
          <rPr>
            <b/>
            <sz val="9"/>
            <color indexed="81"/>
            <rFont val="Tahoma"/>
            <family val="2"/>
          </rPr>
          <t>Benjamin Mercier:</t>
        </r>
        <r>
          <rPr>
            <sz val="9"/>
            <color indexed="81"/>
            <rFont val="Tahoma"/>
            <family val="2"/>
          </rPr>
          <t xml:space="preserve">
format mdyyyy</t>
        </r>
      </text>
    </comment>
  </commentList>
</comments>
</file>

<file path=xl/comments2.xml><?xml version="1.0" encoding="utf-8"?>
<comments xmlns="http://schemas.openxmlformats.org/spreadsheetml/2006/main">
  <authors>
    <author>John Hackett</author>
    <author>Bill Allen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Format MMDDYYYY, DDMMYYYY, or YYYYMMDD
Be sure to select the correct date format option in SAP to match your choice here.</t>
        </r>
      </text>
    </comment>
    <comment ref="B4" authorId="0" shapeId="0">
      <text>
        <r>
          <rPr>
            <b/>
            <sz val="8"/>
            <color indexed="81"/>
            <rFont val="Tahoma"/>
            <family val="2"/>
          </rPr>
          <t>Enter a valid document type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a valid company code</t>
        </r>
      </text>
    </comment>
    <comment ref="D4" authorId="0" shapeId="0">
      <text>
        <r>
          <rPr>
            <b/>
            <sz val="8"/>
            <color indexed="81"/>
            <rFont val="Tahoma"/>
            <family val="2"/>
          </rPr>
          <t>Format MMDDYYYY, DDMMYYYY, or YYYYMMDD</t>
        </r>
      </text>
    </comment>
    <comment ref="E4" authorId="0" shapeId="0">
      <text>
        <r>
          <rPr>
            <b/>
            <sz val="8"/>
            <color indexed="81"/>
            <rFont val="Tahoma"/>
            <family val="2"/>
          </rPr>
          <t>Numeric indicator of posting month (1-12)</t>
        </r>
      </text>
    </comment>
    <comment ref="F4" authorId="0" shapeId="0">
      <text>
        <r>
          <rPr>
            <b/>
            <sz val="8"/>
            <color indexed="81"/>
            <rFont val="Tahoma"/>
            <family val="2"/>
          </rPr>
          <t>Valid 3-character currency code, e.g. USD</t>
        </r>
      </text>
    </comment>
    <comment ref="G4" authorId="0" shapeId="0">
      <text>
        <r>
          <rPr>
            <b/>
            <sz val="8"/>
            <color indexed="81"/>
            <rFont val="Tahoma"/>
            <family val="2"/>
          </rPr>
          <t>Optional field</t>
        </r>
      </text>
    </comment>
    <comment ref="H4" authorId="0" shapeId="0">
      <text>
        <r>
          <rPr>
            <b/>
            <sz val="8"/>
            <color indexed="81"/>
            <rFont val="Tahoma"/>
            <family val="2"/>
          </rPr>
          <t>Overall journal description</t>
        </r>
      </text>
    </comment>
    <comment ref="I4" authorId="0" shapeId="0">
      <text>
        <r>
          <rPr>
            <b/>
            <sz val="8"/>
            <color indexed="81"/>
            <rFont val="Tahoma"/>
            <family val="2"/>
          </rPr>
          <t>40=debit; 50=credit
Automatically selected based on Debit or Credit entry in cols K-L.
An error message will appear if amounts are entered in both the debit and credit columns.</t>
        </r>
      </text>
    </comment>
    <comment ref="J4" authorId="0" shapeId="0">
      <text>
        <r>
          <rPr>
            <b/>
            <sz val="8"/>
            <color indexed="81"/>
            <rFont val="Tahoma"/>
            <family val="2"/>
          </rPr>
          <t>Account number (up to 10 digits)</t>
        </r>
      </text>
    </comment>
    <comment ref="K4" authorId="0" shapeId="0">
      <text>
        <r>
          <rPr>
            <b/>
            <sz val="8"/>
            <color indexed="81"/>
            <rFont val="Tahoma"/>
            <family val="2"/>
          </rPr>
          <t>No commas or currency symbols in amounts.  Posting key must be 40.</t>
        </r>
      </text>
    </comment>
    <comment ref="L4" authorId="0" shapeId="0">
      <text>
        <r>
          <rPr>
            <b/>
            <sz val="8"/>
            <color indexed="81"/>
            <rFont val="Tahoma"/>
            <family val="2"/>
          </rPr>
          <t>No commas or currency symbols in amounts. Posting key must be 50.</t>
        </r>
      </text>
    </comment>
    <comment ref="M4" authorId="0" shapeId="0">
      <text>
        <r>
          <rPr>
            <b/>
            <sz val="8"/>
            <color indexed="81"/>
            <rFont val="Tahoma"/>
            <family val="2"/>
          </rPr>
          <t>Enter a valid cost center number</t>
        </r>
      </text>
    </comment>
    <comment ref="N4" authorId="0" shapeId="0">
      <text>
        <r>
          <rPr>
            <b/>
            <sz val="8"/>
            <color indexed="81"/>
            <rFont val="Tahoma"/>
            <family val="2"/>
          </rPr>
          <t>Entered for each line item</t>
        </r>
      </text>
    </comment>
    <comment ref="O4" authorId="0" shapeId="0">
      <text>
        <r>
          <rPr>
            <b/>
            <sz val="8"/>
            <color indexed="81"/>
            <rFont val="Tahoma"/>
            <family val="2"/>
          </rPr>
          <t>Text files 25 char; CSV files 50 char</t>
        </r>
      </text>
    </comment>
    <comment ref="P4" authorId="0" shapeId="0">
      <text>
        <r>
          <rPr>
            <b/>
            <sz val="8"/>
            <color indexed="81"/>
            <rFont val="Tahoma"/>
            <family val="2"/>
          </rPr>
          <t>Used with expenses only</t>
        </r>
      </text>
    </comment>
    <comment ref="Q4" authorId="0" shapeId="0">
      <text>
        <r>
          <rPr>
            <b/>
            <sz val="8"/>
            <color indexed="81"/>
            <rFont val="Tahoma"/>
            <family val="2"/>
          </rPr>
          <t>Work breakdown structure (expenses only)</t>
        </r>
      </text>
    </comment>
    <comment ref="R4" authorId="0" shapeId="0">
      <text>
        <r>
          <rPr>
            <b/>
            <sz val="8"/>
            <color indexed="81"/>
            <rFont val="Tahoma"/>
            <family val="2"/>
          </rPr>
          <t>3 decimals (99.999) No negatives</t>
        </r>
      </text>
    </comment>
    <comment ref="S4" authorId="0" shapeId="0">
      <text>
        <r>
          <rPr>
            <b/>
            <sz val="8"/>
            <color indexed="81"/>
            <rFont val="Tahoma"/>
            <family val="2"/>
          </rPr>
          <t>3-character unit of measure</t>
        </r>
      </text>
    </comment>
    <comment ref="T4" authorId="0" shapeId="0">
      <text>
        <r>
          <rPr>
            <b/>
            <sz val="8"/>
            <color indexed="81"/>
            <rFont val="Tahoma"/>
            <family val="2"/>
          </rPr>
          <t>Enter a valid material number</t>
        </r>
      </text>
    </comment>
    <comment ref="U4" authorId="0" shapeId="0">
      <text>
        <r>
          <rPr>
            <b/>
            <sz val="8"/>
            <color indexed="81"/>
            <rFont val="Tahoma"/>
            <family val="2"/>
          </rPr>
          <t>4-digit plant code-must use leading zero</t>
        </r>
      </text>
    </comment>
    <comment ref="V4" authorId="0" shapeId="0">
      <text>
        <r>
          <rPr>
            <b/>
            <sz val="8"/>
            <color indexed="81"/>
            <rFont val="Tahoma"/>
            <family val="2"/>
          </rPr>
          <t>Line item co. code if different from header</t>
        </r>
      </text>
    </comment>
    <comment ref="W4" authorId="0" shapeId="0">
      <text>
        <r>
          <rPr>
            <b/>
            <sz val="8"/>
            <color indexed="81"/>
            <rFont val="Tahoma"/>
            <family val="2"/>
          </rPr>
          <t>4-digit business area</t>
        </r>
      </text>
    </comment>
    <comment ref="X4" authorId="0" shapeId="0">
      <text>
        <r>
          <rPr>
            <b/>
            <sz val="8"/>
            <color indexed="81"/>
            <rFont val="Tahoma"/>
            <family val="2"/>
          </rPr>
          <t>Sending location number (ICC transactions)</t>
        </r>
      </text>
    </comment>
    <comment ref="Y4" authorId="0" shapeId="0">
      <text>
        <r>
          <rPr>
            <b/>
            <sz val="8"/>
            <color indexed="81"/>
            <rFont val="Tahoma"/>
            <family val="2"/>
          </rPr>
          <t>Trading partner profit center</t>
        </r>
      </text>
    </comment>
    <comment ref="Z4" authorId="0" shapeId="0">
      <text>
        <r>
          <rPr>
            <b/>
            <sz val="8"/>
            <color indexed="81"/>
            <rFont val="Tahoma"/>
            <family val="2"/>
          </rPr>
          <t>Personnel number (not shown on report)</t>
        </r>
      </text>
    </comment>
    <comment ref="AA4" authorId="0" shapeId="0">
      <text>
        <r>
          <rPr>
            <b/>
            <sz val="8"/>
            <color indexed="81"/>
            <rFont val="Tahoma"/>
            <family val="2"/>
          </rPr>
          <t>Valid 2-character tax/ VAT code (not shown on report)</t>
        </r>
      </text>
    </comment>
    <comment ref="AB4" authorId="1" shapeId="0">
      <text>
        <r>
          <rPr>
            <b/>
            <sz val="9"/>
            <color indexed="81"/>
            <rFont val="Tahoma"/>
            <family val="2"/>
            <charset val="238"/>
          </rPr>
          <t>3-digit Transaction Type for balance sheet accounts that require it.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C4" authorId="0" shapeId="0">
      <text>
        <r>
          <rPr>
            <b/>
            <sz val="8"/>
            <color indexed="81"/>
            <rFont val="Tahoma"/>
            <family val="2"/>
          </rPr>
          <t>No commas or currency symbols in amounts</t>
        </r>
      </text>
    </comment>
    <comment ref="AD4" authorId="0" shapeId="0">
      <text>
        <r>
          <rPr>
            <b/>
            <sz val="8"/>
            <color indexed="81"/>
            <rFont val="Tahoma"/>
            <family val="2"/>
          </rPr>
          <t>No commas or currency symbols in amounts</t>
        </r>
      </text>
    </comment>
    <comment ref="AE4" authorId="0" shapeId="0">
      <text>
        <r>
          <rPr>
            <b/>
            <sz val="8"/>
            <color indexed="81"/>
            <rFont val="Tahoma"/>
            <family val="2"/>
          </rPr>
          <t>For account that require Value Date.  Same format as Posting Date.</t>
        </r>
      </text>
    </comment>
  </commentList>
</comments>
</file>

<file path=xl/sharedStrings.xml><?xml version="1.0" encoding="utf-8"?>
<sst xmlns="http://schemas.openxmlformats.org/spreadsheetml/2006/main" count="8292" uniqueCount="1073">
  <si>
    <t>99</t>
  </si>
  <si>
    <t/>
  </si>
  <si>
    <t>143</t>
  </si>
  <si>
    <t>FR07</t>
  </si>
  <si>
    <t>132</t>
  </si>
  <si>
    <t>FR05</t>
  </si>
  <si>
    <t>149</t>
  </si>
  <si>
    <t>FR14</t>
  </si>
  <si>
    <t>298</t>
  </si>
  <si>
    <t>IP50</t>
  </si>
  <si>
    <t>CD32</t>
  </si>
  <si>
    <t>979</t>
  </si>
  <si>
    <t>FR08</t>
  </si>
  <si>
    <t>994</t>
  </si>
  <si>
    <t>FR06</t>
  </si>
  <si>
    <t>995</t>
  </si>
  <si>
    <t>FR03</t>
  </si>
  <si>
    <t>998</t>
  </si>
  <si>
    <t>BE04</t>
  </si>
  <si>
    <t>FR10</t>
  </si>
  <si>
    <t>PL10</t>
  </si>
  <si>
    <t>BE08</t>
  </si>
  <si>
    <t>7032</t>
  </si>
  <si>
    <t>FR48</t>
  </si>
  <si>
    <t>8530</t>
  </si>
  <si>
    <t>8913</t>
  </si>
  <si>
    <t>LU03</t>
  </si>
  <si>
    <t>Profit Center</t>
  </si>
  <si>
    <t>Partner Profit Ctr</t>
  </si>
  <si>
    <t>G/L Account</t>
  </si>
  <si>
    <t>PC Posting Date</t>
  </si>
  <si>
    <t>PPC Posting Date</t>
  </si>
  <si>
    <t>PC Balance(Doc)</t>
  </si>
  <si>
    <t>PPC Balance(Doc)</t>
  </si>
  <si>
    <t>PC Fiscal Year</t>
  </si>
  <si>
    <t>PPC Fiscal Year</t>
  </si>
  <si>
    <t>PPC Text</t>
  </si>
  <si>
    <t>Variance(Doc)</t>
  </si>
  <si>
    <t>Row Labels</t>
  </si>
  <si>
    <t>Grand Total</t>
  </si>
  <si>
    <t>(Multiple Items)</t>
  </si>
  <si>
    <t>Sum of PC Balance(Doc)</t>
  </si>
  <si>
    <t>FR</t>
  </si>
  <si>
    <t>US</t>
  </si>
  <si>
    <t>BE</t>
  </si>
  <si>
    <t>LU</t>
  </si>
  <si>
    <t>PL</t>
  </si>
  <si>
    <t>Plant</t>
  </si>
  <si>
    <t xml:space="preserve">Chalon Plant                   </t>
  </si>
  <si>
    <t>Arles (Mediter. D'emballage) (L</t>
  </si>
  <si>
    <t xml:space="preserve">Espaly Plant                   </t>
  </si>
  <si>
    <t xml:space="preserve">Mortagne Plant                 </t>
  </si>
  <si>
    <t xml:space="preserve">Creil Plant                    </t>
  </si>
  <si>
    <t xml:space="preserve">Head Office France             </t>
  </si>
  <si>
    <t xml:space="preserve">SGCO                           </t>
  </si>
  <si>
    <t xml:space="preserve">Montauban Cartons              </t>
  </si>
  <si>
    <t>IP Papier et Carton (IPCP)</t>
  </si>
  <si>
    <t xml:space="preserve">Containerboard                 </t>
  </si>
  <si>
    <t xml:space="preserve">IP Belgian Services Company    </t>
  </si>
  <si>
    <t xml:space="preserve">IP Professional Services Corp  </t>
  </si>
  <si>
    <t xml:space="preserve">IP Corporate General Ledger    </t>
  </si>
  <si>
    <t xml:space="preserve">IP (Europe) SARL - Treasury    </t>
  </si>
  <si>
    <t xml:space="preserve">IP Polska Sp. z o.o. - IT      </t>
  </si>
  <si>
    <t>US GAAP Adj-IP Ploska Euro Paper</t>
  </si>
  <si>
    <t>US GAAP Adj-IP Ploska Sp. z o.o</t>
  </si>
  <si>
    <t xml:space="preserve">International Paper Benelux    </t>
  </si>
  <si>
    <t xml:space="preserve">IP France Inc                  </t>
  </si>
  <si>
    <t>IP Polska Sp. z o.o.-European Paper</t>
  </si>
  <si>
    <t>PC</t>
  </si>
  <si>
    <t>Country</t>
  </si>
  <si>
    <t>CC</t>
  </si>
  <si>
    <t>Sum of data</t>
  </si>
  <si>
    <t>Difference</t>
  </si>
  <si>
    <t>Amount</t>
  </si>
  <si>
    <t>Document Date</t>
  </si>
  <si>
    <t>Posting Date</t>
  </si>
  <si>
    <t>Reference</t>
  </si>
  <si>
    <t>Document Number</t>
  </si>
  <si>
    <t>Document Type</t>
  </si>
  <si>
    <t>Amount in local currency</t>
  </si>
  <si>
    <t>Local Currency</t>
  </si>
  <si>
    <t>Amount in doc. curr.</t>
  </si>
  <si>
    <t>Text</t>
  </si>
  <si>
    <t>EUR</t>
  </si>
  <si>
    <t>Numero de facture</t>
  </si>
  <si>
    <t>Date de facture</t>
  </si>
  <si>
    <t>Montant</t>
  </si>
  <si>
    <t>Expediteur</t>
  </si>
  <si>
    <t>Destinataire</t>
  </si>
  <si>
    <t>Libelle</t>
  </si>
  <si>
    <t>6799</t>
  </si>
  <si>
    <t>6798</t>
  </si>
  <si>
    <t>PPC</t>
  </si>
  <si>
    <t>PC Doc Number</t>
  </si>
  <si>
    <t>PPC Doc Numb</t>
  </si>
  <si>
    <t>5300550</t>
  </si>
  <si>
    <t>602197</t>
  </si>
  <si>
    <t>5200550</t>
  </si>
  <si>
    <t>600094</t>
  </si>
  <si>
    <t>5200500</t>
  </si>
  <si>
    <t>5300500</t>
  </si>
  <si>
    <t>651871</t>
  </si>
  <si>
    <t>602211</t>
  </si>
  <si>
    <t>605229</t>
  </si>
  <si>
    <t>Comp Code</t>
  </si>
  <si>
    <t>BR21</t>
  </si>
  <si>
    <t>FR02</t>
  </si>
  <si>
    <t>FR04</t>
  </si>
  <si>
    <t>UK05</t>
  </si>
  <si>
    <t>BR</t>
  </si>
  <si>
    <t>GB</t>
  </si>
  <si>
    <t xml:space="preserve">Chantilly Plant               </t>
  </si>
  <si>
    <t xml:space="preserve">IP Information Systems EITC   </t>
  </si>
  <si>
    <t xml:space="preserve">Etienne Mill                  </t>
  </si>
  <si>
    <t xml:space="preserve">IP - Manaus Corporate US GAAP </t>
  </si>
  <si>
    <t xml:space="preserve">ECD Division Securitization   </t>
  </si>
  <si>
    <t xml:space="preserve">Head Office France FR GAAP    </t>
  </si>
  <si>
    <t>--&gt; Chose the below data</t>
  </si>
  <si>
    <t>SAP Transaction:</t>
  </si>
  <si>
    <t>ZGLINTC</t>
  </si>
  <si>
    <t>Parametres</t>
  </si>
  <si>
    <t>Profit Center:</t>
  </si>
  <si>
    <t>Date of Open Items:</t>
  </si>
  <si>
    <t xml:space="preserve">FBL3N </t>
  </si>
  <si>
    <t>Sum of PPC Balance(Doc)</t>
  </si>
  <si>
    <t>General Check:</t>
  </si>
  <si>
    <t>--&gt; Control</t>
  </si>
  <si>
    <t>999SA</t>
  </si>
  <si>
    <t>ES05</t>
  </si>
  <si>
    <t>IT02</t>
  </si>
  <si>
    <t>IT11</t>
  </si>
  <si>
    <t>MA20</t>
  </si>
  <si>
    <t>BE02</t>
  </si>
  <si>
    <t>FR15</t>
  </si>
  <si>
    <t>FR31</t>
  </si>
  <si>
    <t>FR43</t>
  </si>
  <si>
    <t>NL02</t>
  </si>
  <si>
    <t>NL09</t>
  </si>
  <si>
    <t>IB08</t>
  </si>
  <si>
    <t>ES</t>
  </si>
  <si>
    <t>IT</t>
  </si>
  <si>
    <t>MA</t>
  </si>
  <si>
    <t>NL</t>
  </si>
  <si>
    <t xml:space="preserve">Barcelona                      </t>
  </si>
  <si>
    <t xml:space="preserve">Etienne Mill FR GAAP           </t>
  </si>
  <si>
    <t xml:space="preserve">Espaly Securitization          </t>
  </si>
  <si>
    <t xml:space="preserve">SGCO - FR GAAP   </t>
  </si>
  <si>
    <t xml:space="preserve">Container Italia Head Office   </t>
  </si>
  <si>
    <t xml:space="preserve">Cont Italia Head Office Per 13 </t>
  </si>
  <si>
    <t xml:space="preserve">Region US GAAP                 </t>
  </si>
  <si>
    <t xml:space="preserve">Agadir Box Plant US GAAP       </t>
  </si>
  <si>
    <t xml:space="preserve">Casablanca Headquarters USGAAP </t>
  </si>
  <si>
    <t xml:space="preserve">IP (Europe) S.a r.l. (LTC)     </t>
  </si>
  <si>
    <t xml:space="preserve">Polyrey-Couze Plant            </t>
  </si>
  <si>
    <t xml:space="preserve">International Paper SA         </t>
  </si>
  <si>
    <t xml:space="preserve">Saillat Mill                   </t>
  </si>
  <si>
    <t xml:space="preserve">Soho                           </t>
  </si>
  <si>
    <t xml:space="preserve">Societe Papetiere et Cartonnie </t>
  </si>
  <si>
    <t xml:space="preserve">SIPF SA                        </t>
  </si>
  <si>
    <t xml:space="preserve">Papeteries de Maresquel        </t>
  </si>
  <si>
    <t xml:space="preserve">IP Netherlands BV              </t>
  </si>
  <si>
    <t xml:space="preserve">IP Dutch Services B.V.         </t>
  </si>
  <si>
    <t>IP Foodservice EuropeLtd USGAAP</t>
  </si>
  <si>
    <t xml:space="preserve">xpedx Intl - RIM      </t>
  </si>
  <si>
    <t>Document currency</t>
  </si>
  <si>
    <t>User name</t>
  </si>
  <si>
    <t>14308CIGNA</t>
  </si>
  <si>
    <t>14309WEIC</t>
  </si>
  <si>
    <t>IP Papier et Carton (IPCP) FR GAAP  8317</t>
  </si>
  <si>
    <t>5200600</t>
  </si>
  <si>
    <t>655558</t>
  </si>
  <si>
    <t>2004</t>
  </si>
  <si>
    <t>600000004</t>
  </si>
  <si>
    <t>2003</t>
  </si>
  <si>
    <t>600000003</t>
  </si>
  <si>
    <t>600000005</t>
  </si>
  <si>
    <t>2002</t>
  </si>
  <si>
    <t>2007</t>
  </si>
  <si>
    <t>5300600</t>
  </si>
  <si>
    <t>1</t>
  </si>
  <si>
    <t>5100001</t>
  </si>
  <si>
    <t>601483</t>
  </si>
  <si>
    <t>2014</t>
  </si>
  <si>
    <t>Balance Control TP             UK01 0001</t>
  </si>
  <si>
    <t>606502</t>
  </si>
  <si>
    <t>2012</t>
  </si>
  <si>
    <t>600487</t>
  </si>
  <si>
    <t>2008</t>
  </si>
  <si>
    <t>605411</t>
  </si>
  <si>
    <t>Arles (Mediter. D'emballage) (LE)   0132</t>
  </si>
  <si>
    <t>142</t>
  </si>
  <si>
    <t>Chantilly Plant                FR04 0142</t>
  </si>
  <si>
    <t>2006</t>
  </si>
  <si>
    <t>600039</t>
  </si>
  <si>
    <t>2005</t>
  </si>
  <si>
    <t>600027</t>
  </si>
  <si>
    <t>600025</t>
  </si>
  <si>
    <t>600017</t>
  </si>
  <si>
    <t>600014</t>
  </si>
  <si>
    <t>600001</t>
  </si>
  <si>
    <t>601486</t>
  </si>
  <si>
    <t>601466</t>
  </si>
  <si>
    <t>600138</t>
  </si>
  <si>
    <t>600119</t>
  </si>
  <si>
    <t>600007</t>
  </si>
  <si>
    <t>601479</t>
  </si>
  <si>
    <t>601477</t>
  </si>
  <si>
    <t>600033</t>
  </si>
  <si>
    <t>600037</t>
  </si>
  <si>
    <t>600044</t>
  </si>
  <si>
    <t>600003</t>
  </si>
  <si>
    <t>601472</t>
  </si>
  <si>
    <t>600167</t>
  </si>
  <si>
    <t>600164</t>
  </si>
  <si>
    <t>600163</t>
  </si>
  <si>
    <t>600152</t>
  </si>
  <si>
    <t>600020</t>
  </si>
  <si>
    <t>600021</t>
  </si>
  <si>
    <t>600010</t>
  </si>
  <si>
    <t>600200</t>
  </si>
  <si>
    <t>5001000</t>
  </si>
  <si>
    <t>2017</t>
  </si>
  <si>
    <t>2018</t>
  </si>
  <si>
    <t>2400020856</t>
  </si>
  <si>
    <t>2400020857</t>
  </si>
  <si>
    <t>2400024075</t>
  </si>
  <si>
    <t>2400021240</t>
  </si>
  <si>
    <t>2400021392</t>
  </si>
  <si>
    <t>2400023831</t>
  </si>
  <si>
    <t>2400023830</t>
  </si>
  <si>
    <t>2400021540</t>
  </si>
  <si>
    <t>2400023600</t>
  </si>
  <si>
    <t>2400023599</t>
  </si>
  <si>
    <t>2400023598</t>
  </si>
  <si>
    <t>2400021809</t>
  </si>
  <si>
    <t>2400021810</t>
  </si>
  <si>
    <t>2400021811</t>
  </si>
  <si>
    <t>2400021812</t>
  </si>
  <si>
    <t>2400021908</t>
  </si>
  <si>
    <t>2400022048</t>
  </si>
  <si>
    <t>2400022047</t>
  </si>
  <si>
    <t>2400021921</t>
  </si>
  <si>
    <t>2400021910</t>
  </si>
  <si>
    <t>2400021909</t>
  </si>
  <si>
    <t>2400020807</t>
  </si>
  <si>
    <t>2400020518</t>
  </si>
  <si>
    <t>2400020519</t>
  </si>
  <si>
    <t>2400020520</t>
  </si>
  <si>
    <t>2400020552</t>
  </si>
  <si>
    <t>2400020609</t>
  </si>
  <si>
    <t>2400020657</t>
  </si>
  <si>
    <t>2400020658</t>
  </si>
  <si>
    <t>2400020659</t>
  </si>
  <si>
    <t>2400020678</t>
  </si>
  <si>
    <t>2400020679</t>
  </si>
  <si>
    <t>2400020680</t>
  </si>
  <si>
    <t>2400020681</t>
  </si>
  <si>
    <t>2400020733</t>
  </si>
  <si>
    <t>1410080301</t>
  </si>
  <si>
    <t>1410080215</t>
  </si>
  <si>
    <t>1410080213</t>
  </si>
  <si>
    <t>1410080212</t>
  </si>
  <si>
    <t>1410080210</t>
  </si>
  <si>
    <t>1410080205</t>
  </si>
  <si>
    <t>1410080194</t>
  </si>
  <si>
    <t>1410080193</t>
  </si>
  <si>
    <t>1410080192</t>
  </si>
  <si>
    <t>1410080191</t>
  </si>
  <si>
    <t>1410080167</t>
  </si>
  <si>
    <t>1410080156</t>
  </si>
  <si>
    <t>1410080155</t>
  </si>
  <si>
    <t>1410080154</t>
  </si>
  <si>
    <t>1410080153</t>
  </si>
  <si>
    <t>1410080141</t>
  </si>
  <si>
    <t>1410080140</t>
  </si>
  <si>
    <t>1410080132</t>
  </si>
  <si>
    <t>1410080128</t>
  </si>
  <si>
    <t>1410080122</t>
  </si>
  <si>
    <t>1410080121</t>
  </si>
  <si>
    <t>1410080120</t>
  </si>
  <si>
    <t>1410080119</t>
  </si>
  <si>
    <t>1410080118</t>
  </si>
  <si>
    <t>1410080115</t>
  </si>
  <si>
    <t>1410080109</t>
  </si>
  <si>
    <t>1410080108</t>
  </si>
  <si>
    <t>1410080083</t>
  </si>
  <si>
    <t>1410080042</t>
  </si>
  <si>
    <t>1410080041</t>
  </si>
  <si>
    <t>1410080038</t>
  </si>
  <si>
    <t>1410080356</t>
  </si>
  <si>
    <t>2400022192</t>
  </si>
  <si>
    <t>2400021869</t>
  </si>
  <si>
    <t>2400021787</t>
  </si>
  <si>
    <t>2400021786</t>
  </si>
  <si>
    <t>2400021785</t>
  </si>
  <si>
    <t>2400021784</t>
  </si>
  <si>
    <t>2400021732</t>
  </si>
  <si>
    <t>2400021634</t>
  </si>
  <si>
    <t>2400021501</t>
  </si>
  <si>
    <t>2400021500</t>
  </si>
  <si>
    <t>2400021499</t>
  </si>
  <si>
    <t>2400020769</t>
  </si>
  <si>
    <t>2400020628</t>
  </si>
  <si>
    <t>2400020510</t>
  </si>
  <si>
    <t>2400020422</t>
  </si>
  <si>
    <t>2400020350</t>
  </si>
  <si>
    <t>2400020349</t>
  </si>
  <si>
    <t>2400022193</t>
  </si>
  <si>
    <t>2400022226</t>
  </si>
  <si>
    <t>2400022263</t>
  </si>
  <si>
    <t>2400022264</t>
  </si>
  <si>
    <t>2400022265</t>
  </si>
  <si>
    <t>2400022417</t>
  </si>
  <si>
    <t>2400022627</t>
  </si>
  <si>
    <t>2400022628</t>
  </si>
  <si>
    <t>2400022740</t>
  </si>
  <si>
    <t>2400023110</t>
  </si>
  <si>
    <t>2400023338</t>
  </si>
  <si>
    <t>2400023667</t>
  </si>
  <si>
    <t>2400023668</t>
  </si>
  <si>
    <t>2400023770</t>
  </si>
  <si>
    <t>2400024019</t>
  </si>
  <si>
    <t>2400024327</t>
  </si>
  <si>
    <t>1410080007</t>
  </si>
  <si>
    <t>1410080009</t>
  </si>
  <si>
    <t>1410080043</t>
  </si>
  <si>
    <t>1410080044</t>
  </si>
  <si>
    <t>1410080045</t>
  </si>
  <si>
    <t>1410080051</t>
  </si>
  <si>
    <t>1410080052</t>
  </si>
  <si>
    <t>1410080053</t>
  </si>
  <si>
    <t>1410080054</t>
  </si>
  <si>
    <t>1410080055</t>
  </si>
  <si>
    <t>1410080056</t>
  </si>
  <si>
    <t>1410080057</t>
  </si>
  <si>
    <t>1410080058</t>
  </si>
  <si>
    <t>1410080069</t>
  </si>
  <si>
    <t>1410080070</t>
  </si>
  <si>
    <t>1410080071</t>
  </si>
  <si>
    <t>1410080097</t>
  </si>
  <si>
    <t>1410080098</t>
  </si>
  <si>
    <t>1410080124</t>
  </si>
  <si>
    <t>1410080125</t>
  </si>
  <si>
    <t>1410080126</t>
  </si>
  <si>
    <t>1410080127</t>
  </si>
  <si>
    <t>1410080129</t>
  </si>
  <si>
    <t>1410080130</t>
  </si>
  <si>
    <t>1410080131</t>
  </si>
  <si>
    <t>1410080146</t>
  </si>
  <si>
    <t>1410080149</t>
  </si>
  <si>
    <t>1410080195</t>
  </si>
  <si>
    <t>1410080196</t>
  </si>
  <si>
    <t>1410080197</t>
  </si>
  <si>
    <t>1410080221</t>
  </si>
  <si>
    <t>1410080222</t>
  </si>
  <si>
    <t>1410080354</t>
  </si>
  <si>
    <t>1410080384</t>
  </si>
  <si>
    <t>210</t>
  </si>
  <si>
    <t>IP Information Systems EITC    UK05 0210</t>
  </si>
  <si>
    <t>600199</t>
  </si>
  <si>
    <t>Etienne Mill                   FR02 0298</t>
  </si>
  <si>
    <t>604447</t>
  </si>
  <si>
    <t>SGCO                           FR08 0979</t>
  </si>
  <si>
    <t>600067</t>
  </si>
  <si>
    <t>Espaly Plant                   FR06 0994</t>
  </si>
  <si>
    <t>2400020539</t>
  </si>
  <si>
    <t>602222</t>
  </si>
  <si>
    <t>Chalon Plant                   FR03 0995</t>
  </si>
  <si>
    <t>Head Office France             FR07 0998</t>
  </si>
  <si>
    <t>2016</t>
  </si>
  <si>
    <t>2015</t>
  </si>
  <si>
    <t>606215</t>
  </si>
  <si>
    <t>606072</t>
  </si>
  <si>
    <t>605700</t>
  </si>
  <si>
    <t>IP Polska Sp. z o.o.-European Papers6798</t>
  </si>
  <si>
    <t>IP Belgian Services Company         6799</t>
  </si>
  <si>
    <t>IP Polska Sp. z o.o. - IT      PL10 7032</t>
  </si>
  <si>
    <t>Containerboard                      8530</t>
  </si>
  <si>
    <t>8693</t>
  </si>
  <si>
    <t>IP Foodservice EuropeLtd USGAAP Adj 8693</t>
  </si>
  <si>
    <t>IP (Europe) SARL - Treasury    LU03 8913</t>
  </si>
  <si>
    <t>5001052</t>
  </si>
  <si>
    <t>Consolidation of the data</t>
  </si>
  <si>
    <t>600006</t>
  </si>
  <si>
    <t>6902</t>
  </si>
  <si>
    <t>600004</t>
  </si>
  <si>
    <t>IP Financing France (Hldg Co)  FR44 6902</t>
  </si>
  <si>
    <t>2800025300</t>
  </si>
  <si>
    <t>2800025301</t>
  </si>
  <si>
    <t>2800025426</t>
  </si>
  <si>
    <t>2800025427</t>
  </si>
  <si>
    <t>SA</t>
  </si>
  <si>
    <t>600553</t>
  </si>
  <si>
    <t>2900000503</t>
  </si>
  <si>
    <t>600340</t>
  </si>
  <si>
    <t>600108</t>
  </si>
  <si>
    <t>ZN</t>
  </si>
  <si>
    <t>287</t>
  </si>
  <si>
    <t>Madrid Recycled Cntrbrd Mill US GAAP 287</t>
  </si>
  <si>
    <t>Es10</t>
  </si>
  <si>
    <t>Madrid Recycled Mill</t>
  </si>
  <si>
    <t>1600006873</t>
  </si>
  <si>
    <r>
      <t xml:space="preserve">GFS ADDITIONAL POSTINGS / </t>
    </r>
    <r>
      <rPr>
        <sz val="11"/>
        <color rgb="FF0C7AF2"/>
        <rFont val="Calibri"/>
        <family val="2"/>
        <scheme val="minor"/>
      </rPr>
      <t>Enregistrement comptable complementaire</t>
    </r>
  </si>
  <si>
    <t>INSTRUCTION</t>
  </si>
  <si>
    <r>
      <t xml:space="preserve">The following format should be adhered to in order to allow the GFS team to understand the request and book it quickly and accurately / </t>
    </r>
    <r>
      <rPr>
        <sz val="11"/>
        <color rgb="FF0C7AF2"/>
        <rFont val="Calibri"/>
        <family val="2"/>
        <scheme val="minor"/>
      </rPr>
      <t>Merci de respecter le format suivant afin de garantir un enregistrement comptable par le groupe GFS conforme a vos attentes dans les plus brefs delais.</t>
    </r>
  </si>
  <si>
    <r>
      <t xml:space="preserve">This template will not be posted to SAP if supplied without adequate support or explanation for audit purposes. / </t>
    </r>
    <r>
      <rPr>
        <sz val="11"/>
        <color rgb="FF0C7AF2"/>
        <rFont val="Calibri"/>
        <family val="2"/>
        <scheme val="minor"/>
      </rPr>
      <t>Cette demande de comptabilisation SAP ne pourra pas etre prise en compte sans document justificatif attache ou explication dans un soucis d'audit.</t>
    </r>
  </si>
  <si>
    <t>PERIOD:</t>
  </si>
  <si>
    <t>ENTITY:</t>
  </si>
  <si>
    <t>PROFIT CENTRE:</t>
  </si>
  <si>
    <t>DOCUMENT TYPE</t>
  </si>
  <si>
    <t>DOCUMENT HEADER</t>
  </si>
  <si>
    <t>Reclass</t>
  </si>
  <si>
    <t>NATURE OF TRANSACTION:</t>
  </si>
  <si>
    <r>
      <t xml:space="preserve">E.g. Increase in accrual for T&amp;E due to conference in February/ </t>
    </r>
    <r>
      <rPr>
        <sz val="11"/>
        <color rgb="FF0C7AF2"/>
        <rFont val="Calibri"/>
        <family val="2"/>
        <scheme val="minor"/>
      </rPr>
      <t>par exemple augmentation de la provision des frais de deplacements suite a une conference en fevrier.</t>
    </r>
  </si>
  <si>
    <t xml:space="preserve">reclass </t>
  </si>
  <si>
    <t>ACCOUNT CODE</t>
  </si>
  <si>
    <t>COST CENTRE</t>
  </si>
  <si>
    <t>TPPC (if Applicable)</t>
  </si>
  <si>
    <t>Transaction Type</t>
  </si>
  <si>
    <t>JOURNAL TEXT</t>
  </si>
  <si>
    <t>DEBIT</t>
  </si>
  <si>
    <t>CREDIT</t>
  </si>
  <si>
    <t>Def Fees YTD 06 2018 reclass</t>
  </si>
  <si>
    <t>Please include explanation or any suggestions for how the GFS can identify this additional booking in the future.</t>
  </si>
  <si>
    <t>Merci d'inclure toute explication et suggestion pour savoir comment GFS peut identifier ce genre de transaction dans le futur.</t>
  </si>
  <si>
    <t>PLEASE SEND TO: gfsemea@IPAPER.COM</t>
  </si>
  <si>
    <t>Clearly identify the plant code and company code on all correspondence and include support for the booking.</t>
  </si>
  <si>
    <t>Merci d envoyer ce document a : gfsemea@ipaper.com</t>
  </si>
  <si>
    <t>Merci de clairement preciser le centre de profit et le company code de votre usine dans vos correspondances et d'y inclure tous les documents justificatifs.</t>
  </si>
  <si>
    <t>fa 284337 OPCA 3+ frais CQP Debiasi 5/12/16-27/10/17</t>
  </si>
  <si>
    <t>Begin data entry on row 5.  Hover mouse pointer over row 4 headings to see more info about each item.</t>
  </si>
  <si>
    <t>Ck Bal:</t>
  </si>
  <si>
    <r>
      <t xml:space="preserve">When ready to upload, save file as either a </t>
    </r>
    <r>
      <rPr>
        <b/>
        <sz val="10"/>
        <color theme="1"/>
        <rFont val="Arial"/>
        <family val="2"/>
      </rPr>
      <t xml:space="preserve">comma delimited .CSV or tab delimited .TXT file </t>
    </r>
    <r>
      <rPr>
        <sz val="10"/>
        <color theme="1"/>
        <rFont val="Arial"/>
        <family val="2"/>
      </rPr>
      <t xml:space="preserve"> (the warning about losing formatting or features, it is ok), then close the file and proceed with ZGI108 load of .CSV or .TXT file.</t>
    </r>
  </si>
  <si>
    <t>Header Text (one header per document)</t>
  </si>
  <si>
    <t>Detail Records</t>
  </si>
  <si>
    <t>Document date</t>
  </si>
  <si>
    <t>Document type</t>
  </si>
  <si>
    <t>Company code</t>
  </si>
  <si>
    <t>Posting date</t>
  </si>
  <si>
    <t>Period</t>
  </si>
  <si>
    <t>Currency</t>
  </si>
  <si>
    <t>Reference document</t>
  </si>
  <si>
    <t>Doc. header text</t>
  </si>
  <si>
    <t>Posting key</t>
  </si>
  <si>
    <t>Account</t>
  </si>
  <si>
    <t>Debit amount</t>
  </si>
  <si>
    <t>Credit amount</t>
  </si>
  <si>
    <t>Cost center</t>
  </si>
  <si>
    <t>Profit center</t>
  </si>
  <si>
    <t>Line item text</t>
  </si>
  <si>
    <t>Order</t>
  </si>
  <si>
    <t>WBS</t>
  </si>
  <si>
    <t>Quantity</t>
  </si>
  <si>
    <t>Unit of measure</t>
  </si>
  <si>
    <t>Material number</t>
  </si>
  <si>
    <t>Line item co. code</t>
  </si>
  <si>
    <t>Business area</t>
  </si>
  <si>
    <t>Assignment field</t>
  </si>
  <si>
    <t>Partner PC</t>
  </si>
  <si>
    <t>Personnel No.</t>
  </si>
  <si>
    <t>Tax Code</t>
  </si>
  <si>
    <t>Local Currency Amt</t>
  </si>
  <si>
    <t>Group Currency Amt</t>
  </si>
  <si>
    <t>Value Date</t>
  </si>
  <si>
    <t>BE08ALL00000</t>
  </si>
  <si>
    <t>2800027501</t>
  </si>
  <si>
    <t>1400000006</t>
  </si>
  <si>
    <t>1400000007</t>
  </si>
  <si>
    <t>600482</t>
  </si>
  <si>
    <t>600420</t>
  </si>
  <si>
    <t>607746</t>
  </si>
  <si>
    <t>607674</t>
  </si>
  <si>
    <t>600000015</t>
  </si>
  <si>
    <t>2900001084</t>
  </si>
  <si>
    <t>2019</t>
  </si>
  <si>
    <t>1400000094</t>
  </si>
  <si>
    <t>2900002359</t>
  </si>
  <si>
    <t>2900002308</t>
  </si>
  <si>
    <t>2900001584</t>
  </si>
  <si>
    <t>2900001436</t>
  </si>
  <si>
    <t>2900001437</t>
  </si>
  <si>
    <t>1400000277</t>
  </si>
  <si>
    <t>1400000270</t>
  </si>
  <si>
    <t>1400000299</t>
  </si>
  <si>
    <t>1400000289</t>
  </si>
  <si>
    <t>1600000699</t>
  </si>
  <si>
    <t>1600000698</t>
  </si>
  <si>
    <t>600418</t>
  </si>
  <si>
    <t>2900001370</t>
  </si>
  <si>
    <t>2900001270</t>
  </si>
  <si>
    <t>2900001929</t>
  </si>
  <si>
    <t>2900001924</t>
  </si>
  <si>
    <t>2900001926</t>
  </si>
  <si>
    <t>2900002044</t>
  </si>
  <si>
    <t>2900002156</t>
  </si>
  <si>
    <t>2900002303</t>
  </si>
  <si>
    <t>2900002302</t>
  </si>
  <si>
    <t>2900002297</t>
  </si>
  <si>
    <t>1400000307</t>
  </si>
  <si>
    <t>1400000309</t>
  </si>
  <si>
    <t>1400000305</t>
  </si>
  <si>
    <t>1600000320</t>
  </si>
  <si>
    <t>1600000682</t>
  </si>
  <si>
    <t>1600000684</t>
  </si>
  <si>
    <t>1600000015</t>
  </si>
  <si>
    <t>1600000316</t>
  </si>
  <si>
    <t>1600000314</t>
  </si>
  <si>
    <t>1600000317</t>
  </si>
  <si>
    <t>1600000318</t>
  </si>
  <si>
    <t>1600000027</t>
  </si>
  <si>
    <t>1600000034</t>
  </si>
  <si>
    <t>1600000327</t>
  </si>
  <si>
    <t>1600000016</t>
  </si>
  <si>
    <t>1600000324</t>
  </si>
  <si>
    <t>1600000029</t>
  </si>
  <si>
    <t>1600000328</t>
  </si>
  <si>
    <t>1600000322</t>
  </si>
  <si>
    <t>1600000031</t>
  </si>
  <si>
    <t>1600000329</t>
  </si>
  <si>
    <t>1600000004</t>
  </si>
  <si>
    <t>1600000331</t>
  </si>
  <si>
    <t>1600000192</t>
  </si>
  <si>
    <t>1600000191</t>
  </si>
  <si>
    <t>1600000193</t>
  </si>
  <si>
    <t>1600000567</t>
  </si>
  <si>
    <t>1600000563</t>
  </si>
  <si>
    <t>1600000565</t>
  </si>
  <si>
    <t>1600000719</t>
  </si>
  <si>
    <t>1100000032</t>
  </si>
  <si>
    <t>1600000688</t>
  </si>
  <si>
    <t>1600000693</t>
  </si>
  <si>
    <t>1600000696</t>
  </si>
  <si>
    <t>1600000450</t>
  </si>
  <si>
    <t>1600000683</t>
  </si>
  <si>
    <t>1600000695</t>
  </si>
  <si>
    <t>1600000319</t>
  </si>
  <si>
    <t>1600000321</t>
  </si>
  <si>
    <t>1600000687</t>
  </si>
  <si>
    <t>1600000774</t>
  </si>
  <si>
    <t>1600000775</t>
  </si>
  <si>
    <t>1600000449</t>
  </si>
  <si>
    <t>2900000166</t>
  </si>
  <si>
    <t>2900000167</t>
  </si>
  <si>
    <t>2900000168</t>
  </si>
  <si>
    <t>2900000252</t>
  </si>
  <si>
    <t>2900000429</t>
  </si>
  <si>
    <t>2900001083</t>
  </si>
  <si>
    <t>1600000447</t>
  </si>
  <si>
    <t>1600000446</t>
  </si>
  <si>
    <t>1600000448</t>
  </si>
  <si>
    <t>2900000850</t>
  </si>
  <si>
    <t>2900000851</t>
  </si>
  <si>
    <t>2900000852</t>
  </si>
  <si>
    <t>2900001949</t>
  </si>
  <si>
    <t>2900001948</t>
  </si>
  <si>
    <t>2900001958</t>
  </si>
  <si>
    <t>1400000128</t>
  </si>
  <si>
    <t>2900002223</t>
  </si>
  <si>
    <t>2900002222</t>
  </si>
  <si>
    <t>2900002090</t>
  </si>
  <si>
    <t>2900001960</t>
  </si>
  <si>
    <t>2900001959</t>
  </si>
  <si>
    <t>2900001594</t>
  </si>
  <si>
    <t>2900001591</t>
  </si>
  <si>
    <t>2900001590</t>
  </si>
  <si>
    <t>2900001592</t>
  </si>
  <si>
    <t>2900001593</t>
  </si>
  <si>
    <t>2900001297</t>
  </si>
  <si>
    <t>2900001082</t>
  </si>
  <si>
    <t>2900000976</t>
  </si>
  <si>
    <t>2900000977</t>
  </si>
  <si>
    <t>2900000833</t>
  </si>
  <si>
    <t>2900000832</t>
  </si>
  <si>
    <t>2900000834</t>
  </si>
  <si>
    <t>1400000090</t>
  </si>
  <si>
    <t>1400000283</t>
  </si>
  <si>
    <t>1400000272</t>
  </si>
  <si>
    <t>1400000273</t>
  </si>
  <si>
    <t>1400000276</t>
  </si>
  <si>
    <t>1400000274</t>
  </si>
  <si>
    <t>1400000271</t>
  </si>
  <si>
    <t>2900001744</t>
  </si>
  <si>
    <t>2900001740</t>
  </si>
  <si>
    <t>2900001908</t>
  </si>
  <si>
    <t>2900001743</t>
  </si>
  <si>
    <t>2900001741</t>
  </si>
  <si>
    <t>2900001742</t>
  </si>
  <si>
    <t>2900001150</t>
  </si>
  <si>
    <t>1400000021</t>
  </si>
  <si>
    <t>1400000103</t>
  </si>
  <si>
    <t>1400000104</t>
  </si>
  <si>
    <t>1400000101</t>
  </si>
  <si>
    <t>1400000093</t>
  </si>
  <si>
    <t>1400000092</t>
  </si>
  <si>
    <t>1400000091</t>
  </si>
  <si>
    <t>1400000049</t>
  </si>
  <si>
    <t>1400000105</t>
  </si>
  <si>
    <t>1400000162</t>
  </si>
  <si>
    <t>1400000042</t>
  </si>
  <si>
    <t>1400000043</t>
  </si>
  <si>
    <t>1400000163</t>
  </si>
  <si>
    <t>1400000102</t>
  </si>
  <si>
    <t>1400000044</t>
  </si>
  <si>
    <t>1400000179</t>
  </si>
  <si>
    <t>1400000178</t>
  </si>
  <si>
    <t>1400000175</t>
  </si>
  <si>
    <t>1100000016</t>
  </si>
  <si>
    <t>2900001961</t>
  </si>
  <si>
    <t>1400000227</t>
  </si>
  <si>
    <t>1400000282</t>
  </si>
  <si>
    <t>1400000280</t>
  </si>
  <si>
    <t>600317</t>
  </si>
  <si>
    <t>600426</t>
  </si>
  <si>
    <t>2900001475</t>
  </si>
  <si>
    <t>2900001467</t>
  </si>
  <si>
    <t>2900001718</t>
  </si>
  <si>
    <t>1400000263</t>
  </si>
  <si>
    <t>1400000208</t>
  </si>
  <si>
    <t>600316</t>
  </si>
  <si>
    <t>600319</t>
  </si>
  <si>
    <t>1400000015</t>
  </si>
  <si>
    <t>1400000019</t>
  </si>
  <si>
    <t>1400000336</t>
  </si>
  <si>
    <t>600343</t>
  </si>
  <si>
    <t>600341</t>
  </si>
  <si>
    <t>1400000089</t>
  </si>
  <si>
    <t>600328</t>
  </si>
  <si>
    <t>2900000010</t>
  </si>
  <si>
    <t>600096</t>
  </si>
  <si>
    <t>1400000256</t>
  </si>
  <si>
    <t>1400000242</t>
  </si>
  <si>
    <t>1400000082</t>
  </si>
  <si>
    <t>2900000004</t>
  </si>
  <si>
    <t>600370</t>
  </si>
  <si>
    <t>5001051</t>
  </si>
  <si>
    <t>600000016</t>
  </si>
  <si>
    <t>2900000763</t>
  </si>
  <si>
    <t>2900000764</t>
  </si>
  <si>
    <t>6360/2019</t>
  </si>
  <si>
    <t>600130</t>
  </si>
  <si>
    <t>600154</t>
  </si>
  <si>
    <t>600159</t>
  </si>
  <si>
    <t>600555</t>
  </si>
  <si>
    <t>600551</t>
  </si>
  <si>
    <t>600554</t>
  </si>
  <si>
    <t>2900002482</t>
  </si>
  <si>
    <t>2900002483</t>
  </si>
  <si>
    <t>1400000349</t>
  </si>
  <si>
    <t>600550</t>
  </si>
  <si>
    <t>600155</t>
  </si>
  <si>
    <t>1400000352</t>
  </si>
  <si>
    <t>600479</t>
  </si>
  <si>
    <t>0321769</t>
  </si>
  <si>
    <t>0321770</t>
  </si>
  <si>
    <t>LNV003613</t>
  </si>
  <si>
    <t>1100000049</t>
  </si>
  <si>
    <t>600484</t>
  </si>
  <si>
    <t>600489</t>
  </si>
  <si>
    <t>600495</t>
  </si>
  <si>
    <t>600496</t>
  </si>
  <si>
    <t>600000018</t>
  </si>
  <si>
    <t>600000007</t>
  </si>
  <si>
    <t>600000012</t>
  </si>
  <si>
    <t>600000000</t>
  </si>
  <si>
    <t>600000001</t>
  </si>
  <si>
    <t>600000034</t>
  </si>
  <si>
    <t>600000031</t>
  </si>
  <si>
    <t>600000028</t>
  </si>
  <si>
    <t>600000025</t>
  </si>
  <si>
    <t>600000021</t>
  </si>
  <si>
    <t>600000009</t>
  </si>
  <si>
    <t>600000006</t>
  </si>
  <si>
    <t>650926</t>
  </si>
  <si>
    <t>650924</t>
  </si>
  <si>
    <t>650940</t>
  </si>
  <si>
    <t>650923</t>
  </si>
  <si>
    <t>650938</t>
  </si>
  <si>
    <t>650933</t>
  </si>
  <si>
    <t>650931</t>
  </si>
  <si>
    <t>650928</t>
  </si>
  <si>
    <t>650945</t>
  </si>
  <si>
    <t>650947</t>
  </si>
  <si>
    <t>650949</t>
  </si>
  <si>
    <t>650935</t>
  </si>
  <si>
    <t>650943</t>
  </si>
  <si>
    <t>2400021465</t>
  </si>
  <si>
    <t>2400020608</t>
  </si>
  <si>
    <t>1410080047</t>
  </si>
  <si>
    <t>2400020119</t>
  </si>
  <si>
    <t>2400020071</t>
  </si>
  <si>
    <t>651861</t>
  </si>
  <si>
    <t>1410070089</t>
  </si>
  <si>
    <t>2400020732</t>
  </si>
  <si>
    <t>600005</t>
  </si>
  <si>
    <t>600000</t>
  </si>
  <si>
    <t>Creil Plant                    FR07 0143</t>
  </si>
  <si>
    <t>1410080168</t>
  </si>
  <si>
    <t>IP France Inc                  FR14 0149</t>
  </si>
  <si>
    <t>1410080142</t>
  </si>
  <si>
    <t>2400000090</t>
  </si>
  <si>
    <t>2400000050</t>
  </si>
  <si>
    <t>2900000212</t>
  </si>
  <si>
    <t>2900000211</t>
  </si>
  <si>
    <t>2900000121</t>
  </si>
  <si>
    <t>2900000120</t>
  </si>
  <si>
    <t>2900000119</t>
  </si>
  <si>
    <t>2900000084</t>
  </si>
  <si>
    <t>2900000083</t>
  </si>
  <si>
    <t>2900000082</t>
  </si>
  <si>
    <t>2800001793</t>
  </si>
  <si>
    <t>2800001792</t>
  </si>
  <si>
    <t>2800001791</t>
  </si>
  <si>
    <t>2800001790</t>
  </si>
  <si>
    <t>2800001686</t>
  </si>
  <si>
    <t>2800001685</t>
  </si>
  <si>
    <t>2800001684</t>
  </si>
  <si>
    <t>2800001634</t>
  </si>
  <si>
    <t>2800001633</t>
  </si>
  <si>
    <t>2800001611</t>
  </si>
  <si>
    <t>2800001610</t>
  </si>
  <si>
    <t>2800001584</t>
  </si>
  <si>
    <t>2800001537</t>
  </si>
  <si>
    <t>2800001200</t>
  </si>
  <si>
    <t>2900000213</t>
  </si>
  <si>
    <t>2900000462</t>
  </si>
  <si>
    <t>2900000430</t>
  </si>
  <si>
    <t>2900000428</t>
  </si>
  <si>
    <t>2900000386</t>
  </si>
  <si>
    <t>2900000463</t>
  </si>
  <si>
    <t>2900000533</t>
  </si>
  <si>
    <t>2900000563</t>
  </si>
  <si>
    <t>2900000385</t>
  </si>
  <si>
    <t>2900000287</t>
  </si>
  <si>
    <t>2900000286</t>
  </si>
  <si>
    <t>2900000722</t>
  </si>
  <si>
    <t>2900000285</t>
  </si>
  <si>
    <t>2900000284</t>
  </si>
  <si>
    <t>1410080265</t>
  </si>
  <si>
    <t>1410080266</t>
  </si>
  <si>
    <t>1410080263</t>
  </si>
  <si>
    <t>1410080264</t>
  </si>
  <si>
    <t>1410080267</t>
  </si>
  <si>
    <t>1410080268</t>
  </si>
  <si>
    <t>1410080269</t>
  </si>
  <si>
    <t>1410080270</t>
  </si>
  <si>
    <t>1410081047</t>
  </si>
  <si>
    <t>1410081046</t>
  </si>
  <si>
    <t>1410081045</t>
  </si>
  <si>
    <t>1410080893</t>
  </si>
  <si>
    <t>1410080892</t>
  </si>
  <si>
    <t>1410080891</t>
  </si>
  <si>
    <t>1410080765</t>
  </si>
  <si>
    <t>1410080764</t>
  </si>
  <si>
    <t>1410080763</t>
  </si>
  <si>
    <t>1410080762</t>
  </si>
  <si>
    <t>1410080761</t>
  </si>
  <si>
    <t>1410080757</t>
  </si>
  <si>
    <t>1410080756</t>
  </si>
  <si>
    <t>1410080750</t>
  </si>
  <si>
    <t>1410080749</t>
  </si>
  <si>
    <t>1410080748</t>
  </si>
  <si>
    <t>1410080747</t>
  </si>
  <si>
    <t>1410080746</t>
  </si>
  <si>
    <t>1410080745</t>
  </si>
  <si>
    <t>1410080744</t>
  </si>
  <si>
    <t>1410080687</t>
  </si>
  <si>
    <t>1410080246</t>
  </si>
  <si>
    <t>1410080247</t>
  </si>
  <si>
    <t>1410080248</t>
  </si>
  <si>
    <t>1410080249</t>
  </si>
  <si>
    <t>1410080250</t>
  </si>
  <si>
    <t>1410080251</t>
  </si>
  <si>
    <t>1410080252</t>
  </si>
  <si>
    <t>1410080255</t>
  </si>
  <si>
    <t>1410080259</t>
  </si>
  <si>
    <t>1410080260</t>
  </si>
  <si>
    <t>1410080261</t>
  </si>
  <si>
    <t>1410080262</t>
  </si>
  <si>
    <t>1410080271</t>
  </si>
  <si>
    <t>1410080685</t>
  </si>
  <si>
    <t>1410080668</t>
  </si>
  <si>
    <t>1410080651</t>
  </si>
  <si>
    <t>1410080650</t>
  </si>
  <si>
    <t>1410080649</t>
  </si>
  <si>
    <t>1410080646</t>
  </si>
  <si>
    <t>1410080615</t>
  </si>
  <si>
    <t>1410080614</t>
  </si>
  <si>
    <t>1410080612</t>
  </si>
  <si>
    <t>1410080596</t>
  </si>
  <si>
    <t>1410080543</t>
  </si>
  <si>
    <t>1410080542</t>
  </si>
  <si>
    <t>1410080488</t>
  </si>
  <si>
    <t>1410080487</t>
  </si>
  <si>
    <t>1410080437</t>
  </si>
  <si>
    <t>1410080436</t>
  </si>
  <si>
    <t>1410080435</t>
  </si>
  <si>
    <t>1410080434</t>
  </si>
  <si>
    <t>1410080411</t>
  </si>
  <si>
    <t>1410080410</t>
  </si>
  <si>
    <t>1410080409</t>
  </si>
  <si>
    <t>1410080408</t>
  </si>
  <si>
    <t>1410080407</t>
  </si>
  <si>
    <t>1410080406</t>
  </si>
  <si>
    <t>1410080405</t>
  </si>
  <si>
    <t>1410080341</t>
  </si>
  <si>
    <t>1410080340</t>
  </si>
  <si>
    <t>1410080339</t>
  </si>
  <si>
    <t>1410080338</t>
  </si>
  <si>
    <t>1410080327</t>
  </si>
  <si>
    <t>1410080326</t>
  </si>
  <si>
    <t>1410080325</t>
  </si>
  <si>
    <t>1410080324</t>
  </si>
  <si>
    <t>1410080323</t>
  </si>
  <si>
    <t>1410080322</t>
  </si>
  <si>
    <t>1410080321</t>
  </si>
  <si>
    <t>1410080320</t>
  </si>
  <si>
    <t>1410080303</t>
  </si>
  <si>
    <t>1410080686</t>
  </si>
  <si>
    <t>1410080299</t>
  </si>
  <si>
    <t>1410080298</t>
  </si>
  <si>
    <t>1410080297</t>
  </si>
  <si>
    <t>1410080272</t>
  </si>
  <si>
    <t>1410081050</t>
  </si>
  <si>
    <t>1410081062</t>
  </si>
  <si>
    <t>1410081070</t>
  </si>
  <si>
    <t>1410081072</t>
  </si>
  <si>
    <t>2400010784</t>
  </si>
  <si>
    <t>2400010783</t>
  </si>
  <si>
    <t>2400010782</t>
  </si>
  <si>
    <t>2400010781</t>
  </si>
  <si>
    <t>2400010814</t>
  </si>
  <si>
    <t>2400010815</t>
  </si>
  <si>
    <t>2400010816</t>
  </si>
  <si>
    <t>2400010838</t>
  </si>
  <si>
    <t>2400010839</t>
  </si>
  <si>
    <t>2400010840</t>
  </si>
  <si>
    <t>2400010841</t>
  </si>
  <si>
    <t>2400010842</t>
  </si>
  <si>
    <t>2400010843</t>
  </si>
  <si>
    <t>2400010844</t>
  </si>
  <si>
    <t>2400010858</t>
  </si>
  <si>
    <t>2400010859</t>
  </si>
  <si>
    <t>2400010870</t>
  </si>
  <si>
    <t>2400010882</t>
  </si>
  <si>
    <t>2400010883</t>
  </si>
  <si>
    <t>2400010884</t>
  </si>
  <si>
    <t>2400011163</t>
  </si>
  <si>
    <t>2400011109</t>
  </si>
  <si>
    <t>2400011083</t>
  </si>
  <si>
    <t>2400011004</t>
  </si>
  <si>
    <t>2400011003</t>
  </si>
  <si>
    <t>2400011002</t>
  </si>
  <si>
    <t>2400010958</t>
  </si>
  <si>
    <t>2400010959</t>
  </si>
  <si>
    <t>2400010960</t>
  </si>
  <si>
    <t>2400010961</t>
  </si>
  <si>
    <t>2400010298</t>
  </si>
  <si>
    <t>2400010297</t>
  </si>
  <si>
    <t>2400010296</t>
  </si>
  <si>
    <t>2400010295</t>
  </si>
  <si>
    <t>2400010240</t>
  </si>
  <si>
    <t>2400010239</t>
  </si>
  <si>
    <t>2400010238</t>
  </si>
  <si>
    <t>2400010224</t>
  </si>
  <si>
    <t>2400010213</t>
  </si>
  <si>
    <t>2400010212</t>
  </si>
  <si>
    <t>2400010211</t>
  </si>
  <si>
    <t>2400010172</t>
  </si>
  <si>
    <t>2400010171</t>
  </si>
  <si>
    <t>2400010170</t>
  </si>
  <si>
    <t>2400010137</t>
  </si>
  <si>
    <t>2400010136</t>
  </si>
  <si>
    <t>2400010135</t>
  </si>
  <si>
    <t>2400010119</t>
  </si>
  <si>
    <t>2400010118</t>
  </si>
  <si>
    <t>2400010117</t>
  </si>
  <si>
    <t>2400010099</t>
  </si>
  <si>
    <t>2400010098</t>
  </si>
  <si>
    <t>2400010097</t>
  </si>
  <si>
    <t>2400010096</t>
  </si>
  <si>
    <t>2400010095</t>
  </si>
  <si>
    <t>2400010094</t>
  </si>
  <si>
    <t>2400010093</t>
  </si>
  <si>
    <t>2400010092</t>
  </si>
  <si>
    <t>2400010091</t>
  </si>
  <si>
    <t>2400010090</t>
  </si>
  <si>
    <t>2400010089</t>
  </si>
  <si>
    <t>2400010034</t>
  </si>
  <si>
    <t>2400010033</t>
  </si>
  <si>
    <t>2400010032</t>
  </si>
  <si>
    <t>2400010031</t>
  </si>
  <si>
    <t>2400010030</t>
  </si>
  <si>
    <t>2400010029</t>
  </si>
  <si>
    <t>2400010028</t>
  </si>
  <si>
    <t>2400010027</t>
  </si>
  <si>
    <t>2400010638</t>
  </si>
  <si>
    <t>2400010639</t>
  </si>
  <si>
    <t>2400010635</t>
  </si>
  <si>
    <t>2400010640</t>
  </si>
  <si>
    <t>2400010592</t>
  </si>
  <si>
    <t>2400010591</t>
  </si>
  <si>
    <t>2400010738</t>
  </si>
  <si>
    <t>2400010739</t>
  </si>
  <si>
    <t>2400010740</t>
  </si>
  <si>
    <t>2400010741</t>
  </si>
  <si>
    <t>2400010590</t>
  </si>
  <si>
    <t>2400010742</t>
  </si>
  <si>
    <t>2400010547</t>
  </si>
  <si>
    <t>2400010546</t>
  </si>
  <si>
    <t>2400010538</t>
  </si>
  <si>
    <t>2400010513</t>
  </si>
  <si>
    <t>2400010512</t>
  </si>
  <si>
    <t>2400010473</t>
  </si>
  <si>
    <t>2400010472</t>
  </si>
  <si>
    <t>2400010377</t>
  </si>
  <si>
    <t>2400010378</t>
  </si>
  <si>
    <t>2400010379</t>
  </si>
  <si>
    <t>2400010380</t>
  </si>
  <si>
    <t>2400010381</t>
  </si>
  <si>
    <t>2400010382</t>
  </si>
  <si>
    <t>2400010383</t>
  </si>
  <si>
    <t>2400022776</t>
  </si>
  <si>
    <t>2400021282</t>
  </si>
  <si>
    <t>1410080085</t>
  </si>
  <si>
    <t>1410080089</t>
  </si>
  <si>
    <t>1410080183</t>
  </si>
  <si>
    <t>1410080123</t>
  </si>
  <si>
    <t>1400000004</t>
  </si>
  <si>
    <t>2400021460</t>
  </si>
  <si>
    <t>2400020607</t>
  </si>
  <si>
    <t>1410080112</t>
  </si>
  <si>
    <t>1410080422</t>
  </si>
  <si>
    <t>1410080676</t>
  </si>
  <si>
    <t>1410080994</t>
  </si>
  <si>
    <t>1410080391</t>
  </si>
  <si>
    <t>1410080381</t>
  </si>
  <si>
    <t>1410080423</t>
  </si>
  <si>
    <t>1410080446</t>
  </si>
  <si>
    <t>1410080713</t>
  </si>
  <si>
    <t>1410080450</t>
  </si>
  <si>
    <t>1410080424</t>
  </si>
  <si>
    <t>1410080470</t>
  </si>
  <si>
    <t>1410080330</t>
  </si>
  <si>
    <t>1410080329</t>
  </si>
  <si>
    <t>1410080995</t>
  </si>
  <si>
    <t>1410081106</t>
  </si>
  <si>
    <t>1410081107</t>
  </si>
  <si>
    <t>1410080561</t>
  </si>
  <si>
    <t>1410080541</t>
  </si>
  <si>
    <t>1410080876</t>
  </si>
  <si>
    <t>1410080877</t>
  </si>
  <si>
    <t>2400020459</t>
  </si>
  <si>
    <t>2400020458</t>
  </si>
  <si>
    <t>2400020457</t>
  </si>
  <si>
    <t>2400020344</t>
  </si>
  <si>
    <t>2400021820</t>
  </si>
  <si>
    <t>2400021821</t>
  </si>
  <si>
    <t>2400021336</t>
  </si>
  <si>
    <t>2400020918</t>
  </si>
  <si>
    <t>2400020919</t>
  </si>
  <si>
    <t>2400020920</t>
  </si>
  <si>
    <t>2400021069</t>
  </si>
  <si>
    <t>2400020343</t>
  </si>
  <si>
    <t>2400020460</t>
  </si>
  <si>
    <t>2400021518</t>
  </si>
  <si>
    <t>2400020540</t>
  </si>
  <si>
    <t>2400022139</t>
  </si>
  <si>
    <t>2400022140</t>
  </si>
  <si>
    <t>2400020640</t>
  </si>
  <si>
    <t>2400022971</t>
  </si>
  <si>
    <t>2400022968</t>
  </si>
  <si>
    <t>2400020626</t>
  </si>
  <si>
    <t>2400021122</t>
  </si>
  <si>
    <t>2400022440</t>
  </si>
  <si>
    <t>2400022439</t>
  </si>
  <si>
    <t>1410050035</t>
  </si>
  <si>
    <t>2400020320</t>
  </si>
  <si>
    <t>2400021583</t>
  </si>
  <si>
    <t>2400022558</t>
  </si>
  <si>
    <t>2400022645</t>
  </si>
  <si>
    <t>2400022781</t>
  </si>
  <si>
    <t>2400022880</t>
  </si>
  <si>
    <t>2400023470</t>
  </si>
  <si>
    <t>2400023702</t>
  </si>
  <si>
    <t>2400023804</t>
  </si>
  <si>
    <t>2400023920</t>
  </si>
  <si>
    <t>2400023946</t>
  </si>
  <si>
    <t>2400024060</t>
  </si>
  <si>
    <t>1410080072</t>
  </si>
  <si>
    <t>1410080211</t>
  </si>
  <si>
    <t>1410081112</t>
  </si>
  <si>
    <t>2400035917</t>
  </si>
  <si>
    <t>2400031568</t>
  </si>
  <si>
    <t>2400035514</t>
  </si>
  <si>
    <t>2400035105</t>
  </si>
  <si>
    <t>1410070029</t>
  </si>
  <si>
    <t>1410070212</t>
  </si>
  <si>
    <t>1410071078</t>
  </si>
  <si>
    <t>1410071079</t>
  </si>
  <si>
    <t>1410071080</t>
  </si>
  <si>
    <t>1410071082</t>
  </si>
  <si>
    <t>607405</t>
  </si>
  <si>
    <t>605566</t>
  </si>
  <si>
    <t>605984</t>
  </si>
  <si>
    <t>605980</t>
  </si>
  <si>
    <t>2900000030</t>
  </si>
  <si>
    <t>2900000056</t>
  </si>
  <si>
    <t>2802897210</t>
  </si>
  <si>
    <t>1410080040</t>
  </si>
  <si>
    <t>600002162</t>
  </si>
  <si>
    <t>600002228</t>
  </si>
  <si>
    <t>600002327</t>
  </si>
  <si>
    <t>600002326</t>
  </si>
  <si>
    <t>600002372</t>
  </si>
  <si>
    <t>600002877</t>
  </si>
  <si>
    <t>600002832</t>
  </si>
  <si>
    <t>600002939</t>
  </si>
  <si>
    <t>600003003</t>
  </si>
  <si>
    <t>600003002</t>
  </si>
  <si>
    <t>600003040</t>
  </si>
  <si>
    <t>607831</t>
  </si>
  <si>
    <t>600000039</t>
  </si>
  <si>
    <t>600000176</t>
  </si>
  <si>
    <t>600000175</t>
  </si>
  <si>
    <t>600000487</t>
  </si>
  <si>
    <t>600000656</t>
  </si>
  <si>
    <t>600000655</t>
  </si>
  <si>
    <t>600000711</t>
  </si>
  <si>
    <t>600000762</t>
  </si>
  <si>
    <t>600000773</t>
  </si>
  <si>
    <t>600000772</t>
  </si>
  <si>
    <t>600000842</t>
  </si>
  <si>
    <t>600000841</t>
  </si>
  <si>
    <t>600001401</t>
  </si>
  <si>
    <t>600001365</t>
  </si>
  <si>
    <t>600001454</t>
  </si>
  <si>
    <t>600001497</t>
  </si>
  <si>
    <t>600001574</t>
  </si>
  <si>
    <t>600001650</t>
  </si>
  <si>
    <t>600001649</t>
  </si>
  <si>
    <t>600002055</t>
  </si>
  <si>
    <t>600002161</t>
  </si>
  <si>
    <t>602847</t>
  </si>
  <si>
    <t>600000125</t>
  </si>
  <si>
    <t>600000101</t>
  </si>
  <si>
    <t>600000200</t>
  </si>
  <si>
    <t>600000248</t>
  </si>
  <si>
    <t>600000252</t>
  </si>
  <si>
    <t>600000305</t>
  </si>
  <si>
    <t>600001266</t>
  </si>
  <si>
    <t>600001267</t>
  </si>
  <si>
    <t>600001228</t>
  </si>
  <si>
    <t>600001126</t>
  </si>
  <si>
    <t>600001141</t>
  </si>
  <si>
    <t>600001046</t>
  </si>
  <si>
    <t>600000905</t>
  </si>
  <si>
    <t>600000906</t>
  </si>
  <si>
    <t>600000829</t>
  </si>
  <si>
    <t>600000776</t>
  </si>
  <si>
    <t>600000783</t>
  </si>
  <si>
    <t>600000750</t>
  </si>
  <si>
    <t>600000679</t>
  </si>
  <si>
    <t>600000677</t>
  </si>
  <si>
    <t>600000625</t>
  </si>
  <si>
    <t>600000564</t>
  </si>
  <si>
    <t>600000516</t>
  </si>
  <si>
    <t>600000482</t>
  </si>
  <si>
    <t>600000491</t>
  </si>
  <si>
    <t>600000423</t>
  </si>
  <si>
    <t>600000418</t>
  </si>
  <si>
    <t>600000351</t>
  </si>
  <si>
    <t>600000342</t>
  </si>
  <si>
    <t>600000406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</si>
</sst>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_(* #,##0_);_(* \(#,##0\);_(* &quot;-&quot;??_);_(@_)"/>
    <numFmt numFmtId="165" formatCode="[$-409]mmm\-yy;@"/>
    <numFmt numFmtId="166" formatCode="mmddyyyy"/>
    <numFmt numFmtId="167" formatCode="mm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rgb="FF00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0C7AF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 Light"/>
      <family val="2"/>
    </font>
    <font>
      <sz val="10"/>
      <color rgb="FF00B050"/>
      <name val="Arial"/>
      <family val="2"/>
    </font>
    <font>
      <b/>
      <sz val="8"/>
      <color indexed="81"/>
      <name val="Tahoma"/>
      <family val="2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</fonts>
  <fills count="2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5E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9" fillId="0" borderId="0" applyFont="0" applyFill="0" applyBorder="0" applyAlignment="0" applyProtection="0"/>
    <xf numFmtId="0" fontId="3" fillId="0" borderId="0"/>
    <xf numFmtId="0" fontId="1" fillId="0" borderId="0"/>
  </cellStyleXfs>
  <cellXfs count="172"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3" borderId="1" xfId="0" applyFill="1" applyBorder="1" applyAlignment="1">
      <alignment vertical="top"/>
    </xf>
    <xf numFmtId="14" fontId="0" fillId="3" borderId="1" xfId="0" applyNumberFormat="1" applyFill="1" applyBorder="1" applyAlignment="1">
      <alignment horizontal="right" vertical="top"/>
    </xf>
    <xf numFmtId="4" fontId="0" fillId="3" borderId="1" xfId="0" applyNumberFormat="1" applyFill="1" applyBorder="1" applyAlignment="1">
      <alignment horizontal="right" vertical="top"/>
    </xf>
    <xf numFmtId="0" fontId="0" fillId="2" borderId="1" xfId="0" applyFill="1" applyBorder="1" applyAlignment="1">
      <alignment vertical="top"/>
    </xf>
    <xf numFmtId="14" fontId="0" fillId="2" borderId="1" xfId="0" applyNumberFormat="1" applyFill="1" applyBorder="1" applyAlignment="1">
      <alignment horizontal="right" vertical="top"/>
    </xf>
    <xf numFmtId="4" fontId="0" fillId="2" borderId="1" xfId="0" applyNumberFormat="1" applyFill="1" applyBorder="1" applyAlignment="1">
      <alignment horizontal="right" vertical="top"/>
    </xf>
    <xf numFmtId="0" fontId="0" fillId="0" borderId="0" xfId="0" pivotButton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indent="1"/>
    </xf>
    <xf numFmtId="0" fontId="0" fillId="0" borderId="0" xfId="0" applyNumberFormat="1" applyAlignment="1">
      <alignment vertical="top"/>
    </xf>
    <xf numFmtId="0" fontId="6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4" fillId="0" borderId="0" xfId="0" applyFont="1" applyAlignment="1">
      <alignment vertical="top"/>
    </xf>
    <xf numFmtId="0" fontId="6" fillId="0" borderId="0" xfId="0" applyFont="1" applyFill="1" applyAlignment="1">
      <alignment vertical="top"/>
    </xf>
    <xf numFmtId="0" fontId="8" fillId="6" borderId="1" xfId="0" applyFont="1" applyFill="1" applyBorder="1" applyAlignment="1">
      <alignment vertical="top" wrapText="1"/>
    </xf>
    <xf numFmtId="0" fontId="8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3" fontId="0" fillId="2" borderId="1" xfId="0" applyNumberFormat="1" applyFill="1" applyBorder="1" applyAlignment="1">
      <alignment horizontal="right" vertical="top"/>
    </xf>
    <xf numFmtId="164" fontId="5" fillId="0" borderId="2" xfId="1" applyNumberFormat="1" applyFont="1" applyBorder="1" applyAlignment="1">
      <alignment vertical="top"/>
    </xf>
    <xf numFmtId="164" fontId="0" fillId="0" borderId="2" xfId="1" applyNumberFormat="1" applyFont="1" applyBorder="1" applyAlignment="1">
      <alignment vertical="top"/>
    </xf>
    <xf numFmtId="164" fontId="5" fillId="0" borderId="0" xfId="1" applyNumberFormat="1" applyFont="1" applyFill="1" applyAlignment="1">
      <alignment vertical="top"/>
    </xf>
    <xf numFmtId="43" fontId="0" fillId="0" borderId="0" xfId="1" applyNumberFormat="1" applyFont="1" applyAlignment="1">
      <alignment vertical="top"/>
    </xf>
    <xf numFmtId="0" fontId="0" fillId="9" borderId="0" xfId="0" applyFill="1" applyAlignment="1">
      <alignment vertical="top"/>
    </xf>
    <xf numFmtId="43" fontId="5" fillId="0" borderId="0" xfId="1" applyFont="1" applyFill="1" applyAlignment="1">
      <alignment vertical="top"/>
    </xf>
    <xf numFmtId="0" fontId="8" fillId="11" borderId="1" xfId="0" applyFont="1" applyFill="1" applyBorder="1" applyAlignment="1">
      <alignment vertical="top"/>
    </xf>
    <xf numFmtId="0" fontId="5" fillId="0" borderId="0" xfId="0" applyFont="1" applyAlignment="1">
      <alignment vertical="top"/>
    </xf>
    <xf numFmtId="0" fontId="0" fillId="0" borderId="21" xfId="0" applyBorder="1" applyAlignment="1">
      <alignment vertical="top"/>
    </xf>
    <xf numFmtId="164" fontId="0" fillId="0" borderId="21" xfId="0" applyNumberFormat="1" applyBorder="1" applyAlignment="1">
      <alignment vertical="top"/>
    </xf>
    <xf numFmtId="0" fontId="4" fillId="0" borderId="0" xfId="0" applyNumberFormat="1" applyFont="1" applyAlignment="1">
      <alignment horizontal="right" vertical="top"/>
    </xf>
    <xf numFmtId="0" fontId="4" fillId="0" borderId="0" xfId="0" applyFont="1" applyAlignment="1">
      <alignment horizontal="right" vertical="top"/>
    </xf>
    <xf numFmtId="164" fontId="13" fillId="0" borderId="0" xfId="1" applyNumberFormat="1" applyFont="1" applyFill="1" applyAlignment="1">
      <alignment vertical="top"/>
    </xf>
    <xf numFmtId="0" fontId="0" fillId="0" borderId="0" xfId="0" applyNumberFormat="1" applyAlignment="1">
      <alignment horizontal="right" vertical="top"/>
    </xf>
    <xf numFmtId="0" fontId="8" fillId="0" borderId="0" xfId="0" applyFont="1" applyAlignment="1">
      <alignment vertical="top"/>
    </xf>
    <xf numFmtId="0" fontId="14" fillId="0" borderId="0" xfId="0" quotePrefix="1" applyFont="1" applyBorder="1" applyAlignment="1">
      <alignment horizontal="center" vertical="top"/>
    </xf>
    <xf numFmtId="0" fontId="17" fillId="0" borderId="12" xfId="0" applyFont="1" applyFill="1" applyBorder="1" applyAlignment="1">
      <alignment horizontal="right" vertical="top"/>
    </xf>
    <xf numFmtId="0" fontId="17" fillId="0" borderId="0" xfId="0" applyFont="1" applyFill="1" applyAlignment="1">
      <alignment vertical="top"/>
    </xf>
    <xf numFmtId="14" fontId="17" fillId="0" borderId="3" xfId="0" applyNumberFormat="1" applyFont="1" applyFill="1" applyBorder="1" applyAlignment="1">
      <alignment vertical="top"/>
    </xf>
    <xf numFmtId="0" fontId="16" fillId="12" borderId="14" xfId="0" applyFont="1" applyFill="1" applyBorder="1" applyAlignment="1">
      <alignment vertical="top"/>
    </xf>
    <xf numFmtId="0" fontId="16" fillId="12" borderId="13" xfId="0" applyFont="1" applyFill="1" applyBorder="1" applyAlignment="1">
      <alignment vertical="top"/>
    </xf>
    <xf numFmtId="0" fontId="16" fillId="12" borderId="11" xfId="0" applyFont="1" applyFill="1" applyBorder="1" applyAlignment="1">
      <alignment vertical="top"/>
    </xf>
    <xf numFmtId="0" fontId="17" fillId="12" borderId="12" xfId="0" applyFont="1" applyFill="1" applyBorder="1" applyAlignment="1">
      <alignment horizontal="right" vertical="top"/>
    </xf>
    <xf numFmtId="0" fontId="16" fillId="12" borderId="9" xfId="0" applyFont="1" applyFill="1" applyBorder="1" applyAlignment="1">
      <alignment vertical="top"/>
    </xf>
    <xf numFmtId="0" fontId="16" fillId="12" borderId="3" xfId="0" applyFont="1" applyFill="1" applyBorder="1" applyAlignment="1">
      <alignment vertical="top"/>
    </xf>
    <xf numFmtId="0" fontId="16" fillId="12" borderId="4" xfId="0" applyFont="1" applyFill="1" applyBorder="1" applyAlignment="1">
      <alignment vertical="top"/>
    </xf>
    <xf numFmtId="0" fontId="16" fillId="0" borderId="0" xfId="0" applyFont="1" applyFill="1" applyBorder="1" applyAlignment="1">
      <alignment horizontal="center" vertical="top"/>
    </xf>
    <xf numFmtId="164" fontId="16" fillId="0" borderId="0" xfId="1" applyNumberFormat="1" applyFont="1" applyFill="1" applyBorder="1" applyAlignment="1">
      <alignment horizontal="center" vertical="top"/>
    </xf>
    <xf numFmtId="0" fontId="16" fillId="0" borderId="3" xfId="0" applyFont="1" applyFill="1" applyBorder="1" applyAlignment="1">
      <alignment horizontal="center" vertical="top"/>
    </xf>
    <xf numFmtId="164" fontId="17" fillId="0" borderId="5" xfId="1" applyNumberFormat="1" applyFont="1" applyFill="1" applyBorder="1" applyAlignment="1">
      <alignment horizontal="center" vertical="top"/>
    </xf>
    <xf numFmtId="0" fontId="16" fillId="9" borderId="7" xfId="0" applyFont="1" applyFill="1" applyBorder="1" applyAlignment="1">
      <alignment vertical="top"/>
    </xf>
    <xf numFmtId="0" fontId="16" fillId="9" borderId="8" xfId="0" applyFont="1" applyFill="1" applyBorder="1" applyAlignment="1">
      <alignment vertical="top"/>
    </xf>
    <xf numFmtId="0" fontId="16" fillId="9" borderId="0" xfId="0" applyFont="1" applyFill="1" applyBorder="1" applyAlignment="1">
      <alignment vertical="top"/>
    </xf>
    <xf numFmtId="0" fontId="16" fillId="9" borderId="10" xfId="0" applyFont="1" applyFill="1" applyBorder="1" applyAlignment="1">
      <alignment vertical="top"/>
    </xf>
    <xf numFmtId="0" fontId="16" fillId="9" borderId="3" xfId="0" applyFont="1" applyFill="1" applyBorder="1" applyAlignment="1">
      <alignment vertical="top"/>
    </xf>
    <xf numFmtId="0" fontId="16" fillId="9" borderId="15" xfId="0" applyFont="1" applyFill="1" applyBorder="1" applyAlignment="1">
      <alignment vertical="top"/>
    </xf>
    <xf numFmtId="0" fontId="16" fillId="9" borderId="16" xfId="0" applyFont="1" applyFill="1" applyBorder="1" applyAlignment="1">
      <alignment vertical="top"/>
    </xf>
    <xf numFmtId="0" fontId="16" fillId="9" borderId="17" xfId="0" applyFont="1" applyFill="1" applyBorder="1" applyAlignment="1">
      <alignment vertical="top"/>
    </xf>
    <xf numFmtId="0" fontId="16" fillId="9" borderId="6" xfId="0" applyFont="1" applyFill="1" applyBorder="1" applyAlignment="1">
      <alignment horizontal="center" vertical="top"/>
    </xf>
    <xf numFmtId="0" fontId="16" fillId="9" borderId="18" xfId="0" applyFont="1" applyFill="1" applyBorder="1" applyAlignment="1">
      <alignment horizontal="right" vertical="top"/>
    </xf>
    <xf numFmtId="0" fontId="16" fillId="9" borderId="19" xfId="0" applyFont="1" applyFill="1" applyBorder="1" applyAlignment="1">
      <alignment horizontal="right" vertical="top"/>
    </xf>
    <xf numFmtId="0" fontId="16" fillId="9" borderId="20" xfId="0" applyFont="1" applyFill="1" applyBorder="1" applyAlignment="1">
      <alignment horizontal="right" vertical="top"/>
    </xf>
    <xf numFmtId="0" fontId="16" fillId="9" borderId="15" xfId="0" applyFont="1" applyFill="1" applyBorder="1" applyAlignment="1">
      <alignment horizontal="center" vertical="top"/>
    </xf>
    <xf numFmtId="164" fontId="17" fillId="9" borderId="15" xfId="1" applyNumberFormat="1" applyFont="1" applyFill="1" applyBorder="1" applyAlignment="1">
      <alignment horizontal="center" vertical="top"/>
    </xf>
    <xf numFmtId="0" fontId="15" fillId="9" borderId="6" xfId="0" quotePrefix="1" applyFont="1" applyFill="1" applyBorder="1" applyAlignment="1">
      <alignment vertical="top"/>
    </xf>
    <xf numFmtId="0" fontId="16" fillId="9" borderId="0" xfId="0" applyFont="1" applyFill="1" applyAlignment="1">
      <alignment vertical="top"/>
    </xf>
    <xf numFmtId="0" fontId="16" fillId="9" borderId="9" xfId="0" applyFont="1" applyFill="1" applyBorder="1" applyAlignment="1">
      <alignment vertical="top"/>
    </xf>
    <xf numFmtId="0" fontId="16" fillId="9" borderId="0" xfId="0" applyFont="1" applyFill="1" applyAlignment="1">
      <alignment horizontal="right" vertical="top"/>
    </xf>
    <xf numFmtId="0" fontId="17" fillId="9" borderId="0" xfId="0" applyFont="1" applyFill="1" applyAlignment="1">
      <alignment horizontal="left" vertical="top"/>
    </xf>
    <xf numFmtId="0" fontId="16" fillId="9" borderId="13" xfId="0" applyFont="1" applyFill="1" applyBorder="1" applyAlignment="1">
      <alignment vertical="top"/>
    </xf>
    <xf numFmtId="0" fontId="16" fillId="9" borderId="14" xfId="0" applyFont="1" applyFill="1" applyBorder="1" applyAlignment="1">
      <alignment vertical="top"/>
    </xf>
    <xf numFmtId="0" fontId="0" fillId="0" borderId="0" xfId="0"/>
    <xf numFmtId="0" fontId="6" fillId="0" borderId="3" xfId="0" applyFont="1" applyBorder="1" applyAlignment="1">
      <alignment horizontal="center" vertical="top"/>
    </xf>
    <xf numFmtId="0" fontId="6" fillId="0" borderId="3" xfId="0" applyFont="1" applyBorder="1" applyAlignment="1">
      <alignment horizontal="left" vertical="top"/>
    </xf>
    <xf numFmtId="0" fontId="2" fillId="8" borderId="22" xfId="2" applyFont="1" applyFill="1" applyBorder="1" applyAlignment="1">
      <alignment horizontal="center"/>
    </xf>
    <xf numFmtId="0" fontId="8" fillId="0" borderId="22" xfId="0" applyFont="1" applyBorder="1" applyAlignment="1">
      <alignment horizontal="center" vertical="top"/>
    </xf>
    <xf numFmtId="14" fontId="0" fillId="0" borderId="22" xfId="0" applyNumberFormat="1" applyBorder="1" applyAlignment="1">
      <alignment vertical="top"/>
    </xf>
    <xf numFmtId="0" fontId="6" fillId="0" borderId="0" xfId="0" applyFont="1" applyAlignment="1">
      <alignment horizontal="right" vertical="top"/>
    </xf>
    <xf numFmtId="14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0" fontId="16" fillId="9" borderId="0" xfId="0" applyFont="1" applyFill="1" applyBorder="1" applyAlignment="1">
      <alignment horizontal="left" vertical="top"/>
    </xf>
    <xf numFmtId="0" fontId="16" fillId="9" borderId="0" xfId="0" applyFont="1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2" xfId="0" applyNumberFormat="1" applyBorder="1" applyAlignment="1">
      <alignment vertical="top"/>
    </xf>
    <xf numFmtId="43" fontId="5" fillId="0" borderId="0" xfId="1" applyNumberFormat="1" applyFont="1" applyAlignment="1">
      <alignment vertical="top"/>
    </xf>
    <xf numFmtId="43" fontId="6" fillId="0" borderId="0" xfId="1" applyNumberFormat="1" applyFont="1" applyAlignment="1">
      <alignment vertical="top"/>
    </xf>
    <xf numFmtId="0" fontId="18" fillId="0" borderId="0" xfId="0" applyFont="1" applyAlignment="1">
      <alignment horizontal="left" vertical="top" indent="1"/>
    </xf>
    <xf numFmtId="4" fontId="0" fillId="0" borderId="0" xfId="0" applyNumberFormat="1" applyAlignment="1">
      <alignment vertical="top"/>
    </xf>
    <xf numFmtId="4" fontId="0" fillId="0" borderId="0" xfId="0" applyNumberFormat="1" applyFill="1" applyAlignment="1">
      <alignment horizontal="right" vertical="top"/>
    </xf>
    <xf numFmtId="0" fontId="1" fillId="0" borderId="0" xfId="3"/>
    <xf numFmtId="0" fontId="22" fillId="0" borderId="0" xfId="3" applyFont="1"/>
    <xf numFmtId="0" fontId="1" fillId="15" borderId="0" xfId="3" applyFill="1" applyAlignment="1">
      <alignment horizontal="right"/>
    </xf>
    <xf numFmtId="0" fontId="1" fillId="16" borderId="0" xfId="3" applyFill="1"/>
    <xf numFmtId="0" fontId="1" fillId="15" borderId="0" xfId="3" quotePrefix="1" applyFill="1"/>
    <xf numFmtId="0" fontId="1" fillId="15" borderId="0" xfId="3" quotePrefix="1" applyFill="1" applyAlignment="1">
      <alignment horizontal="right"/>
    </xf>
    <xf numFmtId="0" fontId="22" fillId="0" borderId="0" xfId="3" applyFont="1" applyBorder="1"/>
    <xf numFmtId="0" fontId="1" fillId="0" borderId="0" xfId="3" applyAlignment="1">
      <alignment wrapText="1"/>
    </xf>
    <xf numFmtId="0" fontId="22" fillId="0" borderId="0" xfId="3" applyFont="1" applyAlignment="1">
      <alignment wrapText="1"/>
    </xf>
    <xf numFmtId="0" fontId="1" fillId="0" borderId="0" xfId="3" applyAlignment="1">
      <alignment horizontal="center" wrapText="1"/>
    </xf>
    <xf numFmtId="0" fontId="24" fillId="0" borderId="23" xfId="3" applyFont="1" applyFill="1" applyBorder="1" applyAlignment="1"/>
    <xf numFmtId="0" fontId="24" fillId="0" borderId="1" xfId="3" applyFont="1" applyFill="1" applyBorder="1"/>
    <xf numFmtId="0" fontId="24" fillId="0" borderId="23" xfId="3" applyFont="1" applyFill="1" applyBorder="1"/>
    <xf numFmtId="4" fontId="23" fillId="0" borderId="1" xfId="3" applyNumberFormat="1" applyFont="1" applyFill="1" applyBorder="1"/>
    <xf numFmtId="4" fontId="25" fillId="0" borderId="1" xfId="3" applyNumberFormat="1" applyFont="1" applyFill="1" applyBorder="1"/>
    <xf numFmtId="0" fontId="24" fillId="0" borderId="23" xfId="3" applyFont="1" applyBorder="1" applyAlignment="1"/>
    <xf numFmtId="0" fontId="24" fillId="0" borderId="1" xfId="3" applyFont="1" applyBorder="1"/>
    <xf numFmtId="0" fontId="26" fillId="0" borderId="1" xfId="3" applyFont="1" applyFill="1" applyBorder="1" applyAlignment="1"/>
    <xf numFmtId="4" fontId="1" fillId="0" borderId="1" xfId="3" applyNumberFormat="1" applyFill="1" applyBorder="1"/>
    <xf numFmtId="0" fontId="24" fillId="0" borderId="1" xfId="3" applyNumberFormat="1" applyFont="1" applyFill="1" applyBorder="1"/>
    <xf numFmtId="4" fontId="24" fillId="0" borderId="1" xfId="3" applyNumberFormat="1" applyFont="1" applyFill="1" applyBorder="1"/>
    <xf numFmtId="0" fontId="1" fillId="0" borderId="1" xfId="3" applyFill="1" applyBorder="1"/>
    <xf numFmtId="0" fontId="24" fillId="0" borderId="1" xfId="3" applyFont="1" applyFill="1" applyBorder="1" applyAlignment="1"/>
    <xf numFmtId="0" fontId="24" fillId="0" borderId="0" xfId="3" applyNumberFormat="1" applyFont="1" applyFill="1" applyBorder="1"/>
    <xf numFmtId="0" fontId="1" fillId="0" borderId="1" xfId="3" applyFill="1" applyBorder="1" applyAlignment="1"/>
    <xf numFmtId="0" fontId="27" fillId="0" borderId="1" xfId="3" applyFont="1" applyFill="1" applyBorder="1"/>
    <xf numFmtId="0" fontId="1" fillId="0" borderId="3" xfId="3" applyBorder="1" applyAlignment="1">
      <alignment horizontal="left" wrapText="1"/>
    </xf>
    <xf numFmtId="0" fontId="21" fillId="0" borderId="13" xfId="3" applyFont="1" applyBorder="1" applyAlignment="1">
      <alignment horizontal="left" vertical="center" wrapText="1"/>
    </xf>
    <xf numFmtId="0" fontId="21" fillId="0" borderId="0" xfId="3" applyFont="1" applyBorder="1" applyAlignment="1">
      <alignment horizontal="left" vertical="center" wrapText="1"/>
    </xf>
    <xf numFmtId="0" fontId="21" fillId="0" borderId="3" xfId="3" applyFont="1" applyBorder="1" applyAlignment="1">
      <alignment horizontal="left" vertical="center" wrapText="1"/>
    </xf>
    <xf numFmtId="0" fontId="21" fillId="0" borderId="11" xfId="3" applyFont="1" applyBorder="1" applyAlignment="1">
      <alignment horizontal="left" vertical="center" wrapText="1"/>
    </xf>
    <xf numFmtId="0" fontId="21" fillId="0" borderId="21" xfId="3" applyFont="1" applyBorder="1" applyAlignment="1">
      <alignment horizontal="left" vertical="center" wrapText="1"/>
    </xf>
    <xf numFmtId="0" fontId="21" fillId="0" borderId="4" xfId="3" applyFont="1" applyBorder="1" applyAlignment="1">
      <alignment horizontal="left" vertical="center" wrapText="1"/>
    </xf>
    <xf numFmtId="0" fontId="1" fillId="0" borderId="0" xfId="3" applyAlignment="1">
      <alignment horizontal="left" wrapText="1"/>
    </xf>
    <xf numFmtId="0" fontId="1" fillId="0" borderId="0" xfId="3" applyNumberFormat="1" applyBorder="1"/>
    <xf numFmtId="0" fontId="21" fillId="0" borderId="0" xfId="3" applyFont="1"/>
    <xf numFmtId="0" fontId="21" fillId="0" borderId="0" xfId="3" applyFont="1" applyAlignment="1">
      <alignment horizontal="left" wrapText="1"/>
    </xf>
    <xf numFmtId="165" fontId="1" fillId="0" borderId="0" xfId="3" applyNumberFormat="1"/>
    <xf numFmtId="0" fontId="27" fillId="0" borderId="0" xfId="3" applyFont="1"/>
    <xf numFmtId="0" fontId="4" fillId="13" borderId="0" xfId="3" applyFont="1" applyFill="1"/>
    <xf numFmtId="0" fontId="19" fillId="17" borderId="23" xfId="3" applyFont="1" applyFill="1" applyBorder="1" applyAlignment="1">
      <alignment horizontal="right"/>
    </xf>
    <xf numFmtId="2" fontId="28" fillId="17" borderId="5" xfId="3" applyNumberFormat="1" applyFont="1" applyFill="1" applyBorder="1"/>
    <xf numFmtId="0" fontId="20" fillId="17" borderId="24" xfId="3" applyFont="1" applyFill="1" applyBorder="1"/>
    <xf numFmtId="0" fontId="4" fillId="0" borderId="0" xfId="3" applyFont="1" applyFill="1"/>
    <xf numFmtId="0" fontId="4" fillId="0" borderId="0" xfId="3" applyFont="1"/>
    <xf numFmtId="0" fontId="4" fillId="18" borderId="0" xfId="3" applyFont="1" applyFill="1" applyBorder="1" applyAlignment="1">
      <alignment wrapText="1"/>
    </xf>
    <xf numFmtId="0" fontId="4" fillId="19" borderId="25" xfId="3" applyFont="1" applyFill="1" applyBorder="1" applyAlignment="1">
      <alignment wrapText="1"/>
    </xf>
    <xf numFmtId="0" fontId="4" fillId="19" borderId="15" xfId="3" applyFont="1" applyFill="1" applyBorder="1" applyAlignment="1">
      <alignment wrapText="1"/>
    </xf>
    <xf numFmtId="0" fontId="4" fillId="19" borderId="26" xfId="3" applyFont="1" applyFill="1" applyBorder="1" applyAlignment="1">
      <alignment wrapText="1"/>
    </xf>
    <xf numFmtId="166" fontId="1" fillId="0" borderId="0" xfId="3" quotePrefix="1" applyNumberFormat="1"/>
    <xf numFmtId="167" fontId="1" fillId="0" borderId="0" xfId="3" quotePrefix="1" applyNumberFormat="1"/>
    <xf numFmtId="2" fontId="1" fillId="0" borderId="0" xfId="3" applyNumberFormat="1"/>
    <xf numFmtId="4" fontId="0" fillId="5" borderId="0" xfId="0" applyNumberFormat="1" applyFill="1" applyAlignment="1">
      <alignment horizontal="right" vertical="top"/>
    </xf>
    <xf numFmtId="0" fontId="0" fillId="0" borderId="22" xfId="0" applyNumberFormat="1" applyBorder="1" applyAlignment="1">
      <alignment horizontal="center" vertical="top"/>
    </xf>
    <xf numFmtId="0" fontId="17" fillId="0" borderId="1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top"/>
    </xf>
    <xf numFmtId="0" fontId="16" fillId="12" borderId="21" xfId="0" applyFont="1" applyFill="1" applyBorder="1" applyAlignment="1">
      <alignment horizontal="center" vertical="top"/>
    </xf>
    <xf numFmtId="0" fontId="7" fillId="5" borderId="0" xfId="0" applyNumberFormat="1" applyFont="1" applyFill="1" applyAlignment="1">
      <alignment horizontal="center" vertical="top"/>
    </xf>
    <xf numFmtId="0" fontId="5" fillId="10" borderId="0" xfId="0" applyNumberFormat="1" applyFont="1" applyFill="1" applyAlignment="1">
      <alignment horizontal="center" vertical="top"/>
    </xf>
    <xf numFmtId="0" fontId="23" fillId="14" borderId="14" xfId="3" applyFont="1" applyFill="1" applyBorder="1" applyAlignment="1">
      <alignment horizontal="center" vertical="center" wrapText="1"/>
    </xf>
    <xf numFmtId="0" fontId="23" fillId="14" borderId="13" xfId="3" applyFont="1" applyFill="1" applyBorder="1" applyAlignment="1">
      <alignment horizontal="center" vertical="center" wrapText="1"/>
    </xf>
    <xf numFmtId="0" fontId="23" fillId="14" borderId="11" xfId="3" applyFont="1" applyFill="1" applyBorder="1" applyAlignment="1">
      <alignment horizontal="center" vertical="center" wrapText="1"/>
    </xf>
    <xf numFmtId="0" fontId="23" fillId="14" borderId="9" xfId="3" applyFont="1" applyFill="1" applyBorder="1" applyAlignment="1">
      <alignment horizontal="center" vertical="center" wrapText="1"/>
    </xf>
    <xf numFmtId="0" fontId="23" fillId="14" borderId="3" xfId="3" applyFont="1" applyFill="1" applyBorder="1" applyAlignment="1">
      <alignment horizontal="center" vertical="center" wrapText="1"/>
    </xf>
    <xf numFmtId="0" fontId="23" fillId="14" borderId="4" xfId="3" applyFont="1" applyFill="1" applyBorder="1" applyAlignment="1">
      <alignment horizontal="center" vertical="center" wrapText="1"/>
    </xf>
    <xf numFmtId="0" fontId="22" fillId="0" borderId="0" xfId="3" applyFont="1" applyAlignment="1">
      <alignment horizontal="center" wrapText="1"/>
    </xf>
    <xf numFmtId="0" fontId="22" fillId="0" borderId="0" xfId="3" applyFont="1" applyAlignment="1">
      <alignment horizontal="center" vertical="center" wrapText="1"/>
    </xf>
    <xf numFmtId="0" fontId="22" fillId="0" borderId="0" xfId="3" applyFont="1" applyAlignment="1">
      <alignment vertical="top" wrapText="1"/>
    </xf>
    <xf numFmtId="0" fontId="22" fillId="0" borderId="0" xfId="3" applyFont="1" applyAlignment="1">
      <alignment horizontal="center" vertical="top" wrapText="1"/>
    </xf>
    <xf numFmtId="0" fontId="1" fillId="0" borderId="0" xfId="3" applyAlignment="1">
      <alignment horizontal="left" wrapText="1"/>
    </xf>
    <xf numFmtId="0" fontId="1" fillId="14" borderId="0" xfId="3" applyFill="1" applyAlignment="1">
      <alignment horizontal="center"/>
    </xf>
    <xf numFmtId="0" fontId="1" fillId="14" borderId="0" xfId="3" applyFill="1" applyAlignment="1">
      <alignment horizontal="left" vertical="top" wrapText="1"/>
    </xf>
    <xf numFmtId="17" fontId="1" fillId="15" borderId="0" xfId="3" quotePrefix="1" applyNumberFormat="1" applyFill="1" applyAlignment="1">
      <alignment horizontal="center"/>
    </xf>
    <xf numFmtId="17" fontId="1" fillId="15" borderId="0" xfId="3" applyNumberFormat="1" applyFill="1" applyAlignment="1">
      <alignment horizontal="center"/>
    </xf>
    <xf numFmtId="0" fontId="1" fillId="15" borderId="0" xfId="3" applyFill="1" applyAlignment="1">
      <alignment horizontal="center" wrapText="1"/>
    </xf>
    <xf numFmtId="0" fontId="1" fillId="15" borderId="0" xfId="3" applyFill="1" applyAlignment="1">
      <alignment horizontal="center"/>
    </xf>
    <xf numFmtId="0" fontId="4" fillId="18" borderId="3" xfId="3" applyFont="1" applyFill="1" applyBorder="1" applyAlignment="1">
      <alignment horizontal="center"/>
    </xf>
    <xf numFmtId="0" fontId="4" fillId="19" borderId="9" xfId="3" applyFont="1" applyFill="1" applyBorder="1" applyAlignment="1">
      <alignment horizontal="center"/>
    </xf>
    <xf numFmtId="0" fontId="1" fillId="0" borderId="3" xfId="3" applyBorder="1"/>
    <xf numFmtId="0" fontId="1" fillId="0" borderId="4" xfId="3" applyBorder="1"/>
  </cellXfs>
  <cellStyles count="4">
    <cellStyle name="Comma" xfId="1" builtinId="3"/>
    <cellStyle name="Normal" xfId="0" builtinId="0"/>
    <cellStyle name="Normal 2" xfId="2"/>
    <cellStyle name="Normal 3" xfId="3"/>
  </cellStyles>
  <dxfs count="30"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top" textRotation="0" wrapText="0" indent="0" justifyLastLine="0" shrinkToFit="0" readingOrder="0"/>
    </dxf>
    <dxf>
      <numFmt numFmtId="35" formatCode="_(* #,##0.00_);_(* \(#,##0.00\);_(* &quot;-&quot;??_);_(@_)"/>
    </dxf>
    <dxf>
      <numFmt numFmtId="164" formatCode="_(* #,##0_);_(* \(#,##0\);_(* &quot;-&quot;??_);_(@_)"/>
    </dxf>
    <dxf>
      <numFmt numFmtId="168" formatCode="_(* #,##0.0_);_(* \(#,##0.0\);_(* &quot;-&quot;??_);_(@_)"/>
    </dxf>
    <dxf>
      <numFmt numFmtId="35" formatCode="_(* #,##0.00_);_(* \(#,##0.00\);_(* &quot;-&quot;??_);_(@_)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numFmt numFmtId="164" formatCode="_(* #,##0_);_(* \(#,##0\);_(* &quot;-&quot;??_);_(@_)"/>
    </dxf>
    <dxf>
      <numFmt numFmtId="168" formatCode="_(* #,##0.0_);_(* \(#,##0.0\);_(* &quot;-&quot;??_);_(@_)"/>
    </dxf>
    <dxf>
      <numFmt numFmtId="35" formatCode="_(* #,##0.00_);_(* \(#,##0.00\);_(* &quot;-&quot;??_);_(@_)"/>
    </dxf>
    <dxf>
      <font>
        <b/>
        <i val="0"/>
        <color rgb="FFFF0000"/>
      </font>
    </dxf>
    <dxf>
      <font>
        <b/>
        <i val="0"/>
        <color rgb="FF00B050"/>
      </font>
    </dxf>
  </dxfs>
  <tableStyles count="1" defaultTableStyle="TableStyleMedium9" defaultPivotStyle="PivotStyleLight16">
    <tableStyle name="Table Style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4</xdr:row>
          <xdr:rowOff>104775</xdr:rowOff>
        </xdr:from>
        <xdr:to>
          <xdr:col>7</xdr:col>
          <xdr:colOff>590550</xdr:colOff>
          <xdr:row>6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FBL3N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6</xdr:row>
          <xdr:rowOff>200025</xdr:rowOff>
        </xdr:from>
        <xdr:to>
          <xdr:col>7</xdr:col>
          <xdr:colOff>600075</xdr:colOff>
          <xdr:row>8</xdr:row>
          <xdr:rowOff>200025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Consolidation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123825</xdr:rowOff>
        </xdr:from>
        <xdr:to>
          <xdr:col>7</xdr:col>
          <xdr:colOff>590550</xdr:colOff>
          <xdr:row>3</xdr:row>
          <xdr:rowOff>161925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ZGLINTC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2</xdr:row>
          <xdr:rowOff>38100</xdr:rowOff>
        </xdr:from>
        <xdr:to>
          <xdr:col>7</xdr:col>
          <xdr:colOff>200025</xdr:colOff>
          <xdr:row>4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Accounts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2</xdr:row>
          <xdr:rowOff>47625</xdr:rowOff>
        </xdr:from>
        <xdr:to>
          <xdr:col>7</xdr:col>
          <xdr:colOff>1352550</xdr:colOff>
          <xdr:row>4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687917</xdr:colOff>
      <xdr:row>3</xdr:row>
      <xdr:rowOff>116416</xdr:rowOff>
    </xdr:from>
    <xdr:to>
      <xdr:col>2</xdr:col>
      <xdr:colOff>0</xdr:colOff>
      <xdr:row>4</xdr:row>
      <xdr:rowOff>80433</xdr:rowOff>
    </xdr:to>
    <xdr:pic>
      <xdr:nvPicPr>
        <xdr:cNvPr id="15130" name="Picture@5C\Qopen@" descr="@5C\Qopen@"/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87917" y="931333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55</xdr:row>
      <xdr:rowOff>104775</xdr:rowOff>
    </xdr:from>
    <xdr:to>
      <xdr:col>8</xdr:col>
      <xdr:colOff>495300</xdr:colOff>
      <xdr:row>72</xdr:row>
      <xdr:rowOff>28575</xdr:rowOff>
    </xdr:to>
    <xdr:pic>
      <xdr:nvPicPr>
        <xdr:cNvPr id="2" name="Image 3" descr="image00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658600"/>
          <a:ext cx="10086975" cy="3162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Finance%20Project%202\MEC%20Packaging-France\010-MEC%20France%20-%20Oct18\09-Due%20to-From%20Recharges%20process\Refacturation%20Q32018\Refacturation%20Q3%202018_corre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"/>
      <sheetName val="Back-up"/>
      <sheetName val="UPLOAD"/>
      <sheetName val="TT Matrix"/>
      <sheetName val="TT Definitions"/>
    </sheetNames>
    <sheetDataSet>
      <sheetData sheetId="0">
        <row r="13">
          <cell r="D13" t="str">
            <v>Fr07</v>
          </cell>
        </row>
        <row r="14">
          <cell r="D14">
            <v>143</v>
          </cell>
        </row>
        <row r="16">
          <cell r="D16" t="str">
            <v>ZN</v>
          </cell>
        </row>
        <row r="31">
          <cell r="B31">
            <v>70005812</v>
          </cell>
          <cell r="C31">
            <v>232430</v>
          </cell>
          <cell r="F31" t="str">
            <v xml:space="preserve">Prov vetement </v>
          </cell>
          <cell r="G31">
            <v>1500</v>
          </cell>
        </row>
        <row r="32">
          <cell r="B32">
            <v>70005812</v>
          </cell>
          <cell r="C32">
            <v>232428</v>
          </cell>
          <cell r="F32" t="str">
            <v xml:space="preserve">Prov vetement </v>
          </cell>
          <cell r="H32">
            <v>1500</v>
          </cell>
        </row>
        <row r="121">
          <cell r="B121" t="str">
            <v>SA</v>
          </cell>
        </row>
        <row r="122">
          <cell r="B122" t="str">
            <v>ZN</v>
          </cell>
        </row>
        <row r="166">
          <cell r="F166" t="str">
            <v>fa 284337 OPCA 3+ frais CQP Debiasi 5/12/16-27/10/17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 - recharge"/>
      <sheetName val="Documents"/>
    </sheetNames>
    <sheetDataSet>
      <sheetData sheetId="0"/>
      <sheetData sheetId="1">
        <row r="63">
          <cell r="G63">
            <v>379294.39999999997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njamin Mercier" refreshedDate="43496.465686921299" createdVersion="6" refreshedVersion="6" minRefreshableVersion="3" recordCount="3184">
  <cacheSource type="worksheet">
    <worksheetSource ref="B8:O3192" sheet="Data"/>
  </cacheSource>
  <cacheFields count="14">
    <cacheField name="PC" numFmtId="0">
      <sharedItems containsBlank="1" count="4">
        <s v="99"/>
        <s v=""/>
        <m/>
        <s v="143" u="1"/>
      </sharedItems>
    </cacheField>
    <cacheField name="PPC" numFmtId="0">
      <sharedItems containsBlank="1" count="34">
        <s v=""/>
        <s v="1"/>
        <s v="132"/>
        <s v="142"/>
        <s v="143"/>
        <s v="149"/>
        <s v="210"/>
        <s v="287"/>
        <s v="298"/>
        <s v="979"/>
        <s v="994"/>
        <s v="995"/>
        <s v="998"/>
        <s v="6798"/>
        <s v="6799"/>
        <s v="6902"/>
        <s v="7032"/>
        <s v="8530"/>
        <s v="8693"/>
        <s v="8913"/>
        <m/>
        <s v="8309" u="1"/>
        <s v="6351" u="1"/>
        <s v="8317" u="1"/>
        <s v="6084" u="1"/>
        <s v="402" u="1"/>
        <s v="7542" u="1"/>
        <s v="6283" u="1"/>
        <s v="535" u="1"/>
        <s v="7266" u="1"/>
        <s v="903" u="1"/>
        <s v="8640" u="1"/>
        <s v="8639" u="1"/>
        <s v="99" u="1"/>
      </sharedItems>
    </cacheField>
    <cacheField name="G/L Account" numFmtId="0">
      <sharedItems containsBlank="1"/>
    </cacheField>
    <cacheField name="PC Doc Number" numFmtId="0">
      <sharedItems containsBlank="1"/>
    </cacheField>
    <cacheField name="PC Posting Date" numFmtId="14">
      <sharedItems containsNonDate="0" containsDate="1" containsString="0" containsBlank="1" minDate="2002-12-31T00:00:00" maxDate="2019-02-01T00:00:00"/>
    </cacheField>
    <cacheField name="PPC Doc Numb" numFmtId="0">
      <sharedItems containsBlank="1"/>
    </cacheField>
    <cacheField name="PPC Posting Date" numFmtId="14">
      <sharedItems containsNonDate="0" containsDate="1" containsString="0" containsBlank="1" minDate="2004-04-08T00:00:00" maxDate="2019-02-01T00:00:00"/>
    </cacheField>
    <cacheField name="PC Balance(Doc)" numFmtId="4">
      <sharedItems containsString="0" containsBlank="1" containsNumber="1" minValue="-5397743.6799999997" maxValue="2440861.87"/>
    </cacheField>
    <cacheField name="PPC Balance(Doc)" numFmtId="4">
      <sharedItems containsString="0" containsBlank="1" containsNumber="1" minValue="-25300426.859999999" maxValue="25300426.859999999"/>
    </cacheField>
    <cacheField name="PC Fiscal Year" numFmtId="0">
      <sharedItems containsBlank="1" count="14">
        <s v="2004"/>
        <s v="2003"/>
        <s v="2002"/>
        <s v="2007"/>
        <s v=""/>
        <s v="2008"/>
        <s v="2012"/>
        <s v="2014"/>
        <s v="2019"/>
        <s v="2018"/>
        <s v="2015"/>
        <s v="2016"/>
        <s v="2017"/>
        <m/>
      </sharedItems>
    </cacheField>
    <cacheField name="PPC Fiscal Year" numFmtId="0">
      <sharedItems containsBlank="1" count="16">
        <s v=""/>
        <s v="2004"/>
        <s v="2019"/>
        <s v="2005"/>
        <s v="2006"/>
        <s v="2007"/>
        <s v="2018"/>
        <s v="2012"/>
        <s v="2008"/>
        <s v="2015"/>
        <s v="2017"/>
        <s v="2016"/>
        <m/>
        <s v="2014" u="1"/>
        <s v="2010" u="1"/>
        <s v="2009" u="1"/>
      </sharedItems>
    </cacheField>
    <cacheField name="PPC Text" numFmtId="0">
      <sharedItems containsBlank="1"/>
    </cacheField>
    <cacheField name="Variance(Doc)" numFmtId="4">
      <sharedItems containsString="0" containsBlank="1" containsNumber="1" minValue="-25300426.859999999" maxValue="25300426.859999999"/>
    </cacheField>
    <cacheField name="Referenc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4">
  <r>
    <x v="0"/>
    <x v="0"/>
    <s v="5200600"/>
    <s v="655558"/>
    <d v="2004-08-24T00:00:00"/>
    <s v=""/>
    <m/>
    <n v="-187876.56"/>
    <n v="0"/>
    <x v="0"/>
    <x v="0"/>
    <s v=""/>
    <n v="-187876.56"/>
    <s v=""/>
  </r>
  <r>
    <x v="0"/>
    <x v="0"/>
    <s v="5200600"/>
    <s v="600000018"/>
    <d v="2004-07-31T00:00:00"/>
    <s v=""/>
    <m/>
    <n v="47938.8"/>
    <n v="0"/>
    <x v="0"/>
    <x v="0"/>
    <s v=""/>
    <n v="47938.8"/>
    <s v=""/>
  </r>
  <r>
    <x v="0"/>
    <x v="0"/>
    <s v="5200600"/>
    <s v="600000015"/>
    <d v="2004-06-30T00:00:00"/>
    <s v=""/>
    <m/>
    <n v="-17913.21"/>
    <n v="0"/>
    <x v="0"/>
    <x v="0"/>
    <s v=""/>
    <n v="-17913.21"/>
    <s v=""/>
  </r>
  <r>
    <x v="0"/>
    <x v="0"/>
    <s v="5200600"/>
    <s v="600000007"/>
    <d v="2004-05-31T00:00:00"/>
    <s v=""/>
    <m/>
    <n v="47261.279999999999"/>
    <n v="0"/>
    <x v="0"/>
    <x v="0"/>
    <s v=""/>
    <n v="47261.279999999999"/>
    <s v=""/>
  </r>
  <r>
    <x v="0"/>
    <x v="0"/>
    <s v="5200600"/>
    <s v="600000012"/>
    <d v="2004-04-30T00:00:00"/>
    <s v=""/>
    <m/>
    <n v="-18191.259999999998"/>
    <n v="0"/>
    <x v="0"/>
    <x v="0"/>
    <s v=""/>
    <n v="-18191.259999999998"/>
    <s v=""/>
  </r>
  <r>
    <x v="0"/>
    <x v="0"/>
    <s v="5200600"/>
    <s v="600000004"/>
    <d v="2004-03-31T00:00:00"/>
    <s v=""/>
    <m/>
    <n v="-227052.12"/>
    <n v="0"/>
    <x v="0"/>
    <x v="0"/>
    <s v=""/>
    <n v="-227052.12"/>
    <s v=""/>
  </r>
  <r>
    <x v="0"/>
    <x v="0"/>
    <s v="5200600"/>
    <s v="600000000"/>
    <d v="2004-02-29T00:00:00"/>
    <s v=""/>
    <m/>
    <n v="-44614.99"/>
    <n v="0"/>
    <x v="0"/>
    <x v="0"/>
    <s v=""/>
    <n v="-44614.99"/>
    <s v=""/>
  </r>
  <r>
    <x v="0"/>
    <x v="0"/>
    <s v="5200600"/>
    <s v="600000001"/>
    <d v="2004-01-31T00:00:00"/>
    <s v=""/>
    <m/>
    <n v="-3724.06"/>
    <n v="0"/>
    <x v="0"/>
    <x v="0"/>
    <s v=""/>
    <n v="-3724.06"/>
    <s v=""/>
  </r>
  <r>
    <x v="0"/>
    <x v="0"/>
    <s v="5200600"/>
    <s v="600000034"/>
    <d v="2003-12-31T00:00:00"/>
    <s v=""/>
    <m/>
    <n v="160189.32"/>
    <n v="0"/>
    <x v="1"/>
    <x v="0"/>
    <s v=""/>
    <n v="160189.32"/>
    <s v=""/>
  </r>
  <r>
    <x v="0"/>
    <x v="0"/>
    <s v="5200600"/>
    <s v="600000031"/>
    <d v="2003-11-30T00:00:00"/>
    <s v=""/>
    <m/>
    <n v="-172108.51"/>
    <n v="0"/>
    <x v="1"/>
    <x v="0"/>
    <s v=""/>
    <n v="-172108.51"/>
    <s v=""/>
  </r>
  <r>
    <x v="0"/>
    <x v="0"/>
    <s v="5200600"/>
    <s v="600000028"/>
    <d v="2003-10-31T00:00:00"/>
    <s v=""/>
    <m/>
    <n v="-506323.58"/>
    <n v="0"/>
    <x v="1"/>
    <x v="0"/>
    <s v=""/>
    <n v="-506323.58"/>
    <s v=""/>
  </r>
  <r>
    <x v="0"/>
    <x v="0"/>
    <s v="5200600"/>
    <s v="600000025"/>
    <d v="2003-09-30T00:00:00"/>
    <s v=""/>
    <m/>
    <n v="-509464.2"/>
    <n v="0"/>
    <x v="1"/>
    <x v="0"/>
    <s v=""/>
    <n v="-509464.2"/>
    <s v=""/>
  </r>
  <r>
    <x v="0"/>
    <x v="0"/>
    <s v="5200600"/>
    <s v="600000021"/>
    <d v="2003-08-31T00:00:00"/>
    <s v=""/>
    <m/>
    <n v="234675.07"/>
    <n v="0"/>
    <x v="1"/>
    <x v="0"/>
    <s v=""/>
    <n v="234675.07"/>
    <s v=""/>
  </r>
  <r>
    <x v="0"/>
    <x v="0"/>
    <s v="5200600"/>
    <s v="600000018"/>
    <d v="2003-07-31T00:00:00"/>
    <s v=""/>
    <m/>
    <n v="463556.94"/>
    <n v="0"/>
    <x v="1"/>
    <x v="0"/>
    <s v=""/>
    <n v="463556.94"/>
    <s v=""/>
  </r>
  <r>
    <x v="0"/>
    <x v="0"/>
    <s v="5200600"/>
    <s v="600000015"/>
    <d v="2003-06-30T00:00:00"/>
    <s v=""/>
    <m/>
    <n v="449399.2"/>
    <n v="0"/>
    <x v="1"/>
    <x v="0"/>
    <s v=""/>
    <n v="449399.2"/>
    <s v=""/>
  </r>
  <r>
    <x v="0"/>
    <x v="0"/>
    <s v="5200600"/>
    <s v="600000012"/>
    <d v="2003-05-31T00:00:00"/>
    <s v=""/>
    <m/>
    <n v="-11135.57"/>
    <n v="0"/>
    <x v="1"/>
    <x v="0"/>
    <s v=""/>
    <n v="-11135.57"/>
    <s v=""/>
  </r>
  <r>
    <x v="0"/>
    <x v="0"/>
    <s v="5200600"/>
    <s v="600000009"/>
    <d v="2003-04-30T00:00:00"/>
    <s v=""/>
    <m/>
    <n v="243983.61"/>
    <n v="0"/>
    <x v="1"/>
    <x v="0"/>
    <s v=""/>
    <n v="243983.61"/>
    <s v=""/>
  </r>
  <r>
    <x v="0"/>
    <x v="0"/>
    <s v="5200600"/>
    <s v="600000006"/>
    <d v="2003-03-31T00:00:00"/>
    <s v=""/>
    <m/>
    <n v="-8122.3"/>
    <n v="0"/>
    <x v="1"/>
    <x v="0"/>
    <s v=""/>
    <n v="-8122.3"/>
    <s v=""/>
  </r>
  <r>
    <x v="0"/>
    <x v="0"/>
    <s v="5200600"/>
    <s v="600000003"/>
    <d v="2003-02-28T00:00:00"/>
    <s v=""/>
    <m/>
    <n v="17256.64"/>
    <n v="0"/>
    <x v="1"/>
    <x v="0"/>
    <s v=""/>
    <n v="17256.64"/>
    <s v=""/>
  </r>
  <r>
    <x v="0"/>
    <x v="0"/>
    <s v="5200600"/>
    <s v="600000001"/>
    <d v="2003-01-31T00:00:00"/>
    <s v=""/>
    <m/>
    <n v="1784.98"/>
    <n v="0"/>
    <x v="1"/>
    <x v="0"/>
    <s v=""/>
    <n v="1784.98"/>
    <s v=""/>
  </r>
  <r>
    <x v="0"/>
    <x v="0"/>
    <s v="5200600"/>
    <s v="600000005"/>
    <d v="2002-12-31T00:00:00"/>
    <s v=""/>
    <m/>
    <n v="40480.519999999997"/>
    <n v="0"/>
    <x v="2"/>
    <x v="0"/>
    <s v=""/>
    <n v="40480.519999999997"/>
    <s v=""/>
  </r>
  <r>
    <x v="0"/>
    <x v="0"/>
    <s v="5300550"/>
    <s v="602197"/>
    <d v="2007-05-21T00:00:00"/>
    <s v=""/>
    <m/>
    <n v="-8773.16"/>
    <n v="0"/>
    <x v="3"/>
    <x v="0"/>
    <s v=""/>
    <n v="-8773.16"/>
    <s v=""/>
  </r>
  <r>
    <x v="0"/>
    <x v="0"/>
    <s v="5300550"/>
    <s v="602197"/>
    <d v="2007-05-21T00:00:00"/>
    <s v=""/>
    <m/>
    <n v="-3524.39"/>
    <n v="0"/>
    <x v="3"/>
    <x v="0"/>
    <s v=""/>
    <n v="-3524.39"/>
    <s v=""/>
  </r>
  <r>
    <x v="0"/>
    <x v="0"/>
    <s v="5300550"/>
    <s v="602197"/>
    <d v="2007-05-21T00:00:00"/>
    <s v=""/>
    <m/>
    <n v="-16835.48"/>
    <n v="0"/>
    <x v="3"/>
    <x v="0"/>
    <s v=""/>
    <n v="-16835.48"/>
    <s v=""/>
  </r>
  <r>
    <x v="0"/>
    <x v="0"/>
    <s v="5300550"/>
    <s v="602197"/>
    <d v="2007-05-21T00:00:00"/>
    <s v=""/>
    <m/>
    <n v="-123538.82"/>
    <n v="0"/>
    <x v="3"/>
    <x v="0"/>
    <s v=""/>
    <n v="-123538.82"/>
    <s v=""/>
  </r>
  <r>
    <x v="0"/>
    <x v="0"/>
    <s v="5300550"/>
    <s v="602197"/>
    <d v="2007-05-21T00:00:00"/>
    <s v=""/>
    <m/>
    <n v="-133383.18"/>
    <n v="0"/>
    <x v="3"/>
    <x v="0"/>
    <s v=""/>
    <n v="-133383.18"/>
    <s v=""/>
  </r>
  <r>
    <x v="0"/>
    <x v="0"/>
    <s v="5300550"/>
    <s v="602197"/>
    <d v="2007-05-21T00:00:00"/>
    <s v=""/>
    <m/>
    <n v="-15916.8"/>
    <n v="0"/>
    <x v="3"/>
    <x v="0"/>
    <s v=""/>
    <n v="-15916.8"/>
    <s v=""/>
  </r>
  <r>
    <x v="0"/>
    <x v="0"/>
    <s v="5300600"/>
    <s v="650926"/>
    <d v="2004-07-31T00:00:00"/>
    <s v=""/>
    <m/>
    <n v="-237757.7"/>
    <n v="0"/>
    <x v="0"/>
    <x v="0"/>
    <s v=""/>
    <n v="-237757.7"/>
    <s v=""/>
  </r>
  <r>
    <x v="0"/>
    <x v="0"/>
    <s v="5300600"/>
    <s v="650924"/>
    <d v="2004-07-31T00:00:00"/>
    <s v=""/>
    <m/>
    <n v="-227040.11"/>
    <n v="0"/>
    <x v="0"/>
    <x v="0"/>
    <s v=""/>
    <n v="-227040.11"/>
    <s v=""/>
  </r>
  <r>
    <x v="0"/>
    <x v="0"/>
    <s v="5300600"/>
    <s v="650924"/>
    <d v="2004-07-31T00:00:00"/>
    <s v=""/>
    <m/>
    <n v="-38976.959999999999"/>
    <n v="0"/>
    <x v="0"/>
    <x v="0"/>
    <s v=""/>
    <n v="-38976.959999999999"/>
    <s v=""/>
  </r>
  <r>
    <x v="0"/>
    <x v="0"/>
    <s v="5300600"/>
    <s v="650924"/>
    <d v="2004-07-31T00:00:00"/>
    <s v=""/>
    <m/>
    <n v="-6581.78"/>
    <n v="0"/>
    <x v="0"/>
    <x v="0"/>
    <s v=""/>
    <n v="-6581.78"/>
    <s v=""/>
  </r>
  <r>
    <x v="0"/>
    <x v="0"/>
    <s v="5300600"/>
    <s v="650924"/>
    <d v="2004-07-31T00:00:00"/>
    <s v=""/>
    <m/>
    <n v="274179.99"/>
    <n v="0"/>
    <x v="0"/>
    <x v="0"/>
    <s v=""/>
    <n v="274179.99"/>
    <s v=""/>
  </r>
  <r>
    <x v="0"/>
    <x v="0"/>
    <s v="5300600"/>
    <s v="650924"/>
    <d v="2004-07-31T00:00:00"/>
    <s v=""/>
    <m/>
    <n v="-1581.14"/>
    <n v="0"/>
    <x v="0"/>
    <x v="0"/>
    <s v=""/>
    <n v="-1581.14"/>
    <s v=""/>
  </r>
  <r>
    <x v="0"/>
    <x v="0"/>
    <s v="5300600"/>
    <s v="650940"/>
    <d v="2004-07-31T00:00:00"/>
    <s v=""/>
    <m/>
    <n v="44703.89"/>
    <n v="0"/>
    <x v="0"/>
    <x v="0"/>
    <s v=""/>
    <n v="44703.89"/>
    <s v=""/>
  </r>
  <r>
    <x v="0"/>
    <x v="0"/>
    <s v="5300600"/>
    <s v="650923"/>
    <d v="2004-07-31T00:00:00"/>
    <s v=""/>
    <m/>
    <n v="2012543.4"/>
    <n v="0"/>
    <x v="0"/>
    <x v="0"/>
    <s v=""/>
    <n v="2012543.4"/>
    <s v=""/>
  </r>
  <r>
    <x v="0"/>
    <x v="0"/>
    <s v="5300600"/>
    <s v="650923"/>
    <d v="2004-07-31T00:00:00"/>
    <s v=""/>
    <m/>
    <n v="-1576995.8"/>
    <n v="0"/>
    <x v="0"/>
    <x v="0"/>
    <s v=""/>
    <n v="-1576995.8"/>
    <s v=""/>
  </r>
  <r>
    <x v="0"/>
    <x v="0"/>
    <s v="5300600"/>
    <s v="650923"/>
    <d v="2004-07-31T00:00:00"/>
    <s v=""/>
    <m/>
    <n v="-279239.39"/>
    <n v="0"/>
    <x v="0"/>
    <x v="0"/>
    <s v=""/>
    <n v="-279239.39"/>
    <s v=""/>
  </r>
  <r>
    <x v="0"/>
    <x v="0"/>
    <s v="5300600"/>
    <s v="650923"/>
    <d v="2004-07-31T00:00:00"/>
    <s v=""/>
    <m/>
    <n v="-94626.06"/>
    <n v="0"/>
    <x v="0"/>
    <x v="0"/>
    <s v=""/>
    <n v="-94626.06"/>
    <s v=""/>
  </r>
  <r>
    <x v="0"/>
    <x v="0"/>
    <s v="5300600"/>
    <s v="650940"/>
    <d v="2004-07-31T00:00:00"/>
    <s v=""/>
    <m/>
    <n v="2035.29"/>
    <n v="0"/>
    <x v="0"/>
    <x v="0"/>
    <s v=""/>
    <n v="2035.29"/>
    <s v=""/>
  </r>
  <r>
    <x v="0"/>
    <x v="0"/>
    <s v="5300600"/>
    <s v="650938"/>
    <d v="2004-07-31T00:00:00"/>
    <s v=""/>
    <m/>
    <n v="-2035.29"/>
    <n v="0"/>
    <x v="0"/>
    <x v="0"/>
    <s v=""/>
    <n v="-2035.29"/>
    <s v=""/>
  </r>
  <r>
    <x v="0"/>
    <x v="0"/>
    <s v="5300600"/>
    <s v="650933"/>
    <d v="2004-07-31T00:00:00"/>
    <s v=""/>
    <m/>
    <n v="-17203.11"/>
    <n v="0"/>
    <x v="0"/>
    <x v="0"/>
    <s v=""/>
    <n v="-17203.11"/>
    <s v=""/>
  </r>
  <r>
    <x v="0"/>
    <x v="0"/>
    <s v="5300600"/>
    <s v="650933"/>
    <d v="2004-07-31T00:00:00"/>
    <s v=""/>
    <m/>
    <n v="-35064.83"/>
    <n v="0"/>
    <x v="0"/>
    <x v="0"/>
    <s v=""/>
    <n v="-35064.83"/>
    <s v=""/>
  </r>
  <r>
    <x v="0"/>
    <x v="0"/>
    <s v="5300600"/>
    <s v="600000005"/>
    <d v="2002-12-31T00:00:00"/>
    <s v=""/>
    <m/>
    <n v="-3258125.32"/>
    <n v="0"/>
    <x v="2"/>
    <x v="0"/>
    <s v=""/>
    <n v="-3258125.32"/>
    <s v=""/>
  </r>
  <r>
    <x v="0"/>
    <x v="0"/>
    <s v="5300600"/>
    <s v="600000001"/>
    <d v="2003-01-31T00:00:00"/>
    <s v=""/>
    <m/>
    <n v="-162129.85999999999"/>
    <n v="0"/>
    <x v="1"/>
    <x v="0"/>
    <s v=""/>
    <n v="-162129.85999999999"/>
    <s v=""/>
  </r>
  <r>
    <x v="0"/>
    <x v="0"/>
    <s v="5300600"/>
    <s v="600000003"/>
    <d v="2003-02-28T00:00:00"/>
    <s v=""/>
    <m/>
    <n v="-224986.35"/>
    <n v="0"/>
    <x v="1"/>
    <x v="0"/>
    <s v=""/>
    <n v="-224986.35"/>
    <s v=""/>
  </r>
  <r>
    <x v="0"/>
    <x v="0"/>
    <s v="5300600"/>
    <s v="600000006"/>
    <d v="2003-03-31T00:00:00"/>
    <s v=""/>
    <m/>
    <n v="759934.12"/>
    <n v="0"/>
    <x v="1"/>
    <x v="0"/>
    <s v=""/>
    <n v="759934.12"/>
    <s v=""/>
  </r>
  <r>
    <x v="0"/>
    <x v="0"/>
    <s v="5300600"/>
    <s v="600000009"/>
    <d v="2003-04-30T00:00:00"/>
    <s v=""/>
    <m/>
    <n v="32382.22"/>
    <n v="0"/>
    <x v="1"/>
    <x v="0"/>
    <s v=""/>
    <n v="32382.22"/>
    <s v=""/>
  </r>
  <r>
    <x v="0"/>
    <x v="0"/>
    <s v="5300600"/>
    <s v="600000012"/>
    <d v="2003-05-31T00:00:00"/>
    <s v=""/>
    <m/>
    <n v="491900.17"/>
    <n v="0"/>
    <x v="1"/>
    <x v="0"/>
    <s v=""/>
    <n v="491900.17"/>
    <s v=""/>
  </r>
  <r>
    <x v="0"/>
    <x v="0"/>
    <s v="5300600"/>
    <s v="600000015"/>
    <d v="2003-06-30T00:00:00"/>
    <s v=""/>
    <m/>
    <n v="-1145046.74"/>
    <n v="0"/>
    <x v="1"/>
    <x v="0"/>
    <s v=""/>
    <n v="-1145046.74"/>
    <s v=""/>
  </r>
  <r>
    <x v="0"/>
    <x v="0"/>
    <s v="5300600"/>
    <s v="600000018"/>
    <d v="2003-07-31T00:00:00"/>
    <s v=""/>
    <m/>
    <n v="-606203.29"/>
    <n v="0"/>
    <x v="1"/>
    <x v="0"/>
    <s v=""/>
    <n v="-606203.29"/>
    <s v=""/>
  </r>
  <r>
    <x v="0"/>
    <x v="0"/>
    <s v="5300600"/>
    <s v="650938"/>
    <d v="2004-07-31T00:00:00"/>
    <s v=""/>
    <m/>
    <n v="391"/>
    <n v="0"/>
    <x v="0"/>
    <x v="0"/>
    <s v=""/>
    <n v="391"/>
    <s v=""/>
  </r>
  <r>
    <x v="0"/>
    <x v="0"/>
    <s v="5300600"/>
    <s v="650938"/>
    <d v="2004-07-31T00:00:00"/>
    <s v=""/>
    <m/>
    <n v="-30738.11"/>
    <n v="0"/>
    <x v="0"/>
    <x v="0"/>
    <s v=""/>
    <n v="-30738.11"/>
    <s v=""/>
  </r>
  <r>
    <x v="0"/>
    <x v="0"/>
    <s v="5300600"/>
    <s v="650938"/>
    <d v="2004-07-31T00:00:00"/>
    <s v=""/>
    <m/>
    <n v="-43373.37"/>
    <n v="0"/>
    <x v="0"/>
    <x v="0"/>
    <s v=""/>
    <n v="-43373.37"/>
    <s v=""/>
  </r>
  <r>
    <x v="0"/>
    <x v="0"/>
    <s v="5300600"/>
    <s v="650938"/>
    <d v="2004-07-31T00:00:00"/>
    <s v=""/>
    <m/>
    <n v="121168.92"/>
    <n v="0"/>
    <x v="0"/>
    <x v="0"/>
    <s v=""/>
    <n v="121168.92"/>
    <s v=""/>
  </r>
  <r>
    <x v="0"/>
    <x v="0"/>
    <s v="5300600"/>
    <s v="650933"/>
    <d v="2004-07-31T00:00:00"/>
    <s v=""/>
    <m/>
    <n v="-148927.34"/>
    <n v="0"/>
    <x v="0"/>
    <x v="0"/>
    <s v=""/>
    <n v="-148927.34"/>
    <s v=""/>
  </r>
  <r>
    <x v="0"/>
    <x v="0"/>
    <s v="5300600"/>
    <s v="650933"/>
    <d v="2004-07-31T00:00:00"/>
    <s v=""/>
    <m/>
    <n v="20340.509999999998"/>
    <n v="0"/>
    <x v="0"/>
    <x v="0"/>
    <s v=""/>
    <n v="20340.509999999998"/>
    <s v=""/>
  </r>
  <r>
    <x v="0"/>
    <x v="0"/>
    <s v="5300600"/>
    <s v="655558"/>
    <d v="2004-08-24T00:00:00"/>
    <s v=""/>
    <m/>
    <n v="2112426.15"/>
    <n v="0"/>
    <x v="0"/>
    <x v="0"/>
    <s v=""/>
    <n v="2112426.15"/>
    <s v=""/>
  </r>
  <r>
    <x v="0"/>
    <x v="0"/>
    <s v="5300600"/>
    <s v="650931"/>
    <d v="2004-07-31T00:00:00"/>
    <s v=""/>
    <m/>
    <n v="150480.35"/>
    <n v="0"/>
    <x v="0"/>
    <x v="0"/>
    <s v=""/>
    <n v="150480.35"/>
    <s v=""/>
  </r>
  <r>
    <x v="0"/>
    <x v="0"/>
    <s v="5300600"/>
    <s v="650931"/>
    <d v="2004-07-31T00:00:00"/>
    <s v=""/>
    <m/>
    <n v="8002.41"/>
    <n v="0"/>
    <x v="0"/>
    <x v="0"/>
    <s v=""/>
    <n v="8002.41"/>
    <s v=""/>
  </r>
  <r>
    <x v="0"/>
    <x v="0"/>
    <s v="5300600"/>
    <s v="650931"/>
    <d v="2004-07-31T00:00:00"/>
    <s v=""/>
    <m/>
    <n v="731.14"/>
    <n v="0"/>
    <x v="0"/>
    <x v="0"/>
    <s v=""/>
    <n v="731.14"/>
    <s v=""/>
  </r>
  <r>
    <x v="0"/>
    <x v="0"/>
    <s v="5300600"/>
    <s v="650931"/>
    <d v="2004-07-31T00:00:00"/>
    <s v=""/>
    <m/>
    <n v="-159335.53"/>
    <n v="0"/>
    <x v="0"/>
    <x v="0"/>
    <s v=""/>
    <n v="-159335.53"/>
    <s v=""/>
  </r>
  <r>
    <x v="0"/>
    <x v="0"/>
    <s v="5300600"/>
    <s v="650931"/>
    <d v="2004-07-31T00:00:00"/>
    <s v=""/>
    <m/>
    <n v="5827.75"/>
    <n v="0"/>
    <x v="0"/>
    <x v="0"/>
    <s v=""/>
    <n v="5827.75"/>
    <s v=""/>
  </r>
  <r>
    <x v="0"/>
    <x v="0"/>
    <s v="5300600"/>
    <s v="650931"/>
    <d v="2004-07-31T00:00:00"/>
    <s v=""/>
    <m/>
    <n v="-5706.12"/>
    <n v="0"/>
    <x v="0"/>
    <x v="0"/>
    <s v=""/>
    <n v="-5706.12"/>
    <s v=""/>
  </r>
  <r>
    <x v="0"/>
    <x v="0"/>
    <s v="5300600"/>
    <s v="650928"/>
    <d v="2004-07-31T00:00:00"/>
    <s v=""/>
    <m/>
    <n v="-319311.14"/>
    <n v="0"/>
    <x v="0"/>
    <x v="0"/>
    <s v=""/>
    <n v="-319311.14"/>
    <s v=""/>
  </r>
  <r>
    <x v="0"/>
    <x v="0"/>
    <s v="5300600"/>
    <s v="650928"/>
    <d v="2004-07-31T00:00:00"/>
    <s v=""/>
    <m/>
    <n v="-17580.82"/>
    <n v="0"/>
    <x v="0"/>
    <x v="0"/>
    <s v=""/>
    <n v="-17580.82"/>
    <s v=""/>
  </r>
  <r>
    <x v="0"/>
    <x v="0"/>
    <s v="5300600"/>
    <s v="650940"/>
    <d v="2004-07-31T00:00:00"/>
    <s v=""/>
    <m/>
    <n v="-391"/>
    <n v="0"/>
    <x v="0"/>
    <x v="0"/>
    <s v=""/>
    <n v="-391"/>
    <s v=""/>
  </r>
  <r>
    <x v="0"/>
    <x v="0"/>
    <s v="5300600"/>
    <s v="650928"/>
    <d v="2004-07-31T00:00:00"/>
    <s v=""/>
    <m/>
    <n v="-20340.509999999998"/>
    <n v="0"/>
    <x v="0"/>
    <x v="0"/>
    <s v=""/>
    <n v="-20340.509999999998"/>
    <s v=""/>
  </r>
  <r>
    <x v="0"/>
    <x v="0"/>
    <s v="5300600"/>
    <s v="650940"/>
    <d v="2004-07-31T00:00:00"/>
    <s v=""/>
    <m/>
    <n v="43373.37"/>
    <n v="0"/>
    <x v="0"/>
    <x v="0"/>
    <s v=""/>
    <n v="43373.37"/>
    <s v=""/>
  </r>
  <r>
    <x v="0"/>
    <x v="0"/>
    <s v="5300600"/>
    <s v="650928"/>
    <d v="2004-07-31T00:00:00"/>
    <s v=""/>
    <m/>
    <n v="296795.89"/>
    <n v="0"/>
    <x v="0"/>
    <x v="0"/>
    <s v=""/>
    <n v="296795.89"/>
    <s v=""/>
  </r>
  <r>
    <x v="0"/>
    <x v="0"/>
    <s v="5300600"/>
    <s v="650940"/>
    <d v="2004-07-31T00:00:00"/>
    <s v=""/>
    <m/>
    <n v="30738.11"/>
    <n v="0"/>
    <x v="0"/>
    <x v="0"/>
    <s v=""/>
    <n v="30738.11"/>
    <s v=""/>
  </r>
  <r>
    <x v="0"/>
    <x v="0"/>
    <s v="5300600"/>
    <s v="650928"/>
    <d v="2004-07-31T00:00:00"/>
    <s v=""/>
    <m/>
    <n v="52393.37"/>
    <n v="0"/>
    <x v="0"/>
    <x v="0"/>
    <s v=""/>
    <n v="52393.37"/>
    <s v=""/>
  </r>
  <r>
    <x v="0"/>
    <x v="0"/>
    <s v="5300600"/>
    <s v="650928"/>
    <d v="2004-07-31T00:00:00"/>
    <s v=""/>
    <m/>
    <n v="8043.21"/>
    <n v="0"/>
    <x v="0"/>
    <x v="0"/>
    <s v=""/>
    <n v="8043.21"/>
    <s v=""/>
  </r>
  <r>
    <x v="0"/>
    <x v="0"/>
    <s v="5300600"/>
    <s v="650926"/>
    <d v="2004-07-31T00:00:00"/>
    <s v=""/>
    <m/>
    <n v="179986.63"/>
    <n v="0"/>
    <x v="0"/>
    <x v="0"/>
    <s v=""/>
    <n v="179986.63"/>
    <s v=""/>
  </r>
  <r>
    <x v="0"/>
    <x v="0"/>
    <s v="5300600"/>
    <s v="650926"/>
    <d v="2004-07-31T00:00:00"/>
    <s v=""/>
    <m/>
    <n v="3660.57"/>
    <n v="0"/>
    <x v="0"/>
    <x v="0"/>
    <s v=""/>
    <n v="3660.57"/>
    <s v=""/>
  </r>
  <r>
    <x v="0"/>
    <x v="0"/>
    <s v="5300600"/>
    <s v="650926"/>
    <d v="2004-07-31T00:00:00"/>
    <s v=""/>
    <m/>
    <n v="1566.02"/>
    <n v="0"/>
    <x v="0"/>
    <x v="0"/>
    <s v=""/>
    <n v="1566.02"/>
    <s v=""/>
  </r>
  <r>
    <x v="0"/>
    <x v="0"/>
    <s v="5300600"/>
    <s v="650938"/>
    <d v="2004-07-31T00:00:00"/>
    <s v=""/>
    <m/>
    <n v="-709.26"/>
    <n v="0"/>
    <x v="0"/>
    <x v="0"/>
    <s v=""/>
    <n v="-709.26"/>
    <s v=""/>
  </r>
  <r>
    <x v="0"/>
    <x v="0"/>
    <s v="5300600"/>
    <s v="650926"/>
    <d v="2004-07-31T00:00:00"/>
    <s v=""/>
    <m/>
    <n v="495.48"/>
    <n v="0"/>
    <x v="0"/>
    <x v="0"/>
    <s v=""/>
    <n v="495.48"/>
    <s v=""/>
  </r>
  <r>
    <x v="0"/>
    <x v="0"/>
    <s v="5300600"/>
    <s v="650926"/>
    <d v="2004-07-31T00:00:00"/>
    <s v=""/>
    <m/>
    <n v="52049"/>
    <n v="0"/>
    <x v="0"/>
    <x v="0"/>
    <s v=""/>
    <n v="52049"/>
    <s v=""/>
  </r>
  <r>
    <x v="0"/>
    <x v="0"/>
    <s v="5300600"/>
    <s v="650945"/>
    <d v="2004-07-31T00:00:00"/>
    <s v=""/>
    <m/>
    <n v="5797.34"/>
    <n v="0"/>
    <x v="0"/>
    <x v="0"/>
    <s v=""/>
    <n v="5797.34"/>
    <s v=""/>
  </r>
  <r>
    <x v="0"/>
    <x v="0"/>
    <s v="5300600"/>
    <s v="650947"/>
    <d v="2004-07-31T00:00:00"/>
    <s v=""/>
    <m/>
    <n v="232377.34"/>
    <n v="0"/>
    <x v="0"/>
    <x v="0"/>
    <s v=""/>
    <n v="232377.34"/>
    <s v=""/>
  </r>
  <r>
    <x v="0"/>
    <x v="0"/>
    <s v="5300600"/>
    <s v="650947"/>
    <d v="2004-07-31T00:00:00"/>
    <s v=""/>
    <m/>
    <n v="-453.95"/>
    <n v="0"/>
    <x v="0"/>
    <x v="0"/>
    <s v=""/>
    <n v="-453.95"/>
    <s v=""/>
  </r>
  <r>
    <x v="0"/>
    <x v="0"/>
    <s v="5300600"/>
    <s v="650947"/>
    <d v="2004-07-31T00:00:00"/>
    <s v=""/>
    <m/>
    <n v="1733.31"/>
    <n v="0"/>
    <x v="0"/>
    <x v="0"/>
    <s v=""/>
    <n v="1733.31"/>
    <s v=""/>
  </r>
  <r>
    <x v="0"/>
    <x v="0"/>
    <s v="5300600"/>
    <s v="650947"/>
    <d v="2004-07-31T00:00:00"/>
    <s v=""/>
    <m/>
    <n v="-248144.79"/>
    <n v="0"/>
    <x v="0"/>
    <x v="0"/>
    <s v=""/>
    <n v="-248144.79"/>
    <s v=""/>
  </r>
  <r>
    <x v="0"/>
    <x v="0"/>
    <s v="5300600"/>
    <s v="650947"/>
    <d v="2004-07-31T00:00:00"/>
    <s v=""/>
    <m/>
    <n v="160323.75"/>
    <n v="0"/>
    <x v="0"/>
    <x v="0"/>
    <s v=""/>
    <n v="160323.75"/>
    <s v=""/>
  </r>
  <r>
    <x v="0"/>
    <x v="0"/>
    <s v="5300600"/>
    <s v="650947"/>
    <d v="2004-07-31T00:00:00"/>
    <s v=""/>
    <m/>
    <n v="-145835.66"/>
    <n v="0"/>
    <x v="0"/>
    <x v="0"/>
    <s v=""/>
    <n v="-145835.66"/>
    <s v=""/>
  </r>
  <r>
    <x v="0"/>
    <x v="0"/>
    <s v="5300600"/>
    <s v="650949"/>
    <d v="2004-07-31T00:00:00"/>
    <s v=""/>
    <m/>
    <n v="2440861.87"/>
    <n v="0"/>
    <x v="0"/>
    <x v="0"/>
    <s v=""/>
    <n v="2440861.87"/>
    <s v=""/>
  </r>
  <r>
    <x v="0"/>
    <x v="0"/>
    <s v="5300600"/>
    <s v="650949"/>
    <d v="2004-07-31T00:00:00"/>
    <s v=""/>
    <m/>
    <n v="-2440861.87"/>
    <n v="0"/>
    <x v="0"/>
    <x v="0"/>
    <s v=""/>
    <n v="-2440861.87"/>
    <s v=""/>
  </r>
  <r>
    <x v="0"/>
    <x v="0"/>
    <s v="5300600"/>
    <s v="650923"/>
    <d v="2004-07-31T00:00:00"/>
    <s v=""/>
    <m/>
    <n v="-60219.87"/>
    <n v="0"/>
    <x v="0"/>
    <x v="0"/>
    <s v=""/>
    <n v="-60219.87"/>
    <s v=""/>
  </r>
  <r>
    <x v="0"/>
    <x v="0"/>
    <s v="5300600"/>
    <s v="650923"/>
    <d v="2004-07-31T00:00:00"/>
    <s v=""/>
    <m/>
    <n v="-1462.28"/>
    <n v="0"/>
    <x v="0"/>
    <x v="0"/>
    <s v=""/>
    <n v="-1462.28"/>
    <s v=""/>
  </r>
  <r>
    <x v="0"/>
    <x v="0"/>
    <s v="5300600"/>
    <s v="600000018"/>
    <d v="2004-07-31T00:00:00"/>
    <s v=""/>
    <m/>
    <n v="239148.51"/>
    <n v="0"/>
    <x v="0"/>
    <x v="0"/>
    <s v=""/>
    <n v="239148.51"/>
    <s v=""/>
  </r>
  <r>
    <x v="0"/>
    <x v="0"/>
    <s v="5300600"/>
    <s v="650935"/>
    <d v="2004-07-31T00:00:00"/>
    <s v=""/>
    <m/>
    <n v="-271.02999999999997"/>
    <n v="0"/>
    <x v="0"/>
    <x v="0"/>
    <s v=""/>
    <n v="-271.02999999999997"/>
    <s v=""/>
  </r>
  <r>
    <x v="0"/>
    <x v="0"/>
    <s v="5300600"/>
    <s v="600000015"/>
    <d v="2004-06-30T00:00:00"/>
    <s v=""/>
    <m/>
    <n v="-29229.64"/>
    <n v="0"/>
    <x v="0"/>
    <x v="0"/>
    <s v=""/>
    <n v="-29229.64"/>
    <s v=""/>
  </r>
  <r>
    <x v="0"/>
    <x v="0"/>
    <s v="5300600"/>
    <s v="600000015"/>
    <d v="2004-06-30T00:00:00"/>
    <s v=""/>
    <m/>
    <n v="-36562.94"/>
    <n v="0"/>
    <x v="0"/>
    <x v="0"/>
    <s v=""/>
    <n v="-36562.94"/>
    <s v=""/>
  </r>
  <r>
    <x v="0"/>
    <x v="0"/>
    <s v="5300600"/>
    <s v="600000007"/>
    <d v="2004-05-31T00:00:00"/>
    <s v=""/>
    <m/>
    <n v="598532.75"/>
    <n v="0"/>
    <x v="0"/>
    <x v="0"/>
    <s v=""/>
    <n v="598532.75"/>
    <s v=""/>
  </r>
  <r>
    <x v="0"/>
    <x v="0"/>
    <s v="5300600"/>
    <s v="600000012"/>
    <d v="2004-04-30T00:00:00"/>
    <s v=""/>
    <m/>
    <n v="-352830.69"/>
    <n v="0"/>
    <x v="0"/>
    <x v="0"/>
    <s v=""/>
    <n v="-352830.69"/>
    <s v=""/>
  </r>
  <r>
    <x v="0"/>
    <x v="0"/>
    <s v="5300600"/>
    <s v="600000004"/>
    <d v="2004-03-31T00:00:00"/>
    <s v=""/>
    <m/>
    <n v="-15184.87"/>
    <n v="0"/>
    <x v="0"/>
    <x v="0"/>
    <s v=""/>
    <n v="-15184.87"/>
    <s v=""/>
  </r>
  <r>
    <x v="0"/>
    <x v="0"/>
    <s v="5300600"/>
    <s v="600000004"/>
    <d v="2004-03-31T00:00:00"/>
    <s v=""/>
    <m/>
    <n v="-24629.75"/>
    <n v="0"/>
    <x v="0"/>
    <x v="0"/>
    <s v=""/>
    <n v="-24629.75"/>
    <s v=""/>
  </r>
  <r>
    <x v="0"/>
    <x v="0"/>
    <s v="5300600"/>
    <s v="600000000"/>
    <d v="2004-02-29T00:00:00"/>
    <s v=""/>
    <m/>
    <n v="29566.2"/>
    <n v="0"/>
    <x v="0"/>
    <x v="0"/>
    <s v=""/>
    <n v="29566.2"/>
    <s v=""/>
  </r>
  <r>
    <x v="0"/>
    <x v="0"/>
    <s v="5300600"/>
    <s v="600000000"/>
    <d v="2004-02-29T00:00:00"/>
    <s v=""/>
    <m/>
    <n v="594033.27"/>
    <n v="0"/>
    <x v="0"/>
    <x v="0"/>
    <s v=""/>
    <n v="594033.27"/>
    <s v=""/>
  </r>
  <r>
    <x v="0"/>
    <x v="0"/>
    <s v="5300600"/>
    <s v="600000001"/>
    <d v="2004-01-31T00:00:00"/>
    <s v=""/>
    <m/>
    <n v="14848.31"/>
    <n v="0"/>
    <x v="0"/>
    <x v="0"/>
    <s v=""/>
    <n v="14848.31"/>
    <s v=""/>
  </r>
  <r>
    <x v="0"/>
    <x v="0"/>
    <s v="5300600"/>
    <s v="600000001"/>
    <d v="2004-01-31T00:00:00"/>
    <s v=""/>
    <m/>
    <n v="254381.06"/>
    <n v="0"/>
    <x v="0"/>
    <x v="0"/>
    <s v=""/>
    <n v="254381.06"/>
    <s v=""/>
  </r>
  <r>
    <x v="0"/>
    <x v="0"/>
    <s v="5300600"/>
    <s v="600000034"/>
    <d v="2003-12-31T00:00:00"/>
    <s v=""/>
    <m/>
    <n v="-437770.04"/>
    <n v="0"/>
    <x v="1"/>
    <x v="0"/>
    <s v=""/>
    <n v="-437770.04"/>
    <s v=""/>
  </r>
  <r>
    <x v="0"/>
    <x v="0"/>
    <s v="5300600"/>
    <s v="600000031"/>
    <d v="2003-11-30T00:00:00"/>
    <s v=""/>
    <m/>
    <n v="223686.5"/>
    <n v="0"/>
    <x v="1"/>
    <x v="0"/>
    <s v=""/>
    <n v="223686.5"/>
    <s v=""/>
  </r>
  <r>
    <x v="0"/>
    <x v="0"/>
    <s v="5300600"/>
    <s v="600000028"/>
    <d v="2003-10-31T00:00:00"/>
    <s v=""/>
    <m/>
    <n v="227848.06"/>
    <n v="0"/>
    <x v="1"/>
    <x v="0"/>
    <s v=""/>
    <n v="227848.06"/>
    <s v=""/>
  </r>
  <r>
    <x v="0"/>
    <x v="0"/>
    <s v="5300600"/>
    <s v="600000021"/>
    <d v="2003-08-31T00:00:00"/>
    <s v=""/>
    <m/>
    <n v="13677.74"/>
    <n v="0"/>
    <x v="1"/>
    <x v="0"/>
    <s v=""/>
    <n v="13677.74"/>
    <s v=""/>
  </r>
  <r>
    <x v="0"/>
    <x v="0"/>
    <s v="5300600"/>
    <s v="600000025"/>
    <d v="2003-09-30T00:00:00"/>
    <s v=""/>
    <m/>
    <n v="700334.43"/>
    <n v="0"/>
    <x v="1"/>
    <x v="0"/>
    <s v=""/>
    <n v="700334.43"/>
    <s v=""/>
  </r>
  <r>
    <x v="0"/>
    <x v="0"/>
    <s v="5300600"/>
    <s v="650933"/>
    <d v="2004-07-31T00:00:00"/>
    <s v=""/>
    <m/>
    <n v="-49040.24"/>
    <n v="0"/>
    <x v="0"/>
    <x v="0"/>
    <s v=""/>
    <n v="-49040.24"/>
    <s v=""/>
  </r>
  <r>
    <x v="0"/>
    <x v="0"/>
    <s v="5300600"/>
    <s v="650938"/>
    <d v="2004-07-31T00:00:00"/>
    <s v=""/>
    <m/>
    <n v="-44703.89"/>
    <n v="0"/>
    <x v="0"/>
    <x v="0"/>
    <s v=""/>
    <n v="-44703.89"/>
    <s v=""/>
  </r>
  <r>
    <x v="0"/>
    <x v="0"/>
    <s v="5300600"/>
    <s v="650935"/>
    <d v="2004-07-31T00:00:00"/>
    <s v=""/>
    <m/>
    <n v="432659.77"/>
    <n v="0"/>
    <x v="0"/>
    <x v="0"/>
    <s v=""/>
    <n v="432659.77"/>
    <s v=""/>
  </r>
  <r>
    <x v="0"/>
    <x v="0"/>
    <s v="5300600"/>
    <s v="650933"/>
    <d v="2004-07-31T00:00:00"/>
    <s v=""/>
    <m/>
    <n v="-517.36"/>
    <n v="0"/>
    <x v="0"/>
    <x v="0"/>
    <s v=""/>
    <n v="-517.36"/>
    <s v=""/>
  </r>
  <r>
    <x v="0"/>
    <x v="0"/>
    <s v="5300600"/>
    <s v="650940"/>
    <d v="2004-07-31T00:00:00"/>
    <s v=""/>
    <m/>
    <n v="709.26"/>
    <n v="0"/>
    <x v="0"/>
    <x v="0"/>
    <s v=""/>
    <n v="709.26"/>
    <s v=""/>
  </r>
  <r>
    <x v="0"/>
    <x v="0"/>
    <s v="5300600"/>
    <s v="650933"/>
    <d v="2004-07-31T00:00:00"/>
    <s v=""/>
    <m/>
    <n v="230412.37"/>
    <n v="0"/>
    <x v="0"/>
    <x v="0"/>
    <s v=""/>
    <n v="230412.37"/>
    <s v=""/>
  </r>
  <r>
    <x v="0"/>
    <x v="0"/>
    <s v="5300600"/>
    <s v="650935"/>
    <d v="2004-07-31T00:00:00"/>
    <s v=""/>
    <m/>
    <n v="-178489.23"/>
    <n v="0"/>
    <x v="0"/>
    <x v="0"/>
    <s v=""/>
    <n v="-178489.23"/>
    <s v=""/>
  </r>
  <r>
    <x v="0"/>
    <x v="0"/>
    <s v="5300600"/>
    <s v="650935"/>
    <d v="2004-07-31T00:00:00"/>
    <s v=""/>
    <m/>
    <n v="-43182.61"/>
    <n v="0"/>
    <x v="0"/>
    <x v="0"/>
    <s v=""/>
    <n v="-43182.61"/>
    <s v=""/>
  </r>
  <r>
    <x v="0"/>
    <x v="0"/>
    <s v="5300600"/>
    <s v="650935"/>
    <d v="2004-07-31T00:00:00"/>
    <s v=""/>
    <m/>
    <n v="-332864.18"/>
    <n v="0"/>
    <x v="0"/>
    <x v="0"/>
    <s v=""/>
    <n v="-332864.18"/>
    <s v=""/>
  </r>
  <r>
    <x v="0"/>
    <x v="0"/>
    <s v="5300600"/>
    <s v="650940"/>
    <d v="2004-07-31T00:00:00"/>
    <s v=""/>
    <m/>
    <n v="-121168.92"/>
    <n v="0"/>
    <x v="0"/>
    <x v="0"/>
    <s v=""/>
    <n v="-121168.92"/>
    <s v=""/>
  </r>
  <r>
    <x v="0"/>
    <x v="0"/>
    <s v="5300600"/>
    <s v="650943"/>
    <d v="2004-07-31T00:00:00"/>
    <s v=""/>
    <m/>
    <n v="-709.26"/>
    <n v="0"/>
    <x v="0"/>
    <x v="0"/>
    <s v=""/>
    <n v="-709.26"/>
    <s v=""/>
  </r>
  <r>
    <x v="0"/>
    <x v="0"/>
    <s v="5300600"/>
    <s v="650943"/>
    <d v="2004-07-31T00:00:00"/>
    <s v=""/>
    <m/>
    <n v="-43373.37"/>
    <n v="0"/>
    <x v="0"/>
    <x v="0"/>
    <s v=""/>
    <n v="-43373.37"/>
    <s v=""/>
  </r>
  <r>
    <x v="0"/>
    <x v="0"/>
    <s v="5300600"/>
    <s v="650943"/>
    <d v="2004-07-31T00:00:00"/>
    <s v=""/>
    <m/>
    <n v="-30738.11"/>
    <n v="0"/>
    <x v="0"/>
    <x v="0"/>
    <s v=""/>
    <n v="-30738.11"/>
    <s v=""/>
  </r>
  <r>
    <x v="0"/>
    <x v="0"/>
    <s v="5300600"/>
    <s v="650943"/>
    <d v="2004-07-31T00:00:00"/>
    <s v=""/>
    <m/>
    <n v="391"/>
    <n v="0"/>
    <x v="0"/>
    <x v="0"/>
    <s v=""/>
    <n v="391"/>
    <s v=""/>
  </r>
  <r>
    <x v="0"/>
    <x v="0"/>
    <s v="5300600"/>
    <s v="650943"/>
    <d v="2004-07-31T00:00:00"/>
    <s v=""/>
    <m/>
    <n v="-44703.89"/>
    <n v="0"/>
    <x v="0"/>
    <x v="0"/>
    <s v=""/>
    <n v="-44703.89"/>
    <s v=""/>
  </r>
  <r>
    <x v="0"/>
    <x v="0"/>
    <s v="5300600"/>
    <s v="650943"/>
    <d v="2004-07-31T00:00:00"/>
    <s v=""/>
    <m/>
    <n v="-2035.29"/>
    <n v="0"/>
    <x v="0"/>
    <x v="0"/>
    <s v=""/>
    <n v="-2035.29"/>
    <s v=""/>
  </r>
  <r>
    <x v="0"/>
    <x v="0"/>
    <s v="5300600"/>
    <s v="650943"/>
    <d v="2004-07-31T00:00:00"/>
    <s v=""/>
    <m/>
    <n v="121168.92"/>
    <n v="0"/>
    <x v="0"/>
    <x v="0"/>
    <s v=""/>
    <n v="121168.92"/>
    <s v=""/>
  </r>
  <r>
    <x v="0"/>
    <x v="0"/>
    <s v="5300600"/>
    <s v="650945"/>
    <d v="2004-07-31T00:00:00"/>
    <s v=""/>
    <m/>
    <n v="-129505.33"/>
    <n v="0"/>
    <x v="0"/>
    <x v="0"/>
    <s v=""/>
    <n v="-129505.33"/>
    <s v=""/>
  </r>
  <r>
    <x v="0"/>
    <x v="0"/>
    <s v="5300600"/>
    <s v="650945"/>
    <d v="2004-07-31T00:00:00"/>
    <s v=""/>
    <m/>
    <n v="-92554.63"/>
    <n v="0"/>
    <x v="0"/>
    <x v="0"/>
    <s v=""/>
    <n v="-92554.63"/>
    <s v=""/>
  </r>
  <r>
    <x v="0"/>
    <x v="0"/>
    <s v="5300600"/>
    <s v="650935"/>
    <d v="2004-07-31T00:00:00"/>
    <s v=""/>
    <m/>
    <n v="122147.28"/>
    <n v="0"/>
    <x v="0"/>
    <x v="0"/>
    <s v=""/>
    <n v="122147.28"/>
    <s v=""/>
  </r>
  <r>
    <x v="0"/>
    <x v="0"/>
    <s v="5300600"/>
    <s v="650945"/>
    <d v="2004-07-31T00:00:00"/>
    <s v=""/>
    <m/>
    <n v="28377.73"/>
    <n v="0"/>
    <x v="0"/>
    <x v="0"/>
    <s v=""/>
    <n v="28377.73"/>
    <s v=""/>
  </r>
  <r>
    <x v="0"/>
    <x v="0"/>
    <s v="5300600"/>
    <s v="650945"/>
    <d v="2004-07-31T00:00:00"/>
    <s v=""/>
    <m/>
    <n v="187884.89"/>
    <n v="0"/>
    <x v="0"/>
    <x v="0"/>
    <s v=""/>
    <n v="187884.89"/>
    <s v=""/>
  </r>
  <r>
    <x v="1"/>
    <x v="0"/>
    <s v=""/>
    <s v=""/>
    <m/>
    <s v=""/>
    <m/>
    <n v="-301971.83"/>
    <n v="0"/>
    <x v="4"/>
    <x v="0"/>
    <s v=""/>
    <n v="-301971.83"/>
    <s v=""/>
  </r>
  <r>
    <x v="0"/>
    <x v="1"/>
    <s v="5100001"/>
    <s v="605411"/>
    <d v="2007-10-31T00:00:00"/>
    <s v=""/>
    <m/>
    <n v="-9.9700000000000006"/>
    <n v="0"/>
    <x v="3"/>
    <x v="0"/>
    <s v="Balance Control TP             UK01 0001"/>
    <n v="-9.9700000000000006"/>
    <s v=""/>
  </r>
  <r>
    <x v="0"/>
    <x v="1"/>
    <s v="5100001"/>
    <s v="600487"/>
    <d v="2008-01-31T00:00:00"/>
    <s v=""/>
    <m/>
    <n v="9.9700000000000006"/>
    <n v="0"/>
    <x v="5"/>
    <x v="0"/>
    <s v="Balance Control TP             UK01 0001"/>
    <n v="9.9700000000000006"/>
    <s v=""/>
  </r>
  <r>
    <x v="0"/>
    <x v="1"/>
    <s v="5100001"/>
    <s v="606502"/>
    <d v="2012-12-31T00:00:00"/>
    <s v=""/>
    <m/>
    <n v="-75778.02"/>
    <n v="0"/>
    <x v="6"/>
    <x v="0"/>
    <s v="Balance Control TP             UK01 0001"/>
    <n v="-75778.02"/>
    <s v=""/>
  </r>
  <r>
    <x v="0"/>
    <x v="1"/>
    <s v="5100001"/>
    <s v="601483"/>
    <d v="2014-03-31T00:00:00"/>
    <s v=""/>
    <m/>
    <n v="75778.02"/>
    <n v="0"/>
    <x v="7"/>
    <x v="0"/>
    <s v="Balance Control TP             UK01 0001"/>
    <n v="75778.02"/>
    <s v=""/>
  </r>
  <r>
    <x v="1"/>
    <x v="1"/>
    <s v=""/>
    <s v=""/>
    <m/>
    <s v=""/>
    <m/>
    <n v="0"/>
    <n v="0"/>
    <x v="4"/>
    <x v="0"/>
    <s v=""/>
    <n v="0"/>
    <s v=""/>
  </r>
  <r>
    <x v="0"/>
    <x v="2"/>
    <s v="5200500"/>
    <s v="2900001084"/>
    <d v="2019-01-14T00:00:00"/>
    <s v=""/>
    <m/>
    <n v="2918.54"/>
    <n v="0"/>
    <x v="8"/>
    <x v="0"/>
    <s v="Arles (Mediter. D'emballage) (LE)   0132"/>
    <n v="2918.54"/>
    <s v="0321303"/>
  </r>
  <r>
    <x v="0"/>
    <x v="2"/>
    <s v="5200600"/>
    <s v="2400021465"/>
    <d v="2004-06-17T00:00:00"/>
    <s v=""/>
    <m/>
    <n v="-378.65"/>
    <n v="0"/>
    <x v="0"/>
    <x v="0"/>
    <s v="Arles (Mediter. D'emballage) (LE)   0132"/>
    <n v="-378.65"/>
    <s v=""/>
  </r>
  <r>
    <x v="0"/>
    <x v="2"/>
    <s v="5200600"/>
    <s v="2400020608"/>
    <d v="2004-05-18T00:00:00"/>
    <s v=""/>
    <m/>
    <n v="-7228.7"/>
    <n v="0"/>
    <x v="0"/>
    <x v="0"/>
    <s v="Arles (Mediter. D'emballage) (LE)   0132"/>
    <n v="-7228.7"/>
    <s v=""/>
  </r>
  <r>
    <x v="0"/>
    <x v="2"/>
    <s v="5200600"/>
    <s v="655558"/>
    <d v="2004-08-24T00:00:00"/>
    <s v=""/>
    <m/>
    <n v="7607.35"/>
    <n v="0"/>
    <x v="0"/>
    <x v="0"/>
    <s v="Arles (Mediter. D'emballage) (LE)   0132"/>
    <n v="7607.35"/>
    <s v=""/>
  </r>
  <r>
    <x v="0"/>
    <x v="2"/>
    <s v="5300550"/>
    <s v="602197"/>
    <d v="2007-05-21T00:00:00"/>
    <s v=""/>
    <m/>
    <n v="16835.48"/>
    <n v="0"/>
    <x v="3"/>
    <x v="0"/>
    <s v="Arles (Mediter. D'emballage) (LE)   0132"/>
    <n v="16835.48"/>
    <s v=""/>
  </r>
  <r>
    <x v="0"/>
    <x v="2"/>
    <s v="5300600"/>
    <s v="655558"/>
    <d v="2004-08-24T00:00:00"/>
    <s v=""/>
    <m/>
    <n v="-2315.44"/>
    <n v="0"/>
    <x v="0"/>
    <x v="0"/>
    <s v="Arles (Mediter. D'emballage) (LE)   0132"/>
    <n v="-2315.44"/>
    <s v=""/>
  </r>
  <r>
    <x v="0"/>
    <x v="2"/>
    <s v="5300600"/>
    <s v="1410080047"/>
    <d v="2004-08-01T00:00:00"/>
    <s v=""/>
    <m/>
    <n v="2315.44"/>
    <n v="0"/>
    <x v="0"/>
    <x v="0"/>
    <s v="Arles (Mediter. D'emballage) (LE)   0132"/>
    <n v="2315.44"/>
    <s v=""/>
  </r>
  <r>
    <x v="0"/>
    <x v="2"/>
    <s v="5200600"/>
    <s v=""/>
    <m/>
    <s v="2400020119"/>
    <d v="2004-05-07T00:00:00"/>
    <n v="0"/>
    <n v="-2315.44"/>
    <x v="4"/>
    <x v="1"/>
    <s v="Arles (Mediter. D'emballage) (LE)   0132"/>
    <n v="-2315.44"/>
    <s v=""/>
  </r>
  <r>
    <x v="0"/>
    <x v="2"/>
    <s v="5200600"/>
    <s v=""/>
    <m/>
    <s v="2400020071"/>
    <d v="2004-05-03T00:00:00"/>
    <n v="0"/>
    <n v="-2549.7199999999998"/>
    <x v="4"/>
    <x v="1"/>
    <s v="Arles (Mediter. D'emballage) (LE)   0132"/>
    <n v="-2549.7199999999998"/>
    <s v=""/>
  </r>
  <r>
    <x v="0"/>
    <x v="2"/>
    <s v="5200600"/>
    <s v=""/>
    <m/>
    <s v="651861"/>
    <d v="2004-08-24T00:00:00"/>
    <n v="0"/>
    <n v="4865.16"/>
    <x v="4"/>
    <x v="1"/>
    <s v="Arles (Mediter. D'emballage) (LE)   0132"/>
    <n v="4865.16"/>
    <s v=""/>
  </r>
  <r>
    <x v="0"/>
    <x v="2"/>
    <s v="5300500"/>
    <s v=""/>
    <m/>
    <s v="1400000094"/>
    <d v="2019-01-22T00:00:00"/>
    <n v="0"/>
    <n v="-2918.54"/>
    <x v="4"/>
    <x v="2"/>
    <s v="Arles (Mediter. D'emballage) (LE)   0132"/>
    <n v="-2918.54"/>
    <s v="0321303"/>
  </r>
  <r>
    <x v="0"/>
    <x v="2"/>
    <s v="5300550"/>
    <s v=""/>
    <m/>
    <s v="651871"/>
    <d v="2004-07-31T00:00:00"/>
    <n v="0"/>
    <n v="0.01"/>
    <x v="4"/>
    <x v="1"/>
    <s v="Arles (Mediter. D'emballage) (LE)   0132"/>
    <n v="0.01"/>
    <s v=""/>
  </r>
  <r>
    <x v="0"/>
    <x v="2"/>
    <s v="5300600"/>
    <s v=""/>
    <m/>
    <s v="651861"/>
    <d v="2004-08-24T00:00:00"/>
    <n v="0"/>
    <n v="-378.65"/>
    <x v="4"/>
    <x v="1"/>
    <s v="Arles (Mediter. D'emballage) (LE)   0132"/>
    <n v="-378.65"/>
    <s v=""/>
  </r>
  <r>
    <x v="0"/>
    <x v="2"/>
    <s v="5300600"/>
    <s v=""/>
    <m/>
    <s v="1410070089"/>
    <d v="2004-08-01T00:00:00"/>
    <n v="0"/>
    <n v="378.65"/>
    <x v="4"/>
    <x v="1"/>
    <s v="Arles (Mediter. D'emballage) (LE)   0132"/>
    <n v="378.65"/>
    <s v=""/>
  </r>
  <r>
    <x v="1"/>
    <x v="2"/>
    <s v=""/>
    <s v=""/>
    <m/>
    <s v=""/>
    <m/>
    <n v="19754.02"/>
    <n v="-2918.53"/>
    <x v="4"/>
    <x v="0"/>
    <s v=""/>
    <n v="16835.490000000002"/>
    <s v=""/>
  </r>
  <r>
    <x v="0"/>
    <x v="3"/>
    <s v="5200600"/>
    <s v="2400020732"/>
    <d v="2004-05-26T00:00:00"/>
    <s v=""/>
    <m/>
    <n v="-922.65"/>
    <n v="0"/>
    <x v="0"/>
    <x v="0"/>
    <s v="Chantilly Plant                FR04 0142"/>
    <n v="-922.65"/>
    <s v=""/>
  </r>
  <r>
    <x v="0"/>
    <x v="3"/>
    <s v="5200600"/>
    <s v="655558"/>
    <d v="2004-08-24T00:00:00"/>
    <s v=""/>
    <m/>
    <n v="922.65"/>
    <n v="0"/>
    <x v="0"/>
    <x v="0"/>
    <s v="Chantilly Plant                FR04 0142"/>
    <n v="922.65"/>
    <s v=""/>
  </r>
  <r>
    <x v="0"/>
    <x v="3"/>
    <s v="5200550"/>
    <s v=""/>
    <m/>
    <s v="600119"/>
    <d v="2004-07-31T00:00:00"/>
    <n v="0"/>
    <n v="-301.05"/>
    <x v="4"/>
    <x v="1"/>
    <s v="Chantilly Plant                FR04 0142"/>
    <n v="-301.05"/>
    <s v=""/>
  </r>
  <r>
    <x v="0"/>
    <x v="3"/>
    <s v="5200550"/>
    <s v=""/>
    <m/>
    <s v="600119"/>
    <d v="2004-07-31T00:00:00"/>
    <n v="0"/>
    <n v="7372.48"/>
    <x v="4"/>
    <x v="1"/>
    <s v="Chantilly Plant                FR04 0142"/>
    <n v="7372.48"/>
    <s v=""/>
  </r>
  <r>
    <x v="0"/>
    <x v="3"/>
    <s v="5200550"/>
    <s v=""/>
    <m/>
    <s v="600138"/>
    <d v="2004-07-31T00:00:00"/>
    <n v="0"/>
    <n v="301.05"/>
    <x v="4"/>
    <x v="1"/>
    <s v="Chantilly Plant                FR04 0142"/>
    <n v="301.05"/>
    <s v=""/>
  </r>
  <r>
    <x v="0"/>
    <x v="3"/>
    <s v="5200550"/>
    <s v=""/>
    <m/>
    <s v="601466"/>
    <d v="2004-07-31T00:00:00"/>
    <n v="0"/>
    <n v="-7372.48"/>
    <x v="4"/>
    <x v="1"/>
    <s v="Chantilly Plant                FR04 0142"/>
    <n v="-7372.48"/>
    <s v=""/>
  </r>
  <r>
    <x v="0"/>
    <x v="3"/>
    <s v="5200550"/>
    <s v=""/>
    <m/>
    <s v="601486"/>
    <d v="2004-12-15T00:00:00"/>
    <n v="0"/>
    <n v="390.6"/>
    <x v="4"/>
    <x v="1"/>
    <s v="Chantilly Plant                FR04 0142"/>
    <n v="390.6"/>
    <s v=""/>
  </r>
  <r>
    <x v="0"/>
    <x v="3"/>
    <s v="5200550"/>
    <s v=""/>
    <m/>
    <s v="600001"/>
    <d v="2005-01-15T00:00:00"/>
    <n v="0"/>
    <n v="301.8"/>
    <x v="4"/>
    <x v="3"/>
    <s v="Chantilly Plant                FR04 0142"/>
    <n v="301.8"/>
    <s v=""/>
  </r>
  <r>
    <x v="0"/>
    <x v="3"/>
    <s v="5200550"/>
    <s v=""/>
    <m/>
    <s v="600014"/>
    <d v="2005-04-15T00:00:00"/>
    <n v="0"/>
    <n v="72.66"/>
    <x v="4"/>
    <x v="3"/>
    <s v="Chantilly Plant                FR04 0142"/>
    <n v="72.66"/>
    <s v=""/>
  </r>
  <r>
    <x v="0"/>
    <x v="3"/>
    <s v="5200550"/>
    <s v=""/>
    <m/>
    <s v="600014"/>
    <d v="2005-04-15T00:00:00"/>
    <n v="0"/>
    <n v="-390.6"/>
    <x v="4"/>
    <x v="3"/>
    <s v="Chantilly Plant                FR04 0142"/>
    <n v="-390.6"/>
    <s v=""/>
  </r>
  <r>
    <x v="0"/>
    <x v="3"/>
    <s v="5200550"/>
    <s v=""/>
    <m/>
    <s v="600017"/>
    <d v="2005-05-15T00:00:00"/>
    <n v="0"/>
    <n v="-301.8"/>
    <x v="4"/>
    <x v="3"/>
    <s v="Chantilly Plant                FR04 0142"/>
    <n v="-301.8"/>
    <s v=""/>
  </r>
  <r>
    <x v="0"/>
    <x v="3"/>
    <s v="5200550"/>
    <s v=""/>
    <m/>
    <s v="600025"/>
    <d v="2005-07-15T00:00:00"/>
    <n v="0"/>
    <n v="127.95"/>
    <x v="4"/>
    <x v="3"/>
    <s v="Chantilly Plant                FR04 0142"/>
    <n v="127.95"/>
    <s v=""/>
  </r>
  <r>
    <x v="0"/>
    <x v="3"/>
    <s v="5200550"/>
    <s v=""/>
    <m/>
    <s v="600027"/>
    <d v="2005-08-15T00:00:00"/>
    <n v="0"/>
    <n v="-72.66"/>
    <x v="4"/>
    <x v="3"/>
    <s v="Chantilly Plant                FR04 0142"/>
    <n v="-72.66"/>
    <s v=""/>
  </r>
  <r>
    <x v="0"/>
    <x v="3"/>
    <s v="5200550"/>
    <s v=""/>
    <m/>
    <s v="600039"/>
    <d v="2005-11-15T00:00:00"/>
    <n v="0"/>
    <n v="421.18"/>
    <x v="4"/>
    <x v="3"/>
    <s v="Chantilly Plant                FR04 0142"/>
    <n v="421.18"/>
    <s v=""/>
  </r>
  <r>
    <x v="0"/>
    <x v="3"/>
    <s v="5200550"/>
    <s v=""/>
    <m/>
    <s v="600039"/>
    <d v="2005-11-15T00:00:00"/>
    <n v="0"/>
    <n v="-127.95"/>
    <x v="4"/>
    <x v="3"/>
    <s v="Chantilly Plant                FR04 0142"/>
    <n v="-127.95"/>
    <s v=""/>
  </r>
  <r>
    <x v="0"/>
    <x v="3"/>
    <s v="5200550"/>
    <s v=""/>
    <m/>
    <s v="600005"/>
    <d v="2006-03-15T00:00:00"/>
    <n v="0"/>
    <n v="-421.18"/>
    <x v="4"/>
    <x v="4"/>
    <s v="Chantilly Plant                FR04 0142"/>
    <n v="-421.18"/>
    <s v=""/>
  </r>
  <r>
    <x v="0"/>
    <x v="3"/>
    <s v="5300550"/>
    <s v=""/>
    <m/>
    <s v="600021"/>
    <d v="2005-06-15T00:00:00"/>
    <n v="0"/>
    <n v="-4869.6400000000003"/>
    <x v="4"/>
    <x v="3"/>
    <s v="Chantilly Plant                FR04 0142"/>
    <n v="-4869.6400000000003"/>
    <s v=""/>
  </r>
  <r>
    <x v="0"/>
    <x v="3"/>
    <s v="5300550"/>
    <s v=""/>
    <m/>
    <s v="600025"/>
    <d v="2005-07-15T00:00:00"/>
    <n v="0"/>
    <n v="845.76"/>
    <x v="4"/>
    <x v="3"/>
    <s v="Chantilly Plant                FR04 0142"/>
    <n v="845.76"/>
    <s v=""/>
  </r>
  <r>
    <x v="0"/>
    <x v="3"/>
    <s v="5300550"/>
    <s v=""/>
    <m/>
    <s v="600025"/>
    <d v="2005-07-15T00:00:00"/>
    <n v="0"/>
    <n v="-9488.94"/>
    <x v="4"/>
    <x v="3"/>
    <s v="Chantilly Plant                FR04 0142"/>
    <n v="-9488.94"/>
    <s v=""/>
  </r>
  <r>
    <x v="0"/>
    <x v="3"/>
    <s v="5300550"/>
    <s v=""/>
    <m/>
    <s v="600025"/>
    <d v="2005-07-15T00:00:00"/>
    <n v="0"/>
    <n v="4869.6400000000003"/>
    <x v="4"/>
    <x v="3"/>
    <s v="Chantilly Plant                FR04 0142"/>
    <n v="4869.6400000000003"/>
    <s v=""/>
  </r>
  <r>
    <x v="0"/>
    <x v="3"/>
    <s v="5300550"/>
    <s v=""/>
    <m/>
    <s v="600027"/>
    <d v="2005-08-15T00:00:00"/>
    <n v="0"/>
    <n v="11127.54"/>
    <x v="4"/>
    <x v="3"/>
    <s v="Chantilly Plant                FR04 0142"/>
    <n v="11127.54"/>
    <s v=""/>
  </r>
  <r>
    <x v="0"/>
    <x v="3"/>
    <s v="5300550"/>
    <s v=""/>
    <m/>
    <s v="600027"/>
    <d v="2005-08-15T00:00:00"/>
    <n v="0"/>
    <n v="-5584.22"/>
    <x v="4"/>
    <x v="3"/>
    <s v="Chantilly Plant                FR04 0142"/>
    <n v="-5584.22"/>
    <s v=""/>
  </r>
  <r>
    <x v="0"/>
    <x v="3"/>
    <s v="5300550"/>
    <s v=""/>
    <m/>
    <s v="600027"/>
    <d v="2005-08-15T00:00:00"/>
    <n v="0"/>
    <n v="-1847.1"/>
    <x v="4"/>
    <x v="3"/>
    <s v="Chantilly Plant                FR04 0142"/>
    <n v="-1847.1"/>
    <s v=""/>
  </r>
  <r>
    <x v="0"/>
    <x v="3"/>
    <s v="5300550"/>
    <s v=""/>
    <m/>
    <s v="600033"/>
    <d v="2005-09-15T00:00:00"/>
    <n v="0"/>
    <n v="5154.1000000000004"/>
    <x v="4"/>
    <x v="3"/>
    <s v="Chantilly Plant                FR04 0142"/>
    <n v="5154.1000000000004"/>
    <s v=""/>
  </r>
  <r>
    <x v="0"/>
    <x v="3"/>
    <s v="5300550"/>
    <s v=""/>
    <m/>
    <s v="600033"/>
    <d v="2005-09-15T00:00:00"/>
    <n v="0"/>
    <n v="-6946.51"/>
    <x v="4"/>
    <x v="3"/>
    <s v="Chantilly Plant                FR04 0142"/>
    <n v="-6946.51"/>
    <s v=""/>
  </r>
  <r>
    <x v="0"/>
    <x v="3"/>
    <s v="5300550"/>
    <s v=""/>
    <m/>
    <s v="600033"/>
    <d v="2005-09-15T00:00:00"/>
    <n v="0"/>
    <n v="1847.1"/>
    <x v="4"/>
    <x v="3"/>
    <s v="Chantilly Plant                FR04 0142"/>
    <n v="1847.1"/>
    <s v=""/>
  </r>
  <r>
    <x v="0"/>
    <x v="3"/>
    <s v="5300550"/>
    <s v=""/>
    <m/>
    <s v="600037"/>
    <d v="2005-10-15T00:00:00"/>
    <n v="0"/>
    <n v="12557.15"/>
    <x v="4"/>
    <x v="3"/>
    <s v="Chantilly Plant                FR04 0142"/>
    <n v="12557.15"/>
    <s v=""/>
  </r>
  <r>
    <x v="0"/>
    <x v="3"/>
    <s v="5300550"/>
    <s v=""/>
    <m/>
    <s v="600037"/>
    <d v="2005-10-15T00:00:00"/>
    <n v="0"/>
    <n v="-3176.19"/>
    <x v="4"/>
    <x v="3"/>
    <s v="Chantilly Plant                FR04 0142"/>
    <n v="-3176.19"/>
    <s v=""/>
  </r>
  <r>
    <x v="0"/>
    <x v="3"/>
    <s v="5300550"/>
    <s v=""/>
    <m/>
    <s v="600037"/>
    <d v="2005-10-15T00:00:00"/>
    <n v="0"/>
    <n v="-922.65"/>
    <x v="4"/>
    <x v="3"/>
    <s v="Chantilly Plant                FR04 0142"/>
    <n v="-922.65"/>
    <s v=""/>
  </r>
  <r>
    <x v="0"/>
    <x v="3"/>
    <s v="5300550"/>
    <s v=""/>
    <m/>
    <s v="601472"/>
    <d v="2004-09-15T00:00:00"/>
    <n v="0"/>
    <n v="922.65"/>
    <x v="4"/>
    <x v="1"/>
    <s v="Chantilly Plant                FR04 0142"/>
    <n v="922.65"/>
    <s v=""/>
  </r>
  <r>
    <x v="0"/>
    <x v="3"/>
    <s v="5300550"/>
    <s v=""/>
    <m/>
    <s v="600167"/>
    <d v="2004-07-31T00:00:00"/>
    <n v="0"/>
    <n v="922.65"/>
    <x v="4"/>
    <x v="1"/>
    <s v="Chantilly Plant                FR04 0142"/>
    <n v="922.65"/>
    <s v=""/>
  </r>
  <r>
    <x v="0"/>
    <x v="3"/>
    <s v="5300550"/>
    <s v=""/>
    <m/>
    <s v="600039"/>
    <d v="2005-11-15T00:00:00"/>
    <n v="0"/>
    <n v="3275.95"/>
    <x v="4"/>
    <x v="3"/>
    <s v="Chantilly Plant                FR04 0142"/>
    <n v="3275.95"/>
    <s v=""/>
  </r>
  <r>
    <x v="0"/>
    <x v="3"/>
    <s v="5300550"/>
    <s v=""/>
    <m/>
    <s v="600039"/>
    <d v="2005-11-15T00:00:00"/>
    <n v="0"/>
    <n v="-922.65"/>
    <x v="4"/>
    <x v="3"/>
    <s v="Chantilly Plant                FR04 0142"/>
    <n v="-922.65"/>
    <s v=""/>
  </r>
  <r>
    <x v="0"/>
    <x v="3"/>
    <s v="5300550"/>
    <s v=""/>
    <m/>
    <s v="600039"/>
    <d v="2005-11-15T00:00:00"/>
    <n v="0"/>
    <n v="922.65"/>
    <x v="4"/>
    <x v="3"/>
    <s v="Chantilly Plant                FR04 0142"/>
    <n v="922.65"/>
    <s v=""/>
  </r>
  <r>
    <x v="0"/>
    <x v="3"/>
    <s v="5300550"/>
    <s v=""/>
    <m/>
    <s v="600044"/>
    <d v="2005-12-15T00:00:00"/>
    <n v="0"/>
    <n v="7241.87"/>
    <x v="4"/>
    <x v="3"/>
    <s v="Chantilly Plant                FR04 0142"/>
    <n v="7241.87"/>
    <s v=""/>
  </r>
  <r>
    <x v="0"/>
    <x v="3"/>
    <s v="5300550"/>
    <s v=""/>
    <m/>
    <s v="600000"/>
    <d v="2006-01-15T00:00:00"/>
    <n v="0"/>
    <n v="42286.77"/>
    <x v="4"/>
    <x v="4"/>
    <s v="Chantilly Plant                FR04 0142"/>
    <n v="42286.77"/>
    <s v=""/>
  </r>
  <r>
    <x v="0"/>
    <x v="3"/>
    <s v="5300550"/>
    <s v=""/>
    <m/>
    <s v="600000"/>
    <d v="2006-01-15T00:00:00"/>
    <n v="0"/>
    <n v="5288.86"/>
    <x v="4"/>
    <x v="4"/>
    <s v="Chantilly Plant                FR04 0142"/>
    <n v="5288.86"/>
    <s v=""/>
  </r>
  <r>
    <x v="0"/>
    <x v="3"/>
    <s v="5300550"/>
    <s v=""/>
    <m/>
    <s v="600164"/>
    <d v="2004-07-31T00:00:00"/>
    <n v="0"/>
    <n v="922.65"/>
    <x v="4"/>
    <x v="1"/>
    <s v="Chantilly Plant                FR04 0142"/>
    <n v="922.65"/>
    <s v=""/>
  </r>
  <r>
    <x v="0"/>
    <x v="3"/>
    <s v="5300550"/>
    <s v=""/>
    <m/>
    <s v="600164"/>
    <d v="2004-07-31T00:00:00"/>
    <n v="0"/>
    <n v="-922.65"/>
    <x v="4"/>
    <x v="1"/>
    <s v="Chantilly Plant                FR04 0142"/>
    <n v="-922.65"/>
    <s v=""/>
  </r>
  <r>
    <x v="0"/>
    <x v="3"/>
    <s v="5300550"/>
    <s v=""/>
    <m/>
    <s v="600001"/>
    <d v="2006-01-31T00:00:00"/>
    <n v="0"/>
    <n v="-42286.77"/>
    <x v="4"/>
    <x v="4"/>
    <s v="Chantilly Plant                FR04 0142"/>
    <n v="-42286.77"/>
    <s v=""/>
  </r>
  <r>
    <x v="0"/>
    <x v="3"/>
    <s v="5300550"/>
    <s v=""/>
    <m/>
    <s v="600152"/>
    <d v="2004-07-31T00:00:00"/>
    <n v="0"/>
    <n v="-922.65"/>
    <x v="4"/>
    <x v="1"/>
    <s v="Chantilly Plant                FR04 0142"/>
    <n v="-922.65"/>
    <s v=""/>
  </r>
  <r>
    <x v="0"/>
    <x v="3"/>
    <s v="5300550"/>
    <s v=""/>
    <m/>
    <s v="600010"/>
    <d v="2005-03-15T00:00:00"/>
    <n v="0"/>
    <n v="1219.0899999999999"/>
    <x v="4"/>
    <x v="3"/>
    <s v="Chantilly Plant                FR04 0142"/>
    <n v="1219.0899999999999"/>
    <s v=""/>
  </r>
  <r>
    <x v="0"/>
    <x v="3"/>
    <s v="5300550"/>
    <s v=""/>
    <m/>
    <s v="600014"/>
    <d v="2005-04-15T00:00:00"/>
    <n v="0"/>
    <n v="2080.33"/>
    <x v="4"/>
    <x v="3"/>
    <s v="Chantilly Plant                FR04 0142"/>
    <n v="2080.33"/>
    <s v=""/>
  </r>
  <r>
    <x v="0"/>
    <x v="3"/>
    <s v="5300550"/>
    <s v=""/>
    <m/>
    <s v="600014"/>
    <d v="2005-04-15T00:00:00"/>
    <n v="0"/>
    <n v="-3176.82"/>
    <x v="4"/>
    <x v="3"/>
    <s v="Chantilly Plant                FR04 0142"/>
    <n v="-3176.82"/>
    <s v=""/>
  </r>
  <r>
    <x v="0"/>
    <x v="3"/>
    <s v="5300550"/>
    <s v=""/>
    <m/>
    <s v="600014"/>
    <d v="2005-04-15T00:00:00"/>
    <n v="0"/>
    <n v="-670.47"/>
    <x v="4"/>
    <x v="3"/>
    <s v="Chantilly Plant                FR04 0142"/>
    <n v="-670.47"/>
    <s v=""/>
  </r>
  <r>
    <x v="0"/>
    <x v="3"/>
    <s v="5300550"/>
    <s v=""/>
    <m/>
    <s v="600017"/>
    <d v="2005-05-15T00:00:00"/>
    <n v="0"/>
    <n v="13388.74"/>
    <x v="4"/>
    <x v="3"/>
    <s v="Chantilly Plant                FR04 0142"/>
    <n v="13388.74"/>
    <s v=""/>
  </r>
  <r>
    <x v="0"/>
    <x v="3"/>
    <s v="5300550"/>
    <s v=""/>
    <m/>
    <s v="600017"/>
    <d v="2005-05-15T00:00:00"/>
    <n v="0"/>
    <n v="-13104.82"/>
    <x v="4"/>
    <x v="3"/>
    <s v="Chantilly Plant                FR04 0142"/>
    <n v="-13104.82"/>
    <s v=""/>
  </r>
  <r>
    <x v="0"/>
    <x v="3"/>
    <s v="5300550"/>
    <s v=""/>
    <m/>
    <s v="600017"/>
    <d v="2005-05-15T00:00:00"/>
    <n v="0"/>
    <n v="670.47"/>
    <x v="4"/>
    <x v="3"/>
    <s v="Chantilly Plant                FR04 0142"/>
    <n v="670.47"/>
    <s v=""/>
  </r>
  <r>
    <x v="0"/>
    <x v="3"/>
    <s v="5300550"/>
    <s v=""/>
    <m/>
    <s v="600020"/>
    <d v="2005-06-15T00:00:00"/>
    <n v="0"/>
    <n v="4771.21"/>
    <x v="4"/>
    <x v="3"/>
    <s v="Chantilly Plant                FR04 0142"/>
    <n v="4771.21"/>
    <s v=""/>
  </r>
  <r>
    <x v="0"/>
    <x v="3"/>
    <s v="5300550"/>
    <s v=""/>
    <m/>
    <s v="600020"/>
    <d v="2005-06-15T00:00:00"/>
    <n v="0"/>
    <n v="-6344.16"/>
    <x v="4"/>
    <x v="3"/>
    <s v="Chantilly Plant                FR04 0142"/>
    <n v="-6344.16"/>
    <s v=""/>
  </r>
  <r>
    <x v="0"/>
    <x v="3"/>
    <s v="5300550"/>
    <s v=""/>
    <m/>
    <s v="600010"/>
    <d v="2005-03-15T00:00:00"/>
    <n v="0"/>
    <n v="-2064.85"/>
    <x v="4"/>
    <x v="3"/>
    <s v="Chantilly Plant                FR04 0142"/>
    <n v="-2064.85"/>
    <s v=""/>
  </r>
  <r>
    <x v="0"/>
    <x v="3"/>
    <s v="5300550"/>
    <s v=""/>
    <m/>
    <s v="600010"/>
    <d v="2005-03-15T00:00:00"/>
    <n v="0"/>
    <n v="8052.08"/>
    <x v="4"/>
    <x v="3"/>
    <s v="Chantilly Plant                FR04 0142"/>
    <n v="8052.08"/>
    <s v=""/>
  </r>
  <r>
    <x v="0"/>
    <x v="3"/>
    <s v="5300550"/>
    <s v=""/>
    <m/>
    <s v="600007"/>
    <d v="2005-02-15T00:00:00"/>
    <n v="0"/>
    <n v="-1219.0899999999999"/>
    <x v="4"/>
    <x v="3"/>
    <s v="Chantilly Plant                FR04 0142"/>
    <n v="-1219.0899999999999"/>
    <s v=""/>
  </r>
  <r>
    <x v="0"/>
    <x v="3"/>
    <s v="5300550"/>
    <s v=""/>
    <m/>
    <s v="600007"/>
    <d v="2005-02-15T00:00:00"/>
    <n v="0"/>
    <n v="1648.45"/>
    <x v="4"/>
    <x v="3"/>
    <s v="Chantilly Plant                FR04 0142"/>
    <n v="1648.45"/>
    <s v=""/>
  </r>
  <r>
    <x v="0"/>
    <x v="3"/>
    <s v="5300550"/>
    <s v=""/>
    <m/>
    <s v="600007"/>
    <d v="2005-02-15T00:00:00"/>
    <n v="0"/>
    <n v="-9270.7900000000009"/>
    <x v="4"/>
    <x v="3"/>
    <s v="Chantilly Plant                FR04 0142"/>
    <n v="-9270.7900000000009"/>
    <s v=""/>
  </r>
  <r>
    <x v="0"/>
    <x v="3"/>
    <s v="5300550"/>
    <s v=""/>
    <m/>
    <s v="600007"/>
    <d v="2005-02-15T00:00:00"/>
    <n v="0"/>
    <n v="3903.74"/>
    <x v="4"/>
    <x v="3"/>
    <s v="Chantilly Plant                FR04 0142"/>
    <n v="3903.74"/>
    <s v=""/>
  </r>
  <r>
    <x v="0"/>
    <x v="3"/>
    <s v="5300550"/>
    <s v=""/>
    <m/>
    <s v="600001"/>
    <d v="2005-01-15T00:00:00"/>
    <n v="0"/>
    <n v="-1648.45"/>
    <x v="4"/>
    <x v="3"/>
    <s v="Chantilly Plant                FR04 0142"/>
    <n v="-1648.45"/>
    <s v=""/>
  </r>
  <r>
    <x v="0"/>
    <x v="3"/>
    <s v="5300550"/>
    <s v=""/>
    <m/>
    <s v="600001"/>
    <d v="2005-01-15T00:00:00"/>
    <n v="0"/>
    <n v="-7670.07"/>
    <x v="4"/>
    <x v="3"/>
    <s v="Chantilly Plant                FR04 0142"/>
    <n v="-7670.07"/>
    <s v=""/>
  </r>
  <r>
    <x v="0"/>
    <x v="3"/>
    <s v="5300550"/>
    <s v=""/>
    <m/>
    <s v="600001"/>
    <d v="2005-01-15T00:00:00"/>
    <n v="0"/>
    <n v="845.76"/>
    <x v="4"/>
    <x v="3"/>
    <s v="Chantilly Plant                FR04 0142"/>
    <n v="845.76"/>
    <s v=""/>
  </r>
  <r>
    <x v="0"/>
    <x v="3"/>
    <s v="5300550"/>
    <s v=""/>
    <m/>
    <s v="601486"/>
    <d v="2004-12-15T00:00:00"/>
    <n v="0"/>
    <n v="-2080.33"/>
    <x v="4"/>
    <x v="1"/>
    <s v="Chantilly Plant                FR04 0142"/>
    <n v="-2080.33"/>
    <s v=""/>
  </r>
  <r>
    <x v="0"/>
    <x v="3"/>
    <s v="5300550"/>
    <s v=""/>
    <m/>
    <s v="601479"/>
    <d v="2004-11-15T00:00:00"/>
    <n v="0"/>
    <n v="3903.74"/>
    <x v="4"/>
    <x v="1"/>
    <s v="Chantilly Plant                FR04 0142"/>
    <n v="3903.74"/>
    <s v=""/>
  </r>
  <r>
    <x v="0"/>
    <x v="3"/>
    <s v="5300550"/>
    <s v=""/>
    <m/>
    <s v="601479"/>
    <d v="2004-11-15T00:00:00"/>
    <n v="0"/>
    <n v="-11955.82"/>
    <x v="4"/>
    <x v="1"/>
    <s v="Chantilly Plant                FR04 0142"/>
    <n v="-11955.82"/>
    <s v=""/>
  </r>
  <r>
    <x v="0"/>
    <x v="3"/>
    <s v="5300550"/>
    <s v=""/>
    <m/>
    <s v="601477"/>
    <d v="2004-10-15T00:00:00"/>
    <n v="0"/>
    <n v="-3903.74"/>
    <x v="4"/>
    <x v="1"/>
    <s v="Chantilly Plant                FR04 0142"/>
    <n v="-3903.74"/>
    <s v=""/>
  </r>
  <r>
    <x v="0"/>
    <x v="3"/>
    <s v="5300550"/>
    <s v=""/>
    <m/>
    <s v="601477"/>
    <d v="2004-10-15T00:00:00"/>
    <n v="0"/>
    <n v="-845.76"/>
    <x v="4"/>
    <x v="1"/>
    <s v="Chantilly Plant                FR04 0142"/>
    <n v="-845.76"/>
    <s v=""/>
  </r>
  <r>
    <x v="0"/>
    <x v="3"/>
    <s v="5300550"/>
    <s v=""/>
    <m/>
    <s v="600163"/>
    <d v="2004-07-31T00:00:00"/>
    <n v="0"/>
    <n v="-922.65"/>
    <x v="4"/>
    <x v="1"/>
    <s v="Chantilly Plant                FR04 0142"/>
    <n v="-922.65"/>
    <s v=""/>
  </r>
  <r>
    <x v="0"/>
    <x v="3"/>
    <s v="5300550"/>
    <s v=""/>
    <m/>
    <s v="600003"/>
    <d v="2006-02-15T00:00:00"/>
    <n v="0"/>
    <n v="4098.84"/>
    <x v="4"/>
    <x v="4"/>
    <s v="Chantilly Plant                FR04 0142"/>
    <n v="4098.84"/>
    <s v=""/>
  </r>
  <r>
    <x v="0"/>
    <x v="3"/>
    <s v="5300600"/>
    <s v=""/>
    <m/>
    <s v="600200"/>
    <d v="2004-07-31T00:00:00"/>
    <n v="0"/>
    <n v="2011.48"/>
    <x v="4"/>
    <x v="1"/>
    <s v="Chantilly Plant                FR04 0142"/>
    <n v="2011.48"/>
    <s v=""/>
  </r>
  <r>
    <x v="0"/>
    <x v="3"/>
    <s v="5300600"/>
    <s v=""/>
    <m/>
    <s v="600200"/>
    <d v="2004-07-31T00:00:00"/>
    <n v="0"/>
    <n v="-2011.48"/>
    <x v="4"/>
    <x v="1"/>
    <s v="Chantilly Plant                FR04 0142"/>
    <n v="-2011.48"/>
    <s v=""/>
  </r>
  <r>
    <x v="1"/>
    <x v="3"/>
    <s v=""/>
    <s v=""/>
    <m/>
    <s v=""/>
    <m/>
    <n v="0"/>
    <n v="0"/>
    <x v="4"/>
    <x v="0"/>
    <s v=""/>
    <n v="0"/>
    <s v=""/>
  </r>
  <r>
    <x v="0"/>
    <x v="4"/>
    <s v="5001000"/>
    <s v="600420"/>
    <d v="2019-01-24T00:00:00"/>
    <s v=""/>
    <m/>
    <n v="1000000"/>
    <n v="0"/>
    <x v="8"/>
    <x v="0"/>
    <s v="Creil Plant                    FR07 0143"/>
    <n v="1000000"/>
    <s v=""/>
  </r>
  <r>
    <x v="0"/>
    <x v="4"/>
    <s v="5001051"/>
    <s v="600554"/>
    <d v="2019-01-31T00:00:00"/>
    <s v=""/>
    <m/>
    <n v="95.56"/>
    <n v="0"/>
    <x v="8"/>
    <x v="0"/>
    <s v="Creil Plant                    FR07 0143"/>
    <n v="95.56"/>
    <s v=""/>
  </r>
  <r>
    <x v="0"/>
    <x v="4"/>
    <s v="5200500"/>
    <s v="2900002483"/>
    <d v="2019-01-29T00:00:00"/>
    <s v=""/>
    <m/>
    <n v="1296.6600000000001"/>
    <n v="0"/>
    <x v="8"/>
    <x v="0"/>
    <s v="Creil Plant                    FR07 0143"/>
    <n v="1296.6600000000001"/>
    <s v="0321770"/>
  </r>
  <r>
    <x v="0"/>
    <x v="4"/>
    <s v="5200500"/>
    <s v="2900002482"/>
    <d v="2019-01-29T00:00:00"/>
    <s v=""/>
    <m/>
    <n v="2466.98"/>
    <n v="0"/>
    <x v="8"/>
    <x v="0"/>
    <s v="Creil Plant                    FR07 0143"/>
    <n v="2466.98"/>
    <s v="0321769"/>
  </r>
  <r>
    <x v="0"/>
    <x v="4"/>
    <s v="5200500"/>
    <s v="2900002359"/>
    <d v="2019-01-28T00:00:00"/>
    <s v=""/>
    <m/>
    <n v="10121.040000000001"/>
    <n v="0"/>
    <x v="8"/>
    <x v="0"/>
    <s v="Creil Plant                    FR07 0143"/>
    <n v="10121.040000000001"/>
    <s v="0321740"/>
  </r>
  <r>
    <x v="0"/>
    <x v="4"/>
    <s v="5200500"/>
    <s v="2900002308"/>
    <d v="2019-01-28T00:00:00"/>
    <s v=""/>
    <m/>
    <n v="11720.31"/>
    <n v="0"/>
    <x v="8"/>
    <x v="0"/>
    <s v="Creil Plant                    FR07 0143"/>
    <n v="11720.31"/>
    <s v="0321689"/>
  </r>
  <r>
    <x v="0"/>
    <x v="4"/>
    <s v="5200500"/>
    <s v="2900001584"/>
    <d v="2019-01-18T00:00:00"/>
    <s v=""/>
    <m/>
    <n v="6285.6"/>
    <n v="0"/>
    <x v="8"/>
    <x v="0"/>
    <s v="Creil Plant                    FR07 0143"/>
    <n v="6285.6"/>
    <s v="0321472"/>
  </r>
  <r>
    <x v="0"/>
    <x v="4"/>
    <s v="5200500"/>
    <s v="2900001436"/>
    <d v="2019-01-17T00:00:00"/>
    <s v=""/>
    <m/>
    <n v="186.93"/>
    <n v="0"/>
    <x v="8"/>
    <x v="0"/>
    <s v="Creil Plant                    FR07 0143"/>
    <n v="186.93"/>
    <s v="0321411"/>
  </r>
  <r>
    <x v="0"/>
    <x v="4"/>
    <s v="5200500"/>
    <s v="2900001437"/>
    <d v="2019-01-17T00:00:00"/>
    <s v=""/>
    <m/>
    <n v="7129.5"/>
    <n v="0"/>
    <x v="8"/>
    <x v="0"/>
    <s v="Creil Plant                    FR07 0143"/>
    <n v="7129.5"/>
    <s v="0321412"/>
  </r>
  <r>
    <x v="0"/>
    <x v="4"/>
    <s v="5200550"/>
    <s v="600553"/>
    <d v="2019-01-31T00:00:00"/>
    <s v=""/>
    <m/>
    <n v="-26"/>
    <n v="0"/>
    <x v="8"/>
    <x v="0"/>
    <s v="Creil Plant                    FR07 0143"/>
    <n v="-26"/>
    <s v="RECLASS 06192134"/>
  </r>
  <r>
    <x v="0"/>
    <x v="4"/>
    <s v="5200550"/>
    <s v="600553"/>
    <d v="2019-01-31T00:00:00"/>
    <s v=""/>
    <m/>
    <n v="-26.51"/>
    <n v="0"/>
    <x v="8"/>
    <x v="0"/>
    <s v="Creil Plant                    FR07 0143"/>
    <n v="-26.51"/>
    <s v="RECLASS 06192134"/>
  </r>
  <r>
    <x v="0"/>
    <x v="4"/>
    <s v="5200550"/>
    <s v="1400000349"/>
    <d v="2019-01-30T00:00:00"/>
    <s v=""/>
    <m/>
    <n v="26"/>
    <n v="0"/>
    <x v="8"/>
    <x v="0"/>
    <s v="Creil Plant                    FR07 0143"/>
    <n v="26"/>
    <s v="61434860"/>
  </r>
  <r>
    <x v="0"/>
    <x v="4"/>
    <s v="5200550"/>
    <s v="1400000349"/>
    <d v="2019-01-30T00:00:00"/>
    <s v=""/>
    <m/>
    <n v="26.51"/>
    <n v="0"/>
    <x v="8"/>
    <x v="0"/>
    <s v="Creil Plant                    FR07 0143"/>
    <n v="26.51"/>
    <s v="61434860"/>
  </r>
  <r>
    <x v="0"/>
    <x v="4"/>
    <s v="5200600"/>
    <s v="2400020518"/>
    <d v="2004-05-13T00:00:00"/>
    <s v=""/>
    <m/>
    <n v="-1260"/>
    <n v="0"/>
    <x v="0"/>
    <x v="0"/>
    <s v="Creil Plant                    FR07 0143"/>
    <n v="-1260"/>
    <s v=""/>
  </r>
  <r>
    <x v="0"/>
    <x v="4"/>
    <s v="5200600"/>
    <s v="2400020519"/>
    <d v="2004-05-13T00:00:00"/>
    <s v=""/>
    <m/>
    <n v="-1612.8"/>
    <n v="0"/>
    <x v="0"/>
    <x v="0"/>
    <s v="Creil Plant                    FR07 0143"/>
    <n v="-1612.8"/>
    <s v=""/>
  </r>
  <r>
    <x v="0"/>
    <x v="4"/>
    <s v="5200600"/>
    <s v="2400020520"/>
    <d v="2004-05-13T00:00:00"/>
    <s v=""/>
    <m/>
    <n v="-1760.8"/>
    <n v="0"/>
    <x v="0"/>
    <x v="0"/>
    <s v="Creil Plant                    FR07 0143"/>
    <n v="-1760.8"/>
    <s v=""/>
  </r>
  <r>
    <x v="0"/>
    <x v="4"/>
    <s v="5200600"/>
    <s v="2400020552"/>
    <d v="2004-05-14T00:00:00"/>
    <s v=""/>
    <m/>
    <n v="-10504.36"/>
    <n v="0"/>
    <x v="0"/>
    <x v="0"/>
    <s v="Creil Plant                    FR07 0143"/>
    <n v="-10504.36"/>
    <s v=""/>
  </r>
  <r>
    <x v="0"/>
    <x v="4"/>
    <s v="5200600"/>
    <s v="2400020609"/>
    <d v="2004-05-18T00:00:00"/>
    <s v=""/>
    <m/>
    <n v="-6521.34"/>
    <n v="0"/>
    <x v="0"/>
    <x v="0"/>
    <s v="Creil Plant                    FR07 0143"/>
    <n v="-6521.34"/>
    <s v=""/>
  </r>
  <r>
    <x v="0"/>
    <x v="4"/>
    <s v="5200600"/>
    <s v="2400020657"/>
    <d v="2004-05-21T00:00:00"/>
    <s v=""/>
    <m/>
    <n v="-2593.5"/>
    <n v="0"/>
    <x v="0"/>
    <x v="0"/>
    <s v="Creil Plant                    FR07 0143"/>
    <n v="-2593.5"/>
    <s v=""/>
  </r>
  <r>
    <x v="0"/>
    <x v="4"/>
    <s v="5200600"/>
    <s v="2400020658"/>
    <d v="2004-05-21T00:00:00"/>
    <s v=""/>
    <m/>
    <n v="-2256"/>
    <n v="0"/>
    <x v="0"/>
    <x v="0"/>
    <s v="Creil Plant                    FR07 0143"/>
    <n v="-2256"/>
    <s v=""/>
  </r>
  <r>
    <x v="0"/>
    <x v="4"/>
    <s v="5200600"/>
    <s v="2400020659"/>
    <d v="2004-05-21T00:00:00"/>
    <s v=""/>
    <m/>
    <n v="-1339"/>
    <n v="0"/>
    <x v="0"/>
    <x v="0"/>
    <s v="Creil Plant                    FR07 0143"/>
    <n v="-1339"/>
    <s v=""/>
  </r>
  <r>
    <x v="0"/>
    <x v="4"/>
    <s v="5200600"/>
    <s v="2400020678"/>
    <d v="2004-05-24T00:00:00"/>
    <s v=""/>
    <m/>
    <n v="-2606.4499999999998"/>
    <n v="0"/>
    <x v="0"/>
    <x v="0"/>
    <s v="Creil Plant                    FR07 0143"/>
    <n v="-2606.4499999999998"/>
    <s v=""/>
  </r>
  <r>
    <x v="0"/>
    <x v="4"/>
    <s v="5200600"/>
    <s v="2400020679"/>
    <d v="2004-05-24T00:00:00"/>
    <s v=""/>
    <m/>
    <n v="-652.13"/>
    <n v="0"/>
    <x v="0"/>
    <x v="0"/>
    <s v="Creil Plant                    FR07 0143"/>
    <n v="-652.13"/>
    <s v=""/>
  </r>
  <r>
    <x v="0"/>
    <x v="4"/>
    <s v="5200600"/>
    <s v="2400020680"/>
    <d v="2004-05-24T00:00:00"/>
    <s v=""/>
    <m/>
    <n v="-1474.2"/>
    <n v="0"/>
    <x v="0"/>
    <x v="0"/>
    <s v="Creil Plant                    FR07 0143"/>
    <n v="-1474.2"/>
    <s v=""/>
  </r>
  <r>
    <x v="0"/>
    <x v="4"/>
    <s v="5200600"/>
    <s v="2400020681"/>
    <d v="2004-05-24T00:00:00"/>
    <s v=""/>
    <m/>
    <n v="-819"/>
    <n v="0"/>
    <x v="0"/>
    <x v="0"/>
    <s v="Creil Plant                    FR07 0143"/>
    <n v="-819"/>
    <s v=""/>
  </r>
  <r>
    <x v="0"/>
    <x v="4"/>
    <s v="5200600"/>
    <s v="2400020733"/>
    <d v="2004-05-26T00:00:00"/>
    <s v=""/>
    <m/>
    <n v="-2309.16"/>
    <n v="0"/>
    <x v="0"/>
    <x v="0"/>
    <s v="Creil Plant                    FR07 0143"/>
    <n v="-2309.16"/>
    <s v=""/>
  </r>
  <r>
    <x v="0"/>
    <x v="4"/>
    <s v="5200600"/>
    <s v="2400020807"/>
    <d v="2004-06-02T00:00:00"/>
    <s v=""/>
    <m/>
    <n v="-4394.1400000000003"/>
    <n v="0"/>
    <x v="0"/>
    <x v="0"/>
    <s v="Creil Plant                    FR07 0143"/>
    <n v="-4394.1400000000003"/>
    <s v=""/>
  </r>
  <r>
    <x v="0"/>
    <x v="4"/>
    <s v="5200600"/>
    <s v="2400020856"/>
    <d v="2004-06-02T00:00:00"/>
    <s v=""/>
    <m/>
    <n v="-3968"/>
    <n v="0"/>
    <x v="0"/>
    <x v="0"/>
    <s v="Creil Plant                    FR07 0143"/>
    <n v="-3968"/>
    <s v=""/>
  </r>
  <r>
    <x v="0"/>
    <x v="4"/>
    <s v="5200600"/>
    <s v="2400020857"/>
    <d v="2004-06-02T00:00:00"/>
    <s v=""/>
    <m/>
    <n v="-3931.2"/>
    <n v="0"/>
    <x v="0"/>
    <x v="0"/>
    <s v="Creil Plant                    FR07 0143"/>
    <n v="-3931.2"/>
    <s v=""/>
  </r>
  <r>
    <x v="0"/>
    <x v="4"/>
    <s v="5200600"/>
    <s v="2400021240"/>
    <d v="2004-06-11T00:00:00"/>
    <s v=""/>
    <m/>
    <n v="-6195.27"/>
    <n v="0"/>
    <x v="0"/>
    <x v="0"/>
    <s v="Creil Plant                    FR07 0143"/>
    <n v="-6195.27"/>
    <s v=""/>
  </r>
  <r>
    <x v="0"/>
    <x v="4"/>
    <s v="5200600"/>
    <s v="2400021392"/>
    <d v="2004-06-16T00:00:00"/>
    <s v=""/>
    <m/>
    <n v="-978.2"/>
    <n v="0"/>
    <x v="0"/>
    <x v="0"/>
    <s v="Creil Plant                    FR07 0143"/>
    <n v="-978.2"/>
    <s v=""/>
  </r>
  <r>
    <x v="0"/>
    <x v="4"/>
    <s v="5200600"/>
    <s v="655558"/>
    <d v="2004-08-24T00:00:00"/>
    <s v=""/>
    <m/>
    <n v="100174.08"/>
    <n v="0"/>
    <x v="0"/>
    <x v="0"/>
    <s v="Creil Plant                    FR07 0143"/>
    <n v="100174.08"/>
    <s v=""/>
  </r>
  <r>
    <x v="0"/>
    <x v="4"/>
    <s v="5200600"/>
    <s v="2400024075"/>
    <d v="2004-07-27T00:00:00"/>
    <s v=""/>
    <m/>
    <n v="-2036.53"/>
    <n v="0"/>
    <x v="0"/>
    <x v="0"/>
    <s v="Creil Plant                    FR07 0143"/>
    <n v="-2036.53"/>
    <s v=""/>
  </r>
  <r>
    <x v="0"/>
    <x v="4"/>
    <s v="5200600"/>
    <s v="2400023831"/>
    <d v="2004-07-23T00:00:00"/>
    <s v=""/>
    <m/>
    <n v="-10182.67"/>
    <n v="0"/>
    <x v="0"/>
    <x v="0"/>
    <s v="Creil Plant                    FR07 0143"/>
    <n v="-10182.67"/>
    <s v=""/>
  </r>
  <r>
    <x v="0"/>
    <x v="4"/>
    <s v="5200600"/>
    <s v="2400023830"/>
    <d v="2004-07-23T00:00:00"/>
    <s v=""/>
    <m/>
    <n v="-16292.28"/>
    <n v="0"/>
    <x v="0"/>
    <x v="0"/>
    <s v="Creil Plant                    FR07 0143"/>
    <n v="-16292.28"/>
    <s v=""/>
  </r>
  <r>
    <x v="0"/>
    <x v="4"/>
    <s v="5200600"/>
    <s v="2400023600"/>
    <d v="2004-07-21T00:00:00"/>
    <s v=""/>
    <m/>
    <n v="-959"/>
    <n v="0"/>
    <x v="0"/>
    <x v="0"/>
    <s v="Creil Plant                    FR07 0143"/>
    <n v="-959"/>
    <s v=""/>
  </r>
  <r>
    <x v="0"/>
    <x v="4"/>
    <s v="5200600"/>
    <s v="2400023599"/>
    <d v="2004-07-21T00:00:00"/>
    <s v=""/>
    <m/>
    <n v="-959"/>
    <n v="0"/>
    <x v="0"/>
    <x v="0"/>
    <s v="Creil Plant                    FR07 0143"/>
    <n v="-959"/>
    <s v=""/>
  </r>
  <r>
    <x v="0"/>
    <x v="4"/>
    <s v="5200600"/>
    <s v="2400023598"/>
    <d v="2004-07-21T00:00:00"/>
    <s v=""/>
    <m/>
    <n v="-2013.9"/>
    <n v="0"/>
    <x v="0"/>
    <x v="0"/>
    <s v="Creil Plant                    FR07 0143"/>
    <n v="-2013.9"/>
    <s v=""/>
  </r>
  <r>
    <x v="0"/>
    <x v="4"/>
    <s v="5200600"/>
    <s v="2400022048"/>
    <d v="2004-07-01T00:00:00"/>
    <s v=""/>
    <m/>
    <n v="-1525.95"/>
    <n v="0"/>
    <x v="0"/>
    <x v="0"/>
    <s v="Creil Plant                    FR07 0143"/>
    <n v="-1525.95"/>
    <s v=""/>
  </r>
  <r>
    <x v="0"/>
    <x v="4"/>
    <s v="5200600"/>
    <s v="2400022047"/>
    <d v="2004-07-01T00:00:00"/>
    <s v=""/>
    <m/>
    <n v="-291.93"/>
    <n v="0"/>
    <x v="0"/>
    <x v="0"/>
    <s v="Creil Plant                    FR07 0143"/>
    <n v="-291.93"/>
    <s v=""/>
  </r>
  <r>
    <x v="0"/>
    <x v="4"/>
    <s v="5200600"/>
    <s v="2400021921"/>
    <d v="2004-06-28T00:00:00"/>
    <s v=""/>
    <m/>
    <n v="138.94"/>
    <n v="0"/>
    <x v="0"/>
    <x v="0"/>
    <s v="Creil Plant                    FR07 0143"/>
    <n v="138.94"/>
    <s v=""/>
  </r>
  <r>
    <x v="0"/>
    <x v="4"/>
    <s v="5200600"/>
    <s v="2400021910"/>
    <d v="2004-06-28T00:00:00"/>
    <s v=""/>
    <m/>
    <n v="-1459.66"/>
    <n v="0"/>
    <x v="0"/>
    <x v="0"/>
    <s v="Creil Plant                    FR07 0143"/>
    <n v="-1459.66"/>
    <s v=""/>
  </r>
  <r>
    <x v="0"/>
    <x v="4"/>
    <s v="5200600"/>
    <s v="2400021909"/>
    <d v="2004-06-28T00:00:00"/>
    <s v=""/>
    <m/>
    <n v="-2335.4499999999998"/>
    <n v="0"/>
    <x v="0"/>
    <x v="0"/>
    <s v="Creil Plant                    FR07 0143"/>
    <n v="-2335.4499999999998"/>
    <s v=""/>
  </r>
  <r>
    <x v="0"/>
    <x v="4"/>
    <s v="5200600"/>
    <s v="2400021908"/>
    <d v="2004-06-28T00:00:00"/>
    <s v=""/>
    <m/>
    <n v="-1988.55"/>
    <n v="0"/>
    <x v="0"/>
    <x v="0"/>
    <s v="Creil Plant                    FR07 0143"/>
    <n v="-1988.55"/>
    <s v=""/>
  </r>
  <r>
    <x v="0"/>
    <x v="4"/>
    <s v="5200600"/>
    <s v="2400021812"/>
    <d v="2004-06-25T00:00:00"/>
    <s v=""/>
    <m/>
    <n v="-3110.21"/>
    <n v="0"/>
    <x v="0"/>
    <x v="0"/>
    <s v="Creil Plant                    FR07 0143"/>
    <n v="-3110.21"/>
    <s v=""/>
  </r>
  <r>
    <x v="0"/>
    <x v="4"/>
    <s v="5200600"/>
    <s v="2400021811"/>
    <d v="2004-06-25T00:00:00"/>
    <s v=""/>
    <m/>
    <n v="-1493.02"/>
    <n v="0"/>
    <x v="0"/>
    <x v="0"/>
    <s v="Creil Plant                    FR07 0143"/>
    <n v="-1493.02"/>
    <s v=""/>
  </r>
  <r>
    <x v="0"/>
    <x v="4"/>
    <s v="5200600"/>
    <s v="2400021810"/>
    <d v="2004-06-25T00:00:00"/>
    <s v=""/>
    <m/>
    <n v="-1560.3"/>
    <n v="0"/>
    <x v="0"/>
    <x v="0"/>
    <s v="Creil Plant                    FR07 0143"/>
    <n v="-1560.3"/>
    <s v=""/>
  </r>
  <r>
    <x v="0"/>
    <x v="4"/>
    <s v="5200600"/>
    <s v="2400021809"/>
    <d v="2004-06-25T00:00:00"/>
    <s v=""/>
    <m/>
    <n v="-2996.72"/>
    <n v="0"/>
    <x v="0"/>
    <x v="0"/>
    <s v="Creil Plant                    FR07 0143"/>
    <n v="-2996.72"/>
    <s v=""/>
  </r>
  <r>
    <x v="0"/>
    <x v="4"/>
    <s v="5200600"/>
    <s v="2400021540"/>
    <d v="2004-06-18T00:00:00"/>
    <s v=""/>
    <m/>
    <n v="4067.7"/>
    <n v="0"/>
    <x v="0"/>
    <x v="0"/>
    <s v="Creil Plant                    FR07 0143"/>
    <n v="4067.7"/>
    <s v=""/>
  </r>
  <r>
    <x v="0"/>
    <x v="4"/>
    <s v="5300500"/>
    <s v="1400000270"/>
    <d v="2019-01-28T00:00:00"/>
    <s v=""/>
    <m/>
    <n v="-33261.199999999997"/>
    <n v="0"/>
    <x v="8"/>
    <x v="0"/>
    <s v="Creil Plant                    FR07 0143"/>
    <n v="-33261.199999999997"/>
    <s v="0290794"/>
  </r>
  <r>
    <x v="0"/>
    <x v="4"/>
    <s v="5300500"/>
    <s v="1600000698"/>
    <d v="2019-01-28T00:00:00"/>
    <s v=""/>
    <m/>
    <n v="-663.65"/>
    <n v="0"/>
    <x v="8"/>
    <x v="0"/>
    <s v="Creil Plant                    FR07 0143"/>
    <n v="-663.65"/>
    <s v="0291020"/>
  </r>
  <r>
    <x v="0"/>
    <x v="4"/>
    <s v="5300500"/>
    <s v="1400000277"/>
    <d v="2019-01-28T00:00:00"/>
    <s v=""/>
    <m/>
    <n v="-3780"/>
    <n v="0"/>
    <x v="8"/>
    <x v="0"/>
    <s v="Creil Plant                    FR07 0143"/>
    <n v="-3780"/>
    <s v="0290833"/>
  </r>
  <r>
    <x v="0"/>
    <x v="4"/>
    <s v="5300500"/>
    <s v="1400000299"/>
    <d v="2019-01-28T00:00:00"/>
    <s v=""/>
    <m/>
    <n v="-5877.04"/>
    <n v="0"/>
    <x v="8"/>
    <x v="0"/>
    <s v="Creil Plant                    FR07 0143"/>
    <n v="-5877.04"/>
    <s v="0291068"/>
  </r>
  <r>
    <x v="0"/>
    <x v="4"/>
    <s v="5300500"/>
    <s v="1400000289"/>
    <d v="2019-01-28T00:00:00"/>
    <s v=""/>
    <m/>
    <n v="-200"/>
    <n v="0"/>
    <x v="8"/>
    <x v="0"/>
    <s v="Creil Plant                    FR07 0143"/>
    <n v="-200"/>
    <s v="0291015"/>
  </r>
  <r>
    <x v="0"/>
    <x v="4"/>
    <s v="5300500"/>
    <s v="1600000699"/>
    <d v="2019-01-28T00:00:00"/>
    <s v=""/>
    <m/>
    <n v="-6919.89"/>
    <n v="0"/>
    <x v="8"/>
    <x v="0"/>
    <s v="Creil Plant                    FR07 0143"/>
    <n v="-6919.89"/>
    <s v="0291017"/>
  </r>
  <r>
    <x v="0"/>
    <x v="4"/>
    <s v="5300550"/>
    <s v="600550"/>
    <d v="2019-01-31T00:00:00"/>
    <s v=""/>
    <m/>
    <n v="-8932.41"/>
    <n v="0"/>
    <x v="8"/>
    <x v="0"/>
    <s v="Creil Plant                    FR07 0143"/>
    <n v="-8932.41"/>
    <s v="AJUST PROV INTER"/>
  </r>
  <r>
    <x v="0"/>
    <x v="4"/>
    <s v="5300550"/>
    <s v="600550"/>
    <d v="2019-01-31T00:00:00"/>
    <s v=""/>
    <m/>
    <n v="-3827.2"/>
    <n v="0"/>
    <x v="8"/>
    <x v="0"/>
    <s v="Creil Plant                    FR07 0143"/>
    <n v="-3827.2"/>
    <s v="AJUST PROV INTER"/>
  </r>
  <r>
    <x v="0"/>
    <x v="4"/>
    <s v="5300550"/>
    <s v="600550"/>
    <d v="2019-01-31T00:00:00"/>
    <s v=""/>
    <m/>
    <n v="-1054.81"/>
    <n v="0"/>
    <x v="8"/>
    <x v="0"/>
    <s v="Creil Plant                    FR07 0143"/>
    <n v="-1054.81"/>
    <s v="AJUST PROV INTER"/>
  </r>
  <r>
    <x v="0"/>
    <x v="4"/>
    <s v="5300550"/>
    <s v="600550"/>
    <d v="2019-01-31T00:00:00"/>
    <s v=""/>
    <m/>
    <n v="-12888.63"/>
    <n v="0"/>
    <x v="8"/>
    <x v="0"/>
    <s v="Creil Plant                    FR07 0143"/>
    <n v="-12888.63"/>
    <s v="AJUST PROV INTER"/>
  </r>
  <r>
    <x v="0"/>
    <x v="4"/>
    <s v="5300550"/>
    <s v="602197"/>
    <d v="2007-05-21T00:00:00"/>
    <s v=""/>
    <m/>
    <n v="123538.82"/>
    <n v="0"/>
    <x v="3"/>
    <x v="0"/>
    <s v="Creil Plant                    FR07 0143"/>
    <n v="123538.82"/>
    <s v=""/>
  </r>
  <r>
    <x v="0"/>
    <x v="4"/>
    <s v="5300600"/>
    <s v="1410080194"/>
    <d v="2004-08-01T00:00:00"/>
    <s v=""/>
    <m/>
    <n v="5563.2"/>
    <n v="0"/>
    <x v="0"/>
    <x v="0"/>
    <s v="Creil Plant                    FR07 0143"/>
    <n v="5563.2"/>
    <s v=""/>
  </r>
  <r>
    <x v="0"/>
    <x v="4"/>
    <s v="5300600"/>
    <s v="1410080193"/>
    <d v="2004-08-01T00:00:00"/>
    <s v=""/>
    <m/>
    <n v="1268.8"/>
    <n v="0"/>
    <x v="0"/>
    <x v="0"/>
    <s v="Creil Plant                    FR07 0143"/>
    <n v="1268.8"/>
    <s v=""/>
  </r>
  <r>
    <x v="0"/>
    <x v="4"/>
    <s v="5300600"/>
    <s v="1410080192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191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205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210"/>
    <d v="2004-08-01T00:00:00"/>
    <s v=""/>
    <m/>
    <n v="1633.28"/>
    <n v="0"/>
    <x v="0"/>
    <x v="0"/>
    <s v="Creil Plant                    FR07 0143"/>
    <n v="1633.28"/>
    <s v=""/>
  </r>
  <r>
    <x v="0"/>
    <x v="4"/>
    <s v="5300600"/>
    <s v="1410080212"/>
    <d v="2004-08-01T00:00:00"/>
    <s v=""/>
    <m/>
    <n v="2964"/>
    <n v="0"/>
    <x v="0"/>
    <x v="0"/>
    <s v="Creil Plant                    FR07 0143"/>
    <n v="2964"/>
    <s v=""/>
  </r>
  <r>
    <x v="0"/>
    <x v="4"/>
    <s v="5300600"/>
    <s v="1410080213"/>
    <d v="2004-08-01T00:00:00"/>
    <s v=""/>
    <m/>
    <n v="408.5"/>
    <n v="0"/>
    <x v="0"/>
    <x v="0"/>
    <s v="Creil Plant                    FR07 0143"/>
    <n v="408.5"/>
    <s v=""/>
  </r>
  <r>
    <x v="0"/>
    <x v="4"/>
    <s v="5300600"/>
    <s v="1410080215"/>
    <d v="2004-08-01T00:00:00"/>
    <s v=""/>
    <m/>
    <n v="2281.13"/>
    <n v="0"/>
    <x v="0"/>
    <x v="0"/>
    <s v="Creil Plant                    FR07 0143"/>
    <n v="2281.13"/>
    <s v=""/>
  </r>
  <r>
    <x v="0"/>
    <x v="4"/>
    <s v="5300600"/>
    <s v="1410080301"/>
    <d v="2004-08-01T00:00:00"/>
    <s v=""/>
    <m/>
    <n v="10464.36"/>
    <n v="0"/>
    <x v="0"/>
    <x v="0"/>
    <s v="Creil Plant                    FR07 0143"/>
    <n v="10464.36"/>
    <s v=""/>
  </r>
  <r>
    <x v="0"/>
    <x v="4"/>
    <s v="5300600"/>
    <s v="1410080356"/>
    <d v="2004-08-01T00:00:00"/>
    <s v=""/>
    <m/>
    <n v="7267.77"/>
    <n v="0"/>
    <x v="0"/>
    <x v="0"/>
    <s v="Creil Plant                    FR07 0143"/>
    <n v="7267.77"/>
    <s v=""/>
  </r>
  <r>
    <x v="0"/>
    <x v="4"/>
    <s v="5300600"/>
    <s v="655558"/>
    <d v="2004-08-24T00:00:00"/>
    <s v=""/>
    <m/>
    <n v="-97771.76"/>
    <n v="0"/>
    <x v="0"/>
    <x v="0"/>
    <s v="Creil Plant                    FR07 0143"/>
    <n v="-97771.76"/>
    <s v=""/>
  </r>
  <r>
    <x v="0"/>
    <x v="4"/>
    <s v="5300600"/>
    <s v="1410080167"/>
    <d v="2004-08-01T00:00:00"/>
    <s v=""/>
    <m/>
    <n v="2049.6"/>
    <n v="0"/>
    <x v="0"/>
    <x v="0"/>
    <s v="Creil Plant                    FR07 0143"/>
    <n v="2049.6"/>
    <s v=""/>
  </r>
  <r>
    <x v="0"/>
    <x v="4"/>
    <s v="5300600"/>
    <s v="1410080156"/>
    <d v="2004-08-01T00:00:00"/>
    <s v=""/>
    <m/>
    <n v="2635.2"/>
    <n v="0"/>
    <x v="0"/>
    <x v="0"/>
    <s v="Creil Plant                    FR07 0143"/>
    <n v="2635.2"/>
    <s v=""/>
  </r>
  <r>
    <x v="0"/>
    <x v="4"/>
    <s v="5300600"/>
    <s v="1410080155"/>
    <d v="2004-08-01T00:00:00"/>
    <s v=""/>
    <m/>
    <n v="3513.6"/>
    <n v="0"/>
    <x v="0"/>
    <x v="0"/>
    <s v="Creil Plant                    FR07 0143"/>
    <n v="3513.6"/>
    <s v=""/>
  </r>
  <r>
    <x v="0"/>
    <x v="4"/>
    <s v="5300600"/>
    <s v="1410080154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153"/>
    <d v="2004-08-01T00:00:00"/>
    <s v=""/>
    <m/>
    <n v="2928"/>
    <n v="0"/>
    <x v="0"/>
    <x v="0"/>
    <s v="Creil Plant                    FR07 0143"/>
    <n v="2928"/>
    <s v=""/>
  </r>
  <r>
    <x v="0"/>
    <x v="4"/>
    <s v="5300600"/>
    <s v="1410080141"/>
    <d v="2004-08-01T00:00:00"/>
    <s v=""/>
    <m/>
    <n v="3513.6"/>
    <n v="0"/>
    <x v="0"/>
    <x v="0"/>
    <s v="Creil Plant                    FR07 0143"/>
    <n v="3513.6"/>
    <s v=""/>
  </r>
  <r>
    <x v="0"/>
    <x v="4"/>
    <s v="5300600"/>
    <s v="1410080140"/>
    <d v="2004-08-01T00:00:00"/>
    <s v=""/>
    <m/>
    <n v="292.8"/>
    <n v="0"/>
    <x v="0"/>
    <x v="0"/>
    <s v="Creil Plant                    FR07 0143"/>
    <n v="292.8"/>
    <s v=""/>
  </r>
  <r>
    <x v="0"/>
    <x v="4"/>
    <s v="5300600"/>
    <s v="1410080132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128"/>
    <d v="2004-08-01T00:00:00"/>
    <s v=""/>
    <m/>
    <n v="3708.8"/>
    <n v="0"/>
    <x v="0"/>
    <x v="0"/>
    <s v="Creil Plant                    FR07 0143"/>
    <n v="3708.8"/>
    <s v=""/>
  </r>
  <r>
    <x v="0"/>
    <x v="4"/>
    <s v="5300600"/>
    <s v="1410080122"/>
    <d v="2004-08-01T00:00:00"/>
    <s v=""/>
    <m/>
    <n v="2230.8000000000002"/>
    <n v="0"/>
    <x v="0"/>
    <x v="0"/>
    <s v="Creil Plant                    FR07 0143"/>
    <n v="2230.8000000000002"/>
    <s v=""/>
  </r>
  <r>
    <x v="0"/>
    <x v="4"/>
    <s v="5300600"/>
    <s v="1410080121"/>
    <d v="2004-08-01T00:00:00"/>
    <s v=""/>
    <m/>
    <n v="2537.6"/>
    <n v="0"/>
    <x v="0"/>
    <x v="0"/>
    <s v="Creil Plant                    FR07 0143"/>
    <n v="2537.6"/>
    <s v=""/>
  </r>
  <r>
    <x v="0"/>
    <x v="4"/>
    <s v="5300600"/>
    <s v="1410080120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119"/>
    <d v="2004-08-01T00:00:00"/>
    <s v=""/>
    <m/>
    <n v="1756.8"/>
    <n v="0"/>
    <x v="0"/>
    <x v="0"/>
    <s v="Creil Plant                    FR07 0143"/>
    <n v="1756.8"/>
    <s v=""/>
  </r>
  <r>
    <x v="0"/>
    <x v="4"/>
    <s v="5300600"/>
    <s v="1410080118"/>
    <d v="2004-08-01T00:00:00"/>
    <s v=""/>
    <m/>
    <n v="1171.2"/>
    <n v="0"/>
    <x v="0"/>
    <x v="0"/>
    <s v="Creil Plant                    FR07 0143"/>
    <n v="1171.2"/>
    <s v=""/>
  </r>
  <r>
    <x v="0"/>
    <x v="4"/>
    <s v="5300600"/>
    <s v="1410080115"/>
    <d v="2004-08-01T00:00:00"/>
    <s v=""/>
    <m/>
    <n v="517.91999999999996"/>
    <n v="0"/>
    <x v="0"/>
    <x v="0"/>
    <s v="Creil Plant                    FR07 0143"/>
    <n v="517.91999999999996"/>
    <s v=""/>
  </r>
  <r>
    <x v="0"/>
    <x v="4"/>
    <s v="5300600"/>
    <s v="1410080109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108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083"/>
    <d v="2004-08-01T00:00:00"/>
    <s v=""/>
    <m/>
    <n v="2118.16"/>
    <n v="0"/>
    <x v="0"/>
    <x v="0"/>
    <s v="Creil Plant                    FR07 0143"/>
    <n v="2118.16"/>
    <s v=""/>
  </r>
  <r>
    <x v="0"/>
    <x v="4"/>
    <s v="5300600"/>
    <s v="1410080042"/>
    <d v="2004-08-01T00:00:00"/>
    <s v=""/>
    <m/>
    <n v="784"/>
    <n v="0"/>
    <x v="0"/>
    <x v="0"/>
    <s v="Creil Plant                    FR07 0143"/>
    <n v="784"/>
    <s v=""/>
  </r>
  <r>
    <x v="0"/>
    <x v="4"/>
    <s v="5300600"/>
    <s v="1410080041"/>
    <d v="2004-08-01T00:00:00"/>
    <s v=""/>
    <m/>
    <n v="3714.5"/>
    <n v="0"/>
    <x v="0"/>
    <x v="0"/>
    <s v="Creil Plant                    FR07 0143"/>
    <n v="3714.5"/>
    <s v=""/>
  </r>
  <r>
    <x v="0"/>
    <x v="4"/>
    <s v="5300600"/>
    <s v="1410080038"/>
    <d v="2004-08-01T00:00:00"/>
    <s v=""/>
    <m/>
    <n v="1996.94"/>
    <n v="0"/>
    <x v="0"/>
    <x v="0"/>
    <s v="Creil Plant                    FR07 0143"/>
    <n v="1996.94"/>
    <s v=""/>
  </r>
  <r>
    <x v="0"/>
    <x v="4"/>
    <s v="5001000"/>
    <s v=""/>
    <m/>
    <s v="600418"/>
    <d v="2019-01-24T00:00:00"/>
    <n v="0"/>
    <n v="-1000000"/>
    <x v="4"/>
    <x v="2"/>
    <s v="Creil Plant                    FR07 0143"/>
    <n v="-1000000"/>
    <s v=""/>
  </r>
  <r>
    <x v="0"/>
    <x v="4"/>
    <s v="5001051"/>
    <s v=""/>
    <m/>
    <s v="600555"/>
    <d v="2019-01-31T00:00:00"/>
    <n v="0"/>
    <n v="-95.56"/>
    <x v="4"/>
    <x v="2"/>
    <s v="Creil Plant                    FR07 0143"/>
    <n v="-95.56"/>
    <s v=""/>
  </r>
  <r>
    <x v="0"/>
    <x v="4"/>
    <s v="5200500"/>
    <s v=""/>
    <m/>
    <s v="2900001370"/>
    <d v="2019-01-17T00:00:00"/>
    <n v="0"/>
    <n v="3780"/>
    <x v="4"/>
    <x v="2"/>
    <s v="Creil Plant                    FR07 0143"/>
    <n v="3780"/>
    <s v="0290833"/>
  </r>
  <r>
    <x v="0"/>
    <x v="4"/>
    <s v="5200500"/>
    <s v=""/>
    <m/>
    <s v="2900001270"/>
    <d v="2019-01-16T00:00:00"/>
    <n v="0"/>
    <n v="33261.199999999997"/>
    <x v="4"/>
    <x v="2"/>
    <s v="Creil Plant                    FR07 0143"/>
    <n v="33261.199999999997"/>
    <s v="0290794"/>
  </r>
  <r>
    <x v="0"/>
    <x v="4"/>
    <s v="5200500"/>
    <s v=""/>
    <m/>
    <s v="2900001929"/>
    <d v="2019-01-23T00:00:00"/>
    <n v="0"/>
    <n v="663.65"/>
    <x v="4"/>
    <x v="2"/>
    <s v="Creil Plant                    FR07 0143"/>
    <n v="663.65"/>
    <s v="0291020"/>
  </r>
  <r>
    <x v="0"/>
    <x v="4"/>
    <s v="5200500"/>
    <s v=""/>
    <m/>
    <s v="2900001924"/>
    <d v="2019-01-23T00:00:00"/>
    <n v="0"/>
    <n v="200"/>
    <x v="4"/>
    <x v="2"/>
    <s v="Creil Plant                    FR07 0143"/>
    <n v="200"/>
    <s v="0291015"/>
  </r>
  <r>
    <x v="0"/>
    <x v="4"/>
    <s v="5200500"/>
    <s v=""/>
    <m/>
    <s v="2900001926"/>
    <d v="2019-01-23T00:00:00"/>
    <n v="0"/>
    <n v="6919.89"/>
    <x v="4"/>
    <x v="2"/>
    <s v="Creil Plant                    FR07 0143"/>
    <n v="6919.89"/>
    <s v="0291017"/>
  </r>
  <r>
    <x v="0"/>
    <x v="4"/>
    <s v="5200500"/>
    <s v=""/>
    <m/>
    <s v="2900002044"/>
    <d v="2019-01-24T00:00:00"/>
    <n v="0"/>
    <n v="5877.04"/>
    <x v="4"/>
    <x v="2"/>
    <s v="Creil Plant                    FR07 0143"/>
    <n v="5877.04"/>
    <s v="0291068"/>
  </r>
  <r>
    <x v="0"/>
    <x v="4"/>
    <s v="5200500"/>
    <s v=""/>
    <m/>
    <s v="2900002156"/>
    <d v="2019-01-25T00:00:00"/>
    <n v="0"/>
    <n v="8932.41"/>
    <x v="4"/>
    <x v="2"/>
    <s v="Creil Plant                    FR07 0143"/>
    <n v="8932.41"/>
    <s v="0291107"/>
  </r>
  <r>
    <x v="0"/>
    <x v="4"/>
    <s v="5200500"/>
    <s v=""/>
    <m/>
    <s v="2900002297"/>
    <d v="2019-01-28T00:00:00"/>
    <n v="0"/>
    <n v="3827.2"/>
    <x v="4"/>
    <x v="2"/>
    <s v="Creil Plant                    FR07 0143"/>
    <n v="3827.2"/>
    <s v="0291151"/>
  </r>
  <r>
    <x v="0"/>
    <x v="4"/>
    <s v="5200500"/>
    <s v=""/>
    <m/>
    <s v="2900002302"/>
    <d v="2019-01-28T00:00:00"/>
    <n v="0"/>
    <n v="12888.63"/>
    <x v="4"/>
    <x v="2"/>
    <s v="Creil Plant                    FR07 0143"/>
    <n v="12888.63"/>
    <s v="0291156"/>
  </r>
  <r>
    <x v="0"/>
    <x v="4"/>
    <s v="5200500"/>
    <s v=""/>
    <m/>
    <s v="2900002303"/>
    <d v="2019-01-28T00:00:00"/>
    <n v="0"/>
    <n v="1054.81"/>
    <x v="4"/>
    <x v="2"/>
    <s v="Creil Plant                    FR07 0143"/>
    <n v="1054.81"/>
    <s v="0291157"/>
  </r>
  <r>
    <x v="0"/>
    <x v="4"/>
    <s v="5200600"/>
    <s v=""/>
    <m/>
    <s v="2400021732"/>
    <d v="2004-06-23T00:00:00"/>
    <n v="0"/>
    <n v="-1171.2"/>
    <x v="4"/>
    <x v="1"/>
    <s v="Creil Plant                    FR07 0143"/>
    <n v="-1171.2"/>
    <s v=""/>
  </r>
  <r>
    <x v="0"/>
    <x v="4"/>
    <s v="5200600"/>
    <s v=""/>
    <m/>
    <s v="2400021634"/>
    <d v="2004-06-21T00:00:00"/>
    <n v="0"/>
    <n v="-3708.8"/>
    <x v="4"/>
    <x v="1"/>
    <s v="Creil Plant                    FR07 0143"/>
    <n v="-3708.8"/>
    <s v=""/>
  </r>
  <r>
    <x v="0"/>
    <x v="4"/>
    <s v="5200600"/>
    <s v=""/>
    <m/>
    <s v="2400021501"/>
    <d v="2004-06-17T00:00:00"/>
    <n v="0"/>
    <n v="-3806.4"/>
    <x v="4"/>
    <x v="1"/>
    <s v="Creil Plant                    FR07 0143"/>
    <n v="-3806.4"/>
    <s v=""/>
  </r>
  <r>
    <x v="0"/>
    <x v="4"/>
    <s v="5200600"/>
    <s v=""/>
    <m/>
    <s v="2400021784"/>
    <d v="2004-06-24T00:00:00"/>
    <n v="0"/>
    <n v="-1756.8"/>
    <x v="4"/>
    <x v="1"/>
    <s v="Creil Plant                    FR07 0143"/>
    <n v="-1756.8"/>
    <s v=""/>
  </r>
  <r>
    <x v="0"/>
    <x v="4"/>
    <s v="5200600"/>
    <s v=""/>
    <m/>
    <s v="2400021785"/>
    <d v="2004-06-24T00:00:00"/>
    <n v="0"/>
    <n v="-2230.8000000000002"/>
    <x v="4"/>
    <x v="1"/>
    <s v="Creil Plant                    FR07 0143"/>
    <n v="-2230.8000000000002"/>
    <s v=""/>
  </r>
  <r>
    <x v="0"/>
    <x v="4"/>
    <s v="5200600"/>
    <s v=""/>
    <m/>
    <s v="2400021786"/>
    <d v="2004-06-24T00:00:00"/>
    <n v="0"/>
    <n v="-2537.6"/>
    <x v="4"/>
    <x v="1"/>
    <s v="Creil Plant                    FR07 0143"/>
    <n v="-2537.6"/>
    <s v=""/>
  </r>
  <r>
    <x v="0"/>
    <x v="4"/>
    <s v="5200600"/>
    <s v=""/>
    <m/>
    <s v="2400021787"/>
    <d v="2004-06-24T00:00:00"/>
    <n v="0"/>
    <n v="-3806.4"/>
    <x v="4"/>
    <x v="1"/>
    <s v="Creil Plant                    FR07 0143"/>
    <n v="-3806.4"/>
    <s v=""/>
  </r>
  <r>
    <x v="0"/>
    <x v="4"/>
    <s v="5200600"/>
    <s v=""/>
    <m/>
    <s v="2400021500"/>
    <d v="2004-06-17T00:00:00"/>
    <n v="0"/>
    <n v="-3806.4"/>
    <x v="4"/>
    <x v="1"/>
    <s v="Creil Plant                    FR07 0143"/>
    <n v="-3806.4"/>
    <s v=""/>
  </r>
  <r>
    <x v="0"/>
    <x v="4"/>
    <s v="5200600"/>
    <s v=""/>
    <m/>
    <s v="2400021499"/>
    <d v="2004-06-17T00:00:00"/>
    <n v="0"/>
    <n v="-517.91999999999996"/>
    <x v="4"/>
    <x v="1"/>
    <s v="Creil Plant                    FR07 0143"/>
    <n v="-517.91999999999996"/>
    <s v=""/>
  </r>
  <r>
    <x v="0"/>
    <x v="4"/>
    <s v="5200600"/>
    <s v=""/>
    <m/>
    <s v="2400020769"/>
    <d v="2004-05-26T00:00:00"/>
    <n v="0"/>
    <n v="-2118.16"/>
    <x v="4"/>
    <x v="1"/>
    <s v="Creil Plant                    FR07 0143"/>
    <n v="-2118.16"/>
    <s v=""/>
  </r>
  <r>
    <x v="0"/>
    <x v="4"/>
    <s v="5200600"/>
    <s v=""/>
    <m/>
    <s v="2400021869"/>
    <d v="2004-06-25T00:00:00"/>
    <n v="0"/>
    <n v="-3806.4"/>
    <x v="4"/>
    <x v="1"/>
    <s v="Creil Plant                    FR07 0143"/>
    <n v="-3806.4"/>
    <s v=""/>
  </r>
  <r>
    <x v="0"/>
    <x v="4"/>
    <s v="5200600"/>
    <s v=""/>
    <m/>
    <s v="2400020349"/>
    <d v="2004-05-03T00:00:00"/>
    <n v="0"/>
    <n v="-10464.36"/>
    <x v="4"/>
    <x v="1"/>
    <s v="Creil Plant                    FR07 0143"/>
    <n v="-10464.36"/>
    <s v=""/>
  </r>
  <r>
    <x v="0"/>
    <x v="4"/>
    <s v="5200600"/>
    <s v=""/>
    <m/>
    <s v="2400020510"/>
    <d v="2004-05-12T00:00:00"/>
    <n v="0"/>
    <n v="-3714.5"/>
    <x v="4"/>
    <x v="1"/>
    <s v="Creil Plant                    FR07 0143"/>
    <n v="-3714.5"/>
    <s v=""/>
  </r>
  <r>
    <x v="0"/>
    <x v="4"/>
    <s v="5200600"/>
    <s v=""/>
    <m/>
    <s v="2400020350"/>
    <d v="2004-05-03T00:00:00"/>
    <n v="0"/>
    <n v="-1996.94"/>
    <x v="4"/>
    <x v="1"/>
    <s v="Creil Plant                    FR07 0143"/>
    <n v="-1996.94"/>
    <s v=""/>
  </r>
  <r>
    <x v="0"/>
    <x v="4"/>
    <s v="5200600"/>
    <s v=""/>
    <m/>
    <s v="2400022627"/>
    <d v="2004-07-07T00:00:00"/>
    <n v="0"/>
    <n v="-5563.2"/>
    <x v="4"/>
    <x v="1"/>
    <s v="Creil Plant                    FR07 0143"/>
    <n v="-5563.2"/>
    <s v=""/>
  </r>
  <r>
    <x v="0"/>
    <x v="4"/>
    <s v="5200600"/>
    <s v=""/>
    <m/>
    <s v="2400022417"/>
    <d v="2004-07-05T00:00:00"/>
    <n v="0"/>
    <n v="-2635.2"/>
    <x v="4"/>
    <x v="1"/>
    <s v="Creil Plant                    FR07 0143"/>
    <n v="-2635.2"/>
    <s v=""/>
  </r>
  <r>
    <x v="0"/>
    <x v="4"/>
    <s v="5200600"/>
    <s v=""/>
    <m/>
    <s v="2400023110"/>
    <d v="2004-07-13T00:00:00"/>
    <n v="0"/>
    <n v="-1268.8"/>
    <x v="4"/>
    <x v="1"/>
    <s v="Creil Plant                    FR07 0143"/>
    <n v="-1268.8"/>
    <s v=""/>
  </r>
  <r>
    <x v="0"/>
    <x v="4"/>
    <s v="5200600"/>
    <s v=""/>
    <m/>
    <s v="2400023338"/>
    <d v="2004-07-19T00:00:00"/>
    <n v="0"/>
    <n v="-3806.4"/>
    <x v="4"/>
    <x v="1"/>
    <s v="Creil Plant                    FR07 0143"/>
    <n v="-3806.4"/>
    <s v=""/>
  </r>
  <r>
    <x v="0"/>
    <x v="4"/>
    <s v="5200600"/>
    <s v=""/>
    <m/>
    <s v="2400023667"/>
    <d v="2004-07-21T00:00:00"/>
    <n v="0"/>
    <n v="-3806.4"/>
    <x v="4"/>
    <x v="1"/>
    <s v="Creil Plant                    FR07 0143"/>
    <n v="-3806.4"/>
    <s v=""/>
  </r>
  <r>
    <x v="0"/>
    <x v="4"/>
    <s v="5200600"/>
    <s v=""/>
    <m/>
    <s v="2400023668"/>
    <d v="2004-07-21T00:00:00"/>
    <n v="0"/>
    <n v="-2964"/>
    <x v="4"/>
    <x v="1"/>
    <s v="Creil Plant                    FR07 0143"/>
    <n v="-2964"/>
    <s v=""/>
  </r>
  <r>
    <x v="0"/>
    <x v="4"/>
    <s v="5200600"/>
    <s v=""/>
    <m/>
    <s v="2400022265"/>
    <d v="2004-07-02T00:00:00"/>
    <n v="0"/>
    <n v="-2928"/>
    <x v="4"/>
    <x v="1"/>
    <s v="Creil Plant                    FR07 0143"/>
    <n v="-2928"/>
    <s v=""/>
  </r>
  <r>
    <x v="0"/>
    <x v="4"/>
    <s v="5200600"/>
    <s v=""/>
    <m/>
    <s v="2400022264"/>
    <d v="2004-07-02T00:00:00"/>
    <n v="0"/>
    <n v="-3513.6"/>
    <x v="4"/>
    <x v="1"/>
    <s v="Creil Plant                    FR07 0143"/>
    <n v="-3513.6"/>
    <s v=""/>
  </r>
  <r>
    <x v="0"/>
    <x v="4"/>
    <s v="5200600"/>
    <s v=""/>
    <m/>
    <s v="2400020628"/>
    <d v="2004-05-18T00:00:00"/>
    <n v="0"/>
    <n v="-7267.77"/>
    <x v="4"/>
    <x v="1"/>
    <s v="Creil Plant                    FR07 0143"/>
    <n v="-7267.77"/>
    <s v=""/>
  </r>
  <r>
    <x v="0"/>
    <x v="4"/>
    <s v="5200600"/>
    <s v=""/>
    <m/>
    <s v="2400023770"/>
    <d v="2004-07-22T00:00:00"/>
    <n v="0"/>
    <n v="-408.5"/>
    <x v="4"/>
    <x v="1"/>
    <s v="Creil Plant                    FR07 0143"/>
    <n v="-408.5"/>
    <s v=""/>
  </r>
  <r>
    <x v="0"/>
    <x v="4"/>
    <s v="5200600"/>
    <s v=""/>
    <m/>
    <s v="2400022192"/>
    <d v="2004-07-01T00:00:00"/>
    <n v="0"/>
    <n v="-292.8"/>
    <x v="4"/>
    <x v="1"/>
    <s v="Creil Plant                    FR07 0143"/>
    <n v="-292.8"/>
    <s v=""/>
  </r>
  <r>
    <x v="0"/>
    <x v="4"/>
    <s v="5200600"/>
    <s v=""/>
    <m/>
    <s v="2400022193"/>
    <d v="2004-07-01T00:00:00"/>
    <n v="0"/>
    <n v="-3513.6"/>
    <x v="4"/>
    <x v="1"/>
    <s v="Creil Plant                    FR07 0143"/>
    <n v="-3513.6"/>
    <s v=""/>
  </r>
  <r>
    <x v="0"/>
    <x v="4"/>
    <s v="5200600"/>
    <s v=""/>
    <m/>
    <s v="2400022226"/>
    <d v="2004-07-01T00:00:00"/>
    <n v="0"/>
    <n v="-3806.4"/>
    <x v="4"/>
    <x v="1"/>
    <s v="Creil Plant                    FR07 0143"/>
    <n v="-3806.4"/>
    <s v=""/>
  </r>
  <r>
    <x v="0"/>
    <x v="4"/>
    <s v="5200600"/>
    <s v=""/>
    <m/>
    <s v="2400022263"/>
    <d v="2004-07-02T00:00:00"/>
    <n v="0"/>
    <n v="-1633.28"/>
    <x v="4"/>
    <x v="1"/>
    <s v="Creil Plant                    FR07 0143"/>
    <n v="-1633.28"/>
    <s v=""/>
  </r>
  <r>
    <x v="0"/>
    <x v="4"/>
    <s v="5200600"/>
    <s v=""/>
    <m/>
    <s v="655558"/>
    <d v="2004-08-24T00:00:00"/>
    <n v="0"/>
    <n v="98006"/>
    <x v="4"/>
    <x v="1"/>
    <s v="Creil Plant                    FR07 0143"/>
    <n v="98006"/>
    <s v=""/>
  </r>
  <r>
    <x v="0"/>
    <x v="4"/>
    <s v="5200600"/>
    <s v=""/>
    <m/>
    <s v="2400022628"/>
    <d v="2004-07-07T00:00:00"/>
    <n v="0"/>
    <n v="-2049.6"/>
    <x v="4"/>
    <x v="1"/>
    <s v="Creil Plant                    FR07 0143"/>
    <n v="-2049.6"/>
    <s v=""/>
  </r>
  <r>
    <x v="0"/>
    <x v="4"/>
    <s v="5200600"/>
    <s v=""/>
    <m/>
    <s v="2400024019"/>
    <d v="2004-07-26T00:00:00"/>
    <n v="0"/>
    <n v="-2281.13"/>
    <x v="4"/>
    <x v="1"/>
    <s v="Creil Plant                    FR07 0143"/>
    <n v="-2281.13"/>
    <s v=""/>
  </r>
  <r>
    <x v="0"/>
    <x v="4"/>
    <s v="5200600"/>
    <s v=""/>
    <m/>
    <s v="2400020422"/>
    <d v="2004-05-10T00:00:00"/>
    <n v="0"/>
    <n v="-784"/>
    <x v="4"/>
    <x v="1"/>
    <s v="Creil Plant                    FR07 0143"/>
    <n v="-784"/>
    <s v=""/>
  </r>
  <r>
    <x v="0"/>
    <x v="4"/>
    <s v="5200600"/>
    <s v=""/>
    <m/>
    <s v="2400022740"/>
    <d v="2004-07-08T00:00:00"/>
    <n v="0"/>
    <n v="-3806.4"/>
    <x v="4"/>
    <x v="1"/>
    <s v="Creil Plant                    FR07 0143"/>
    <n v="-3806.4"/>
    <s v=""/>
  </r>
  <r>
    <x v="0"/>
    <x v="4"/>
    <s v="5200600"/>
    <s v=""/>
    <m/>
    <s v="2400024327"/>
    <d v="2004-07-28T00:00:00"/>
    <n v="0"/>
    <n v="-234.24"/>
    <x v="4"/>
    <x v="1"/>
    <s v="Creil Plant                    FR07 0143"/>
    <n v="-234.24"/>
    <s v=""/>
  </r>
  <r>
    <x v="0"/>
    <x v="4"/>
    <s v="5300500"/>
    <s v=""/>
    <m/>
    <s v="1400000309"/>
    <d v="2019-01-28T00:00:00"/>
    <n v="0"/>
    <n v="-6285.6"/>
    <x v="4"/>
    <x v="2"/>
    <s v="Creil Plant                    FR07 0143"/>
    <n v="-6285.6"/>
    <s v="0321472"/>
  </r>
  <r>
    <x v="0"/>
    <x v="4"/>
    <s v="5300500"/>
    <s v=""/>
    <m/>
    <s v="1400000305"/>
    <d v="2019-01-28T00:00:00"/>
    <n v="0"/>
    <n v="-186.93"/>
    <x v="4"/>
    <x v="2"/>
    <s v="Creil Plant                    FR07 0143"/>
    <n v="-186.93"/>
    <s v="0321411"/>
  </r>
  <r>
    <x v="0"/>
    <x v="4"/>
    <s v="5300500"/>
    <s v=""/>
    <m/>
    <s v="1400000307"/>
    <d v="2019-01-28T00:00:00"/>
    <n v="0"/>
    <n v="-7129.5"/>
    <x v="4"/>
    <x v="2"/>
    <s v="Creil Plant                    FR07 0143"/>
    <n v="-7129.5"/>
    <s v="0321412"/>
  </r>
  <r>
    <x v="0"/>
    <x v="4"/>
    <s v="5300550"/>
    <s v=""/>
    <m/>
    <s v="600551"/>
    <d v="2019-01-31T00:00:00"/>
    <n v="0"/>
    <n v="-11720.31"/>
    <x v="4"/>
    <x v="2"/>
    <s v="Creil Plant                    FR07 0143"/>
    <n v="-11720.31"/>
    <s v="AJUST PROV INTER"/>
  </r>
  <r>
    <x v="0"/>
    <x v="4"/>
    <s v="5300550"/>
    <s v=""/>
    <m/>
    <s v="600551"/>
    <d v="2019-01-31T00:00:00"/>
    <n v="0"/>
    <n v="-10121.040000000001"/>
    <x v="4"/>
    <x v="2"/>
    <s v="Creil Plant                    FR07 0143"/>
    <n v="-10121.040000000001"/>
    <s v="AJUST PROV INTER"/>
  </r>
  <r>
    <x v="0"/>
    <x v="4"/>
    <s v="5300550"/>
    <s v=""/>
    <m/>
    <s v="602197"/>
    <d v="2007-05-21T00:00:00"/>
    <n v="0"/>
    <n v="41346"/>
    <x v="4"/>
    <x v="5"/>
    <s v="Creil Plant                    FR07 0143"/>
    <n v="41346"/>
    <s v=""/>
  </r>
  <r>
    <x v="0"/>
    <x v="4"/>
    <s v="5300600"/>
    <s v=""/>
    <m/>
    <s v="1410080354"/>
    <d v="2004-08-01T00:00:00"/>
    <n v="0"/>
    <n v="10504.36"/>
    <x v="4"/>
    <x v="1"/>
    <s v="Creil Plant                    FR07 0143"/>
    <n v="10504.36"/>
    <s v=""/>
  </r>
  <r>
    <x v="0"/>
    <x v="4"/>
    <s v="5300600"/>
    <s v=""/>
    <m/>
    <s v="1410080222"/>
    <d v="2004-08-01T00:00:00"/>
    <n v="0"/>
    <n v="10182.67"/>
    <x v="4"/>
    <x v="1"/>
    <s v="Creil Plant                    FR07 0143"/>
    <n v="10182.67"/>
    <s v=""/>
  </r>
  <r>
    <x v="0"/>
    <x v="4"/>
    <s v="5300600"/>
    <s v=""/>
    <m/>
    <s v="1410080384"/>
    <d v="2004-08-01T00:00:00"/>
    <n v="0"/>
    <n v="2309.16"/>
    <x v="4"/>
    <x v="1"/>
    <s v="Creil Plant                    FR07 0143"/>
    <n v="2309.16"/>
    <s v=""/>
  </r>
  <r>
    <x v="0"/>
    <x v="4"/>
    <s v="5300600"/>
    <s v=""/>
    <m/>
    <s v="655558"/>
    <d v="2004-08-24T00:00:00"/>
    <n v="0"/>
    <n v="-98137.55"/>
    <x v="4"/>
    <x v="1"/>
    <s v="Creil Plant                    FR07 0143"/>
    <n v="-98137.55"/>
    <s v=""/>
  </r>
  <r>
    <x v="0"/>
    <x v="4"/>
    <s v="5300600"/>
    <s v=""/>
    <m/>
    <s v="1410080221"/>
    <d v="2004-08-01T00:00:00"/>
    <n v="0"/>
    <n v="16292.28"/>
    <x v="4"/>
    <x v="1"/>
    <s v="Creil Plant                    FR07 0143"/>
    <n v="16292.28"/>
    <s v=""/>
  </r>
  <r>
    <x v="0"/>
    <x v="4"/>
    <s v="5300600"/>
    <s v=""/>
    <m/>
    <s v="1410080197"/>
    <d v="2004-08-01T00:00:00"/>
    <n v="0"/>
    <n v="959"/>
    <x v="4"/>
    <x v="1"/>
    <s v="Creil Plant                    FR07 0143"/>
    <n v="959"/>
    <s v=""/>
  </r>
  <r>
    <x v="0"/>
    <x v="4"/>
    <s v="5300600"/>
    <s v=""/>
    <m/>
    <s v="1410080196"/>
    <d v="2004-08-01T00:00:00"/>
    <n v="0"/>
    <n v="959"/>
    <x v="4"/>
    <x v="1"/>
    <s v="Creil Plant                    FR07 0143"/>
    <n v="959"/>
    <s v=""/>
  </r>
  <r>
    <x v="0"/>
    <x v="4"/>
    <s v="5300600"/>
    <s v=""/>
    <m/>
    <s v="1410080195"/>
    <d v="2004-08-01T00:00:00"/>
    <n v="0"/>
    <n v="2013.9"/>
    <x v="4"/>
    <x v="1"/>
    <s v="Creil Plant                    FR07 0143"/>
    <n v="2013.9"/>
    <s v=""/>
  </r>
  <r>
    <x v="0"/>
    <x v="4"/>
    <s v="5300600"/>
    <s v=""/>
    <m/>
    <s v="1410080149"/>
    <d v="2004-08-01T00:00:00"/>
    <n v="0"/>
    <n v="291.93"/>
    <x v="4"/>
    <x v="1"/>
    <s v="Creil Plant                    FR07 0143"/>
    <n v="291.93"/>
    <s v=""/>
  </r>
  <r>
    <x v="0"/>
    <x v="4"/>
    <s v="5300600"/>
    <s v=""/>
    <m/>
    <s v="1410080146"/>
    <d v="2004-08-01T00:00:00"/>
    <n v="0"/>
    <n v="1525.95"/>
    <x v="4"/>
    <x v="1"/>
    <s v="Creil Plant                    FR07 0143"/>
    <n v="1525.95"/>
    <s v=""/>
  </r>
  <r>
    <x v="0"/>
    <x v="4"/>
    <s v="5300600"/>
    <s v=""/>
    <m/>
    <s v="1410080131"/>
    <d v="2004-08-01T00:00:00"/>
    <n v="0"/>
    <n v="1988.55"/>
    <x v="4"/>
    <x v="1"/>
    <s v="Creil Plant                    FR07 0143"/>
    <n v="1988.55"/>
    <s v=""/>
  </r>
  <r>
    <x v="0"/>
    <x v="4"/>
    <s v="5300600"/>
    <s v=""/>
    <m/>
    <s v="1410080130"/>
    <d v="2004-08-01T00:00:00"/>
    <n v="0"/>
    <n v="1459.66"/>
    <x v="4"/>
    <x v="1"/>
    <s v="Creil Plant                    FR07 0143"/>
    <n v="1459.66"/>
    <s v=""/>
  </r>
  <r>
    <x v="0"/>
    <x v="4"/>
    <s v="5300600"/>
    <s v=""/>
    <m/>
    <s v="1410080129"/>
    <d v="2004-08-01T00:00:00"/>
    <n v="0"/>
    <n v="2335.4499999999998"/>
    <x v="4"/>
    <x v="1"/>
    <s v="Creil Plant                    FR07 0143"/>
    <n v="2335.4499999999998"/>
    <s v=""/>
  </r>
  <r>
    <x v="0"/>
    <x v="4"/>
    <s v="5300600"/>
    <s v=""/>
    <m/>
    <s v="1410080127"/>
    <d v="2004-08-01T00:00:00"/>
    <n v="0"/>
    <n v="3110.21"/>
    <x v="4"/>
    <x v="1"/>
    <s v="Creil Plant                    FR07 0143"/>
    <n v="3110.21"/>
    <s v=""/>
  </r>
  <r>
    <x v="0"/>
    <x v="4"/>
    <s v="5300600"/>
    <s v=""/>
    <m/>
    <s v="1410080126"/>
    <d v="2004-08-01T00:00:00"/>
    <n v="0"/>
    <n v="1493.02"/>
    <x v="4"/>
    <x v="1"/>
    <s v="Creil Plant                    FR07 0143"/>
    <n v="1493.02"/>
    <s v=""/>
  </r>
  <r>
    <x v="0"/>
    <x v="4"/>
    <s v="5300600"/>
    <s v=""/>
    <m/>
    <s v="1410080125"/>
    <d v="2004-08-01T00:00:00"/>
    <n v="0"/>
    <n v="1560.3"/>
    <x v="4"/>
    <x v="1"/>
    <s v="Creil Plant                    FR07 0143"/>
    <n v="1560.3"/>
    <s v=""/>
  </r>
  <r>
    <x v="0"/>
    <x v="4"/>
    <s v="5300600"/>
    <s v=""/>
    <m/>
    <s v="1410080124"/>
    <d v="2004-08-01T00:00:00"/>
    <n v="0"/>
    <n v="2996.72"/>
    <x v="4"/>
    <x v="1"/>
    <s v="Creil Plant                    FR07 0143"/>
    <n v="2996.72"/>
    <s v=""/>
  </r>
  <r>
    <x v="0"/>
    <x v="4"/>
    <s v="5300600"/>
    <s v=""/>
    <m/>
    <s v="1410080098"/>
    <d v="2004-08-01T00:00:00"/>
    <n v="0"/>
    <n v="978.2"/>
    <x v="4"/>
    <x v="1"/>
    <s v="Creil Plant                    FR07 0143"/>
    <n v="978.2"/>
    <s v=""/>
  </r>
  <r>
    <x v="0"/>
    <x v="4"/>
    <s v="5300600"/>
    <s v=""/>
    <m/>
    <s v="1410080097"/>
    <d v="2004-08-01T00:00:00"/>
    <n v="0"/>
    <n v="6195.27"/>
    <x v="4"/>
    <x v="1"/>
    <s v="Creil Plant                    FR07 0143"/>
    <n v="6195.27"/>
    <s v=""/>
  </r>
  <r>
    <x v="0"/>
    <x v="4"/>
    <s v="5300600"/>
    <s v=""/>
    <m/>
    <s v="1410080071"/>
    <d v="2004-08-01T00:00:00"/>
    <n v="0"/>
    <n v="3931.2"/>
    <x v="4"/>
    <x v="1"/>
    <s v="Creil Plant                    FR07 0143"/>
    <n v="3931.2"/>
    <s v=""/>
  </r>
  <r>
    <x v="0"/>
    <x v="4"/>
    <s v="5300600"/>
    <s v=""/>
    <m/>
    <s v="1410080070"/>
    <d v="2004-08-01T00:00:00"/>
    <n v="0"/>
    <n v="3968"/>
    <x v="4"/>
    <x v="1"/>
    <s v="Creil Plant                    FR07 0143"/>
    <n v="3968"/>
    <s v=""/>
  </r>
  <r>
    <x v="0"/>
    <x v="4"/>
    <s v="5300600"/>
    <s v=""/>
    <m/>
    <s v="1410080069"/>
    <d v="2004-08-01T00:00:00"/>
    <n v="0"/>
    <n v="4394.1400000000003"/>
    <x v="4"/>
    <x v="1"/>
    <s v="Creil Plant                    FR07 0143"/>
    <n v="4394.1400000000003"/>
    <s v=""/>
  </r>
  <r>
    <x v="0"/>
    <x v="4"/>
    <s v="5300600"/>
    <s v=""/>
    <m/>
    <s v="1410080058"/>
    <d v="2004-08-01T00:00:00"/>
    <n v="0"/>
    <n v="819"/>
    <x v="4"/>
    <x v="1"/>
    <s v="Creil Plant                    FR07 0143"/>
    <n v="819"/>
    <s v=""/>
  </r>
  <r>
    <x v="0"/>
    <x v="4"/>
    <s v="5300600"/>
    <s v=""/>
    <m/>
    <s v="1410080057"/>
    <d v="2004-08-01T00:00:00"/>
    <n v="0"/>
    <n v="1474.2"/>
    <x v="4"/>
    <x v="1"/>
    <s v="Creil Plant                    FR07 0143"/>
    <n v="1474.2"/>
    <s v=""/>
  </r>
  <r>
    <x v="0"/>
    <x v="4"/>
    <s v="5300600"/>
    <s v=""/>
    <m/>
    <s v="1410080056"/>
    <d v="2004-08-01T00:00:00"/>
    <n v="0"/>
    <n v="652.13"/>
    <x v="4"/>
    <x v="1"/>
    <s v="Creil Plant                    FR07 0143"/>
    <n v="652.13"/>
    <s v=""/>
  </r>
  <r>
    <x v="0"/>
    <x v="4"/>
    <s v="5300600"/>
    <s v=""/>
    <m/>
    <s v="1410080055"/>
    <d v="2004-08-01T00:00:00"/>
    <n v="0"/>
    <n v="2606.4499999999998"/>
    <x v="4"/>
    <x v="1"/>
    <s v="Creil Plant                    FR07 0143"/>
    <n v="2606.4499999999998"/>
    <s v=""/>
  </r>
  <r>
    <x v="0"/>
    <x v="4"/>
    <s v="5300600"/>
    <s v=""/>
    <m/>
    <s v="1410080054"/>
    <d v="2004-08-01T00:00:00"/>
    <n v="0"/>
    <n v="1339"/>
    <x v="4"/>
    <x v="1"/>
    <s v="Creil Plant                    FR07 0143"/>
    <n v="1339"/>
    <s v=""/>
  </r>
  <r>
    <x v="0"/>
    <x v="4"/>
    <s v="5300600"/>
    <s v=""/>
    <m/>
    <s v="1410080053"/>
    <d v="2004-08-01T00:00:00"/>
    <n v="0"/>
    <n v="2256"/>
    <x v="4"/>
    <x v="1"/>
    <s v="Creil Plant                    FR07 0143"/>
    <n v="2256"/>
    <s v=""/>
  </r>
  <r>
    <x v="0"/>
    <x v="4"/>
    <s v="5300600"/>
    <s v=""/>
    <m/>
    <s v="1410080052"/>
    <d v="2004-08-01T00:00:00"/>
    <n v="0"/>
    <n v="2593.5"/>
    <x v="4"/>
    <x v="1"/>
    <s v="Creil Plant                    FR07 0143"/>
    <n v="2593.5"/>
    <s v=""/>
  </r>
  <r>
    <x v="0"/>
    <x v="4"/>
    <s v="5300600"/>
    <s v=""/>
    <m/>
    <s v="1410080051"/>
    <d v="2004-08-01T00:00:00"/>
    <n v="0"/>
    <n v="6521.34"/>
    <x v="4"/>
    <x v="1"/>
    <s v="Creil Plant                    FR07 0143"/>
    <n v="6521.34"/>
    <s v=""/>
  </r>
  <r>
    <x v="0"/>
    <x v="4"/>
    <s v="5300600"/>
    <s v=""/>
    <m/>
    <s v="1410080045"/>
    <d v="2004-08-01T00:00:00"/>
    <n v="0"/>
    <n v="1760.8"/>
    <x v="4"/>
    <x v="1"/>
    <s v="Creil Plant                    FR07 0143"/>
    <n v="1760.8"/>
    <s v=""/>
  </r>
  <r>
    <x v="0"/>
    <x v="4"/>
    <s v="5300600"/>
    <s v=""/>
    <m/>
    <s v="1410080044"/>
    <d v="2004-08-01T00:00:00"/>
    <n v="0"/>
    <n v="1612.8"/>
    <x v="4"/>
    <x v="1"/>
    <s v="Creil Plant                    FR07 0143"/>
    <n v="1612.8"/>
    <s v=""/>
  </r>
  <r>
    <x v="0"/>
    <x v="4"/>
    <s v="5300600"/>
    <s v=""/>
    <m/>
    <s v="1410080043"/>
    <d v="2004-08-01T00:00:00"/>
    <n v="0"/>
    <n v="1260"/>
    <x v="4"/>
    <x v="1"/>
    <s v="Creil Plant                    FR07 0143"/>
    <n v="1260"/>
    <s v=""/>
  </r>
  <r>
    <x v="0"/>
    <x v="4"/>
    <s v="5300600"/>
    <s v=""/>
    <m/>
    <s v="1410080009"/>
    <d v="2004-08-01T00:00:00"/>
    <n v="0"/>
    <n v="-138.94"/>
    <x v="4"/>
    <x v="1"/>
    <s v="Creil Plant                    FR07 0143"/>
    <n v="-138.94"/>
    <s v=""/>
  </r>
  <r>
    <x v="0"/>
    <x v="4"/>
    <s v="5300600"/>
    <s v=""/>
    <m/>
    <s v="1410080007"/>
    <d v="2004-08-01T00:00:00"/>
    <n v="0"/>
    <n v="-4067.7"/>
    <x v="4"/>
    <x v="1"/>
    <s v="Creil Plant                    FR07 0143"/>
    <n v="-4067.7"/>
    <s v=""/>
  </r>
  <r>
    <x v="1"/>
    <x v="4"/>
    <s v=""/>
    <s v=""/>
    <m/>
    <s v=""/>
    <m/>
    <n v="1085436.57"/>
    <n v="-916788.11"/>
    <x v="4"/>
    <x v="0"/>
    <s v=""/>
    <n v="168648.46"/>
    <s v=""/>
  </r>
  <r>
    <x v="0"/>
    <x v="5"/>
    <s v="5300600"/>
    <s v="1410080168"/>
    <d v="2004-08-01T00:00:00"/>
    <s v=""/>
    <m/>
    <n v="238"/>
    <n v="0"/>
    <x v="0"/>
    <x v="0"/>
    <s v="IP France Inc                  FR14 0149"/>
    <n v="238"/>
    <s v=""/>
  </r>
  <r>
    <x v="0"/>
    <x v="5"/>
    <s v="5300600"/>
    <s v="655558"/>
    <d v="2004-08-24T00:00:00"/>
    <s v=""/>
    <m/>
    <n v="-238"/>
    <n v="0"/>
    <x v="0"/>
    <x v="0"/>
    <s v="IP France Inc                  FR14 0149"/>
    <n v="-238"/>
    <s v=""/>
  </r>
  <r>
    <x v="1"/>
    <x v="5"/>
    <s v=""/>
    <s v=""/>
    <m/>
    <s v=""/>
    <m/>
    <n v="0"/>
    <n v="0"/>
    <x v="4"/>
    <x v="0"/>
    <s v=""/>
    <n v="0"/>
    <s v=""/>
  </r>
  <r>
    <x v="0"/>
    <x v="6"/>
    <s v="5300600"/>
    <s v="1410080142"/>
    <d v="2004-08-01T00:00:00"/>
    <s v=""/>
    <m/>
    <n v="1406.09"/>
    <n v="0"/>
    <x v="0"/>
    <x v="0"/>
    <s v="IP Information Systems EITC    UK05 0210"/>
    <n v="1406.09"/>
    <s v=""/>
  </r>
  <r>
    <x v="0"/>
    <x v="6"/>
    <s v="5300600"/>
    <s v="655558"/>
    <d v="2004-08-24T00:00:00"/>
    <s v=""/>
    <m/>
    <n v="-1406.09"/>
    <n v="0"/>
    <x v="0"/>
    <x v="0"/>
    <s v="IP Information Systems EITC    UK05 0210"/>
    <n v="-1406.09"/>
    <s v=""/>
  </r>
  <r>
    <x v="0"/>
    <x v="6"/>
    <s v="5200600"/>
    <s v=""/>
    <m/>
    <s v="2400000090"/>
    <d v="2004-07-27T00:00:00"/>
    <n v="0"/>
    <n v="-654.79999999999995"/>
    <x v="4"/>
    <x v="1"/>
    <s v="IP Information Systems EITC    UK05 0210"/>
    <n v="-654.79999999999995"/>
    <s v=""/>
  </r>
  <r>
    <x v="0"/>
    <x v="6"/>
    <s v="5200600"/>
    <s v=""/>
    <m/>
    <s v="2400000050"/>
    <d v="2004-06-24T00:00:00"/>
    <n v="0"/>
    <n v="-1406.09"/>
    <x v="4"/>
    <x v="1"/>
    <s v="IP Information Systems EITC    UK05 0210"/>
    <n v="-1406.09"/>
    <s v=""/>
  </r>
  <r>
    <x v="0"/>
    <x v="6"/>
    <s v="5200600"/>
    <s v=""/>
    <m/>
    <s v="600199"/>
    <d v="2004-08-01T00:00:00"/>
    <n v="0"/>
    <n v="1369.76"/>
    <x v="4"/>
    <x v="1"/>
    <s v="IP Information Systems EITC    UK05 0210"/>
    <n v="1369.76"/>
    <s v=""/>
  </r>
  <r>
    <x v="1"/>
    <x v="6"/>
    <s v=""/>
    <s v=""/>
    <m/>
    <s v=""/>
    <m/>
    <n v="0"/>
    <n v="-2060.89"/>
    <x v="4"/>
    <x v="0"/>
    <s v=""/>
    <n v="-2060.89"/>
    <s v=""/>
  </r>
  <r>
    <x v="1"/>
    <x v="0"/>
    <s v=""/>
    <s v=""/>
    <m/>
    <s v=""/>
    <m/>
    <n v="0"/>
    <n v="1369.76"/>
    <x v="4"/>
    <x v="0"/>
    <s v=""/>
    <n v="1369.76"/>
    <s v=""/>
  </r>
  <r>
    <x v="0"/>
    <x v="7"/>
    <s v="5300500"/>
    <s v="1600000688"/>
    <d v="2019-01-28T00:00:00"/>
    <s v=""/>
    <m/>
    <n v="-10033.42"/>
    <n v="0"/>
    <x v="8"/>
    <x v="0"/>
    <s v="Madrid Recycled Cntrbrd Mill US GAAP 287"/>
    <n v="-10033.42"/>
    <s v="9005709307"/>
  </r>
  <r>
    <x v="0"/>
    <x v="7"/>
    <s v="5300500"/>
    <s v="1600000693"/>
    <d v="2019-01-28T00:00:00"/>
    <s v=""/>
    <m/>
    <n v="-11238.64"/>
    <n v="0"/>
    <x v="8"/>
    <x v="0"/>
    <s v="Madrid Recycled Cntrbrd Mill US GAAP 287"/>
    <n v="-11238.64"/>
    <s v="9005711150"/>
  </r>
  <r>
    <x v="0"/>
    <x v="7"/>
    <s v="5300500"/>
    <s v="1600000684"/>
    <d v="2019-01-15T00:00:00"/>
    <s v=""/>
    <m/>
    <n v="-10120.540000000001"/>
    <n v="0"/>
    <x v="8"/>
    <x v="0"/>
    <s v="Madrid Recycled Cntrbrd Mill US GAAP 287"/>
    <n v="-10120.540000000001"/>
    <s v="9005707138"/>
  </r>
  <r>
    <x v="0"/>
    <x v="7"/>
    <s v="5300500"/>
    <s v="1600000316"/>
    <d v="2019-01-15T00:00:00"/>
    <s v=""/>
    <m/>
    <n v="-10069.39"/>
    <n v="0"/>
    <x v="8"/>
    <x v="0"/>
    <s v="Madrid Recycled Cntrbrd Mill US GAAP 287"/>
    <n v="-10069.39"/>
    <s v="9005691142"/>
  </r>
  <r>
    <x v="0"/>
    <x v="7"/>
    <s v="5300500"/>
    <s v="1600000314"/>
    <d v="2019-01-15T00:00:00"/>
    <s v=""/>
    <m/>
    <n v="-10372.93"/>
    <n v="0"/>
    <x v="8"/>
    <x v="0"/>
    <s v="Madrid Recycled Cntrbrd Mill US GAAP 287"/>
    <n v="-10372.93"/>
    <s v="9005688928"/>
  </r>
  <r>
    <x v="0"/>
    <x v="7"/>
    <s v="5300500"/>
    <s v="1600000317"/>
    <d v="2019-01-15T00:00:00"/>
    <s v=""/>
    <m/>
    <n v="-10404.51"/>
    <n v="0"/>
    <x v="8"/>
    <x v="0"/>
    <s v="Madrid Recycled Cntrbrd Mill US GAAP 287"/>
    <n v="-10404.51"/>
    <s v="9005691124"/>
  </r>
  <r>
    <x v="0"/>
    <x v="7"/>
    <s v="5300500"/>
    <s v="1600000318"/>
    <d v="2019-01-15T00:00:00"/>
    <s v=""/>
    <m/>
    <n v="-10536.98"/>
    <n v="0"/>
    <x v="8"/>
    <x v="0"/>
    <s v="Madrid Recycled Cntrbrd Mill US GAAP 287"/>
    <n v="-10536.98"/>
    <s v="9005695525"/>
  </r>
  <r>
    <x v="0"/>
    <x v="7"/>
    <s v="5300500"/>
    <s v="1600000696"/>
    <d v="2019-01-28T00:00:00"/>
    <s v=""/>
    <m/>
    <n v="-11318.83"/>
    <n v="0"/>
    <x v="8"/>
    <x v="0"/>
    <s v="Madrid Recycled Cntrbrd Mill US GAAP 287"/>
    <n v="-11318.83"/>
    <s v="9005714983"/>
  </r>
  <r>
    <x v="0"/>
    <x v="7"/>
    <s v="5300500"/>
    <s v="1600000687"/>
    <d v="2019-01-28T00:00:00"/>
    <s v=""/>
    <m/>
    <n v="-10721.16"/>
    <n v="0"/>
    <x v="8"/>
    <x v="0"/>
    <s v="Madrid Recycled Cntrbrd Mill US GAAP 287"/>
    <n v="-10721.16"/>
    <s v="9005709261"/>
  </r>
  <r>
    <x v="0"/>
    <x v="7"/>
    <s v="5300500"/>
    <s v="1600000695"/>
    <d v="2019-01-28T00:00:00"/>
    <s v=""/>
    <m/>
    <n v="-10997.86"/>
    <n v="0"/>
    <x v="8"/>
    <x v="0"/>
    <s v="Madrid Recycled Cntrbrd Mill US GAAP 287"/>
    <n v="-10997.86"/>
    <s v="9005713720"/>
  </r>
  <r>
    <x v="0"/>
    <x v="7"/>
    <s v="5300500"/>
    <s v="1600000327"/>
    <d v="2019-01-15T00:00:00"/>
    <s v=""/>
    <m/>
    <n v="-10606.19"/>
    <n v="0"/>
    <x v="8"/>
    <x v="0"/>
    <s v="Madrid Recycled Cntrbrd Mill US GAAP 287"/>
    <n v="-10606.19"/>
    <s v="9005701071"/>
  </r>
  <r>
    <x v="0"/>
    <x v="7"/>
    <s v="5300500"/>
    <s v="1600000719"/>
    <d v="2019-01-28T00:00:00"/>
    <s v=""/>
    <m/>
    <n v="-10627.62"/>
    <n v="0"/>
    <x v="8"/>
    <x v="0"/>
    <s v="Madrid Recycled Cntrbrd Mill US GAAP 287"/>
    <n v="-10627.62"/>
    <s v="9005672513"/>
  </r>
  <r>
    <x v="0"/>
    <x v="7"/>
    <s v="5300500"/>
    <s v="1600000565"/>
    <d v="2019-01-23T00:00:00"/>
    <s v=""/>
    <m/>
    <n v="-10245.719999999999"/>
    <n v="0"/>
    <x v="8"/>
    <x v="0"/>
    <s v="Madrid Recycled Cntrbrd Mill US GAAP 287"/>
    <n v="-10245.719999999999"/>
    <s v="9005691100"/>
  </r>
  <r>
    <x v="0"/>
    <x v="7"/>
    <s v="5300500"/>
    <s v="1600000567"/>
    <d v="2019-01-23T00:00:00"/>
    <s v=""/>
    <m/>
    <n v="-10150.299999999999"/>
    <n v="0"/>
    <x v="8"/>
    <x v="0"/>
    <s v="Madrid Recycled Cntrbrd Mill US GAAP 287"/>
    <n v="-10150.299999999999"/>
    <s v="9005697413"/>
  </r>
  <r>
    <x v="0"/>
    <x v="7"/>
    <s v="5300500"/>
    <s v="1600000563"/>
    <d v="2019-01-23T00:00:00"/>
    <s v=""/>
    <m/>
    <n v="-9984.56"/>
    <n v="0"/>
    <x v="8"/>
    <x v="0"/>
    <s v="Madrid Recycled Cntrbrd Mill US GAAP 287"/>
    <n v="-9984.56"/>
    <s v="9005688905"/>
  </r>
  <r>
    <x v="0"/>
    <x v="7"/>
    <s v="5300500"/>
    <s v="1600000682"/>
    <d v="2019-01-15T00:00:00"/>
    <s v=""/>
    <m/>
    <n v="-10052.26"/>
    <n v="0"/>
    <x v="8"/>
    <x v="0"/>
    <s v="Madrid Recycled Cntrbrd Mill US GAAP 287"/>
    <n v="-10052.26"/>
    <s v="9005707123"/>
  </r>
  <r>
    <x v="0"/>
    <x v="7"/>
    <s v="5300500"/>
    <s v="1100000032"/>
    <d v="2019-01-21T00:00:00"/>
    <s v=""/>
    <m/>
    <n v="4326.57"/>
    <n v="0"/>
    <x v="8"/>
    <x v="0"/>
    <s v="Madrid Recycled Cntrbrd Mill US GAAP 287"/>
    <n v="4326.57"/>
    <s v="9005645844"/>
  </r>
  <r>
    <x v="0"/>
    <x v="7"/>
    <s v="5300500"/>
    <s v="1600000320"/>
    <d v="2019-01-15T00:00:00"/>
    <s v=""/>
    <m/>
    <n v="-10764.7"/>
    <n v="0"/>
    <x v="8"/>
    <x v="0"/>
    <s v="Madrid Recycled Cntrbrd Mill US GAAP 287"/>
    <n v="-10764.7"/>
    <s v="9005695586"/>
  </r>
  <r>
    <x v="0"/>
    <x v="7"/>
    <s v="5300500"/>
    <s v="1600000450"/>
    <d v="2019-01-18T00:00:00"/>
    <s v=""/>
    <m/>
    <n v="-10674.51"/>
    <n v="0"/>
    <x v="8"/>
    <x v="0"/>
    <s v="Madrid Recycled Cntrbrd Mill US GAAP 287"/>
    <n v="-10674.51"/>
    <s v="9005705306"/>
  </r>
  <r>
    <x v="0"/>
    <x v="7"/>
    <s v="5300500"/>
    <s v="1600000449"/>
    <d v="2019-01-18T00:00:00"/>
    <s v=""/>
    <m/>
    <n v="-11827.17"/>
    <n v="0"/>
    <x v="8"/>
    <x v="0"/>
    <s v="Madrid Recycled Cntrbrd Mill US GAAP 287"/>
    <n v="-11827.17"/>
    <s v="9005705347"/>
  </r>
  <r>
    <x v="0"/>
    <x v="7"/>
    <s v="5300500"/>
    <s v="1600000321"/>
    <d v="2019-01-15T00:00:00"/>
    <s v=""/>
    <m/>
    <n v="-9898.33"/>
    <n v="0"/>
    <x v="8"/>
    <x v="0"/>
    <s v="Madrid Recycled Cntrbrd Mill US GAAP 287"/>
    <n v="-9898.33"/>
    <s v="9005697443"/>
  </r>
  <r>
    <x v="0"/>
    <x v="7"/>
    <s v="5300500"/>
    <s v="1600000319"/>
    <d v="2019-01-15T00:00:00"/>
    <s v=""/>
    <m/>
    <n v="-11165.93"/>
    <n v="0"/>
    <x v="8"/>
    <x v="0"/>
    <s v="Madrid Recycled Cntrbrd Mill US GAAP 287"/>
    <n v="-11165.93"/>
    <s v="9005695555"/>
  </r>
  <r>
    <x v="0"/>
    <x v="7"/>
    <s v="5300500"/>
    <s v="1600000683"/>
    <d v="2019-01-16T00:00:00"/>
    <s v=""/>
    <m/>
    <n v="-10590.12"/>
    <n v="0"/>
    <x v="8"/>
    <x v="0"/>
    <s v="Madrid Recycled Cntrbrd Mill US GAAP 287"/>
    <n v="-10590.12"/>
    <s v="9005707162"/>
  </r>
  <r>
    <x v="0"/>
    <x v="7"/>
    <s v="5300500"/>
    <s v="1600000015"/>
    <d v="2019-01-03T00:00:00"/>
    <s v=""/>
    <m/>
    <n v="-11501.18"/>
    <n v="0"/>
    <x v="8"/>
    <x v="0"/>
    <s v="Madrid Recycled Cntrbrd Mill US GAAP 287"/>
    <n v="-11501.18"/>
    <s v="9005674303"/>
  </r>
  <r>
    <x v="0"/>
    <x v="7"/>
    <s v="5300500"/>
    <s v="1600000027"/>
    <d v="2019-01-03T00:00:00"/>
    <s v=""/>
    <m/>
    <n v="-10905.72"/>
    <n v="0"/>
    <x v="8"/>
    <x v="0"/>
    <s v="Madrid Recycled Cntrbrd Mill US GAAP 287"/>
    <n v="-10905.72"/>
    <s v="9005677587"/>
  </r>
  <r>
    <x v="0"/>
    <x v="7"/>
    <s v="5300500"/>
    <s v="1600000034"/>
    <d v="2019-01-03T00:00:00"/>
    <s v=""/>
    <m/>
    <n v="-10156.549999999999"/>
    <n v="0"/>
    <x v="8"/>
    <x v="0"/>
    <s v="Madrid Recycled Cntrbrd Mill US GAAP 287"/>
    <n v="-10156.549999999999"/>
    <s v="9005685109"/>
  </r>
  <r>
    <x v="0"/>
    <x v="7"/>
    <s v="5300500"/>
    <s v="1600000016"/>
    <d v="2019-01-03T00:00:00"/>
    <s v=""/>
    <m/>
    <n v="-12536.83"/>
    <n v="0"/>
    <x v="8"/>
    <x v="0"/>
    <s v="Madrid Recycled Cntrbrd Mill US GAAP 287"/>
    <n v="-12536.83"/>
    <s v="9005674320"/>
  </r>
  <r>
    <x v="0"/>
    <x v="7"/>
    <s v="5300500"/>
    <s v="1600000029"/>
    <d v="2019-01-03T00:00:00"/>
    <s v=""/>
    <m/>
    <n v="-10866.39"/>
    <n v="0"/>
    <x v="8"/>
    <x v="0"/>
    <s v="Madrid Recycled Cntrbrd Mill US GAAP 287"/>
    <n v="-10866.39"/>
    <s v="9005677599"/>
  </r>
  <r>
    <x v="0"/>
    <x v="7"/>
    <s v="5300500"/>
    <s v="1600000031"/>
    <d v="2019-01-03T00:00:00"/>
    <s v=""/>
    <m/>
    <n v="-9989.19"/>
    <n v="0"/>
    <x v="8"/>
    <x v="0"/>
    <s v="Madrid Recycled Cntrbrd Mill US GAAP 287"/>
    <n v="-9989.19"/>
    <s v="9005677580"/>
  </r>
  <r>
    <x v="0"/>
    <x v="7"/>
    <s v="5300500"/>
    <s v="1600000004"/>
    <d v="2019-01-03T00:00:00"/>
    <s v=""/>
    <m/>
    <n v="-10625.25"/>
    <n v="0"/>
    <x v="8"/>
    <x v="0"/>
    <s v="Madrid Recycled Cntrbrd Mill US GAAP 287"/>
    <n v="-10625.25"/>
    <s v="9005672492"/>
  </r>
  <r>
    <x v="0"/>
    <x v="7"/>
    <s v="5300500"/>
    <s v="1600000192"/>
    <d v="2019-01-08T00:00:00"/>
    <s v=""/>
    <m/>
    <n v="-11034.61"/>
    <n v="0"/>
    <x v="8"/>
    <x v="0"/>
    <s v="Madrid Recycled Cntrbrd Mill US GAAP 287"/>
    <n v="-11034.61"/>
    <s v="9005685072"/>
  </r>
  <r>
    <x v="0"/>
    <x v="7"/>
    <s v="5300500"/>
    <s v="1600000191"/>
    <d v="2019-01-08T00:00:00"/>
    <s v=""/>
    <m/>
    <n v="-11088.36"/>
    <n v="0"/>
    <x v="8"/>
    <x v="0"/>
    <s v="Madrid Recycled Cntrbrd Mill US GAAP 287"/>
    <n v="-11088.36"/>
    <s v="9005685096"/>
  </r>
  <r>
    <x v="0"/>
    <x v="7"/>
    <s v="5300500"/>
    <s v="1600000193"/>
    <d v="2019-01-08T00:00:00"/>
    <s v=""/>
    <m/>
    <n v="-9917.7900000000009"/>
    <n v="0"/>
    <x v="8"/>
    <x v="0"/>
    <s v="Madrid Recycled Cntrbrd Mill US GAAP 287"/>
    <n v="-9917.7900000000009"/>
    <s v="9005685082"/>
  </r>
  <r>
    <x v="0"/>
    <x v="7"/>
    <s v="5300500"/>
    <s v="1600000331"/>
    <d v="2019-01-15T00:00:00"/>
    <s v=""/>
    <m/>
    <n v="-11226.6"/>
    <n v="0"/>
    <x v="8"/>
    <x v="0"/>
    <s v="Madrid Recycled Cntrbrd Mill US GAAP 287"/>
    <n v="-11226.6"/>
    <s v="9005701113"/>
  </r>
  <r>
    <x v="0"/>
    <x v="7"/>
    <s v="5300500"/>
    <s v="1600000329"/>
    <d v="2019-01-15T00:00:00"/>
    <s v=""/>
    <m/>
    <n v="-11094.75"/>
    <n v="0"/>
    <x v="8"/>
    <x v="0"/>
    <s v="Madrid Recycled Cntrbrd Mill US GAAP 287"/>
    <n v="-11094.75"/>
    <s v="9005701037"/>
  </r>
  <r>
    <x v="0"/>
    <x v="7"/>
    <s v="5300500"/>
    <s v="1600000322"/>
    <d v="2019-01-15T00:00:00"/>
    <s v=""/>
    <m/>
    <n v="-10511.66"/>
    <n v="0"/>
    <x v="8"/>
    <x v="0"/>
    <s v="Madrid Recycled Cntrbrd Mill US GAAP 287"/>
    <n v="-10511.66"/>
    <s v="9005697488"/>
  </r>
  <r>
    <x v="0"/>
    <x v="7"/>
    <s v="5300500"/>
    <s v="1600000328"/>
    <d v="2019-01-15T00:00:00"/>
    <s v=""/>
    <m/>
    <n v="-10562.43"/>
    <n v="0"/>
    <x v="8"/>
    <x v="0"/>
    <s v="Madrid Recycled Cntrbrd Mill US GAAP 287"/>
    <n v="-10562.43"/>
    <s v="9005701014"/>
  </r>
  <r>
    <x v="0"/>
    <x v="7"/>
    <s v="5300500"/>
    <s v="1600000324"/>
    <d v="2019-01-15T00:00:00"/>
    <s v=""/>
    <m/>
    <n v="-10763.33"/>
    <n v="0"/>
    <x v="8"/>
    <x v="0"/>
    <s v="Madrid Recycled Cntrbrd Mill US GAAP 287"/>
    <n v="-10763.33"/>
    <s v="9005699557"/>
  </r>
  <r>
    <x v="0"/>
    <x v="7"/>
    <s v="5300500"/>
    <s v="1600000775"/>
    <d v="2019-01-29T00:00:00"/>
    <s v=""/>
    <m/>
    <n v="-10889.82"/>
    <n v="0"/>
    <x v="8"/>
    <x v="0"/>
    <s v="Madrid Recycled Cntrbrd Mill US GAAP 287"/>
    <n v="-10889.82"/>
    <s v="9005670583"/>
  </r>
  <r>
    <x v="0"/>
    <x v="7"/>
    <s v="5300500"/>
    <s v="1600000774"/>
    <d v="2019-01-29T00:00:00"/>
    <s v=""/>
    <m/>
    <n v="-11371.42"/>
    <n v="0"/>
    <x v="8"/>
    <x v="0"/>
    <s v="Madrid Recycled Cntrbrd Mill US GAAP 287"/>
    <n v="-11371.42"/>
    <s v="9005668811"/>
  </r>
  <r>
    <x v="0"/>
    <x v="7"/>
    <s v="5200500"/>
    <s v=""/>
    <m/>
    <s v="2900000212"/>
    <d v="2019-01-09T00:00:00"/>
    <n v="0"/>
    <n v="9898.33"/>
    <x v="4"/>
    <x v="2"/>
    <s v="Madrid Recycled Cntrbrd Mill US GAAP 287"/>
    <n v="9898.33"/>
    <s v=""/>
  </r>
  <r>
    <x v="0"/>
    <x v="7"/>
    <s v="5200500"/>
    <s v=""/>
    <m/>
    <s v="2900000168"/>
    <d v="2019-01-08T00:00:00"/>
    <n v="0"/>
    <n v="10764.7"/>
    <x v="4"/>
    <x v="2"/>
    <s v="Madrid Recycled Cntrbrd Mill US GAAP 287"/>
    <n v="10764.7"/>
    <s v=""/>
  </r>
  <r>
    <x v="0"/>
    <x v="7"/>
    <s v="5200500"/>
    <s v=""/>
    <m/>
    <s v="2900000167"/>
    <d v="2019-01-08T00:00:00"/>
    <n v="0"/>
    <n v="11165.93"/>
    <x v="4"/>
    <x v="2"/>
    <s v="Madrid Recycled Cntrbrd Mill US GAAP 287"/>
    <n v="11165.93"/>
    <s v=""/>
  </r>
  <r>
    <x v="0"/>
    <x v="7"/>
    <s v="5200500"/>
    <s v=""/>
    <m/>
    <s v="2900000166"/>
    <d v="2019-01-08T00:00:00"/>
    <n v="0"/>
    <n v="10536.98"/>
    <x v="4"/>
    <x v="2"/>
    <s v="Madrid Recycled Cntrbrd Mill US GAAP 287"/>
    <n v="10536.98"/>
    <s v=""/>
  </r>
  <r>
    <x v="0"/>
    <x v="7"/>
    <s v="5200500"/>
    <s v=""/>
    <m/>
    <s v="2900000211"/>
    <d v="2019-01-08T00:00:00"/>
    <n v="0"/>
    <n v="10150.299999999999"/>
    <x v="4"/>
    <x v="2"/>
    <s v="Madrid Recycled Cntrbrd Mill US GAAP 287"/>
    <n v="10150.299999999999"/>
    <s v=""/>
  </r>
  <r>
    <x v="0"/>
    <x v="7"/>
    <s v="5200500"/>
    <s v=""/>
    <m/>
    <s v="2900000121"/>
    <d v="2019-01-04T00:00:00"/>
    <n v="0"/>
    <n v="10069.39"/>
    <x v="4"/>
    <x v="2"/>
    <s v="Madrid Recycled Cntrbrd Mill US GAAP 287"/>
    <n v="10069.39"/>
    <s v=""/>
  </r>
  <r>
    <x v="0"/>
    <x v="7"/>
    <s v="5200500"/>
    <s v=""/>
    <m/>
    <s v="2900000120"/>
    <d v="2019-01-04T00:00:00"/>
    <n v="0"/>
    <n v="10404.51"/>
    <x v="4"/>
    <x v="2"/>
    <s v="Madrid Recycled Cntrbrd Mill US GAAP 287"/>
    <n v="10404.51"/>
    <s v=""/>
  </r>
  <r>
    <x v="0"/>
    <x v="7"/>
    <s v="5200500"/>
    <s v=""/>
    <m/>
    <s v="2900000119"/>
    <d v="2019-01-03T00:00:00"/>
    <n v="0"/>
    <n v="10245.719999999999"/>
    <x v="4"/>
    <x v="2"/>
    <s v="Madrid Recycled Cntrbrd Mill US GAAP 287"/>
    <n v="10245.719999999999"/>
    <s v=""/>
  </r>
  <r>
    <x v="0"/>
    <x v="7"/>
    <s v="5200500"/>
    <s v=""/>
    <m/>
    <s v="2900000084"/>
    <d v="2019-01-03T00:00:00"/>
    <n v="0"/>
    <n v="10372.93"/>
    <x v="4"/>
    <x v="2"/>
    <s v="Madrid Recycled Cntrbrd Mill US GAAP 287"/>
    <n v="10372.93"/>
    <s v=""/>
  </r>
  <r>
    <x v="0"/>
    <x v="7"/>
    <s v="5200500"/>
    <s v=""/>
    <m/>
    <s v="2900000083"/>
    <d v="2019-01-02T00:00:00"/>
    <n v="0"/>
    <n v="9984.56"/>
    <x v="4"/>
    <x v="2"/>
    <s v="Madrid Recycled Cntrbrd Mill US GAAP 287"/>
    <n v="9984.56"/>
    <s v=""/>
  </r>
  <r>
    <x v="0"/>
    <x v="7"/>
    <s v="5200500"/>
    <s v=""/>
    <m/>
    <s v="2900000082"/>
    <d v="2019-01-02T00:00:00"/>
    <n v="0"/>
    <n v="11127.79"/>
    <x v="4"/>
    <x v="2"/>
    <s v="Madrid Recycled Cntrbrd Mill US GAAP 287"/>
    <n v="11127.79"/>
    <s v=""/>
  </r>
  <r>
    <x v="0"/>
    <x v="7"/>
    <s v="5200500"/>
    <s v=""/>
    <m/>
    <s v="2800001793"/>
    <d v="2018-12-31T00:00:00"/>
    <n v="0"/>
    <n v="10156.549999999999"/>
    <x v="4"/>
    <x v="6"/>
    <s v="Madrid Recycled Cntrbrd Mill US GAAP 287"/>
    <n v="10156.549999999999"/>
    <s v=""/>
  </r>
  <r>
    <x v="0"/>
    <x v="7"/>
    <s v="5200500"/>
    <s v=""/>
    <m/>
    <s v="2800001792"/>
    <d v="2018-12-28T00:00:00"/>
    <n v="0"/>
    <n v="11088.36"/>
    <x v="4"/>
    <x v="6"/>
    <s v="Madrid Recycled Cntrbrd Mill US GAAP 287"/>
    <n v="11088.36"/>
    <s v=""/>
  </r>
  <r>
    <x v="0"/>
    <x v="7"/>
    <s v="5200500"/>
    <s v=""/>
    <m/>
    <s v="2800001791"/>
    <d v="2018-12-27T00:00:00"/>
    <n v="0"/>
    <n v="9917.7900000000009"/>
    <x v="4"/>
    <x v="6"/>
    <s v="Madrid Recycled Cntrbrd Mill US GAAP 287"/>
    <n v="9917.7900000000009"/>
    <s v=""/>
  </r>
  <r>
    <x v="0"/>
    <x v="7"/>
    <s v="5200500"/>
    <s v=""/>
    <m/>
    <s v="2800001790"/>
    <d v="2018-12-27T00:00:00"/>
    <n v="0"/>
    <n v="11034.61"/>
    <x v="4"/>
    <x v="6"/>
    <s v="Madrid Recycled Cntrbrd Mill US GAAP 287"/>
    <n v="11034.61"/>
    <s v=""/>
  </r>
  <r>
    <x v="0"/>
    <x v="7"/>
    <s v="5200500"/>
    <s v=""/>
    <m/>
    <s v="2800001686"/>
    <d v="2018-12-21T00:00:00"/>
    <n v="0"/>
    <n v="10866.39"/>
    <x v="4"/>
    <x v="6"/>
    <s v="Madrid Recycled Cntrbrd Mill US GAAP 287"/>
    <n v="10866.39"/>
    <s v=""/>
  </r>
  <r>
    <x v="0"/>
    <x v="7"/>
    <s v="5200500"/>
    <s v=""/>
    <m/>
    <s v="2800001685"/>
    <d v="2018-12-21T00:00:00"/>
    <n v="0"/>
    <n v="10905.72"/>
    <x v="4"/>
    <x v="6"/>
    <s v="Madrid Recycled Cntrbrd Mill US GAAP 287"/>
    <n v="10905.72"/>
    <s v=""/>
  </r>
  <r>
    <x v="0"/>
    <x v="7"/>
    <s v="5200500"/>
    <s v=""/>
    <m/>
    <s v="2800001684"/>
    <d v="2018-12-21T00:00:00"/>
    <n v="0"/>
    <n v="9989.19"/>
    <x v="4"/>
    <x v="6"/>
    <s v="Madrid Recycled Cntrbrd Mill US GAAP 287"/>
    <n v="9989.19"/>
    <s v=""/>
  </r>
  <r>
    <x v="0"/>
    <x v="7"/>
    <s v="5200500"/>
    <s v=""/>
    <m/>
    <s v="2800001634"/>
    <d v="2018-12-20T00:00:00"/>
    <n v="0"/>
    <n v="12536.83"/>
    <x v="4"/>
    <x v="6"/>
    <s v="Madrid Recycled Cntrbrd Mill US GAAP 287"/>
    <n v="12536.83"/>
    <s v=""/>
  </r>
  <r>
    <x v="0"/>
    <x v="7"/>
    <s v="5200500"/>
    <s v=""/>
    <m/>
    <s v="2800001633"/>
    <d v="2018-12-20T00:00:00"/>
    <n v="0"/>
    <n v="11501.18"/>
    <x v="4"/>
    <x v="6"/>
    <s v="Madrid Recycled Cntrbrd Mill US GAAP 287"/>
    <n v="11501.18"/>
    <s v=""/>
  </r>
  <r>
    <x v="0"/>
    <x v="7"/>
    <s v="5200500"/>
    <s v=""/>
    <m/>
    <s v="2800001611"/>
    <d v="2018-12-19T00:00:00"/>
    <n v="0"/>
    <n v="10627.62"/>
    <x v="4"/>
    <x v="6"/>
    <s v="Madrid Recycled Cntrbrd Mill US GAAP 287"/>
    <n v="10627.62"/>
    <s v=""/>
  </r>
  <r>
    <x v="0"/>
    <x v="7"/>
    <s v="5200500"/>
    <s v=""/>
    <m/>
    <s v="2800001610"/>
    <d v="2018-12-19T00:00:00"/>
    <n v="0"/>
    <n v="10625.25"/>
    <x v="4"/>
    <x v="6"/>
    <s v="Madrid Recycled Cntrbrd Mill US GAAP 287"/>
    <n v="10625.25"/>
    <s v=""/>
  </r>
  <r>
    <x v="0"/>
    <x v="7"/>
    <s v="5200500"/>
    <s v=""/>
    <m/>
    <s v="2800001584"/>
    <d v="2018-12-18T00:00:00"/>
    <n v="0"/>
    <n v="10889.82"/>
    <x v="4"/>
    <x v="6"/>
    <s v="Madrid Recycled Cntrbrd Mill US GAAP 287"/>
    <n v="10889.82"/>
    <s v=""/>
  </r>
  <r>
    <x v="0"/>
    <x v="7"/>
    <s v="5200500"/>
    <s v=""/>
    <m/>
    <s v="2800001537"/>
    <d v="2018-12-17T00:00:00"/>
    <n v="0"/>
    <n v="11371.42"/>
    <x v="4"/>
    <x v="6"/>
    <s v="Madrid Recycled Cntrbrd Mill US GAAP 287"/>
    <n v="11371.42"/>
    <s v=""/>
  </r>
  <r>
    <x v="0"/>
    <x v="7"/>
    <s v="5200500"/>
    <s v=""/>
    <m/>
    <s v="2800001200"/>
    <d v="2018-11-30T00:00:00"/>
    <n v="0"/>
    <n v="-4326.57"/>
    <x v="4"/>
    <x v="6"/>
    <s v="Madrid Recycled Cntrbrd Mill US GAAP 287"/>
    <n v="-4326.57"/>
    <s v=""/>
  </r>
  <r>
    <x v="0"/>
    <x v="7"/>
    <s v="5200500"/>
    <s v=""/>
    <m/>
    <s v="2900000213"/>
    <d v="2019-01-09T00:00:00"/>
    <n v="0"/>
    <n v="10511.66"/>
    <x v="4"/>
    <x v="2"/>
    <s v="Madrid Recycled Cntrbrd Mill US GAAP 287"/>
    <n v="10511.66"/>
    <s v=""/>
  </r>
  <r>
    <x v="0"/>
    <x v="7"/>
    <s v="5200500"/>
    <s v=""/>
    <m/>
    <s v="2900000462"/>
    <d v="2019-01-16T00:00:00"/>
    <n v="0"/>
    <n v="10721.16"/>
    <x v="4"/>
    <x v="2"/>
    <s v="Madrid Recycled Cntrbrd Mill US GAAP 287"/>
    <n v="10721.16"/>
    <s v=""/>
  </r>
  <r>
    <x v="0"/>
    <x v="7"/>
    <s v="5200500"/>
    <s v=""/>
    <m/>
    <s v="2900000430"/>
    <d v="2019-01-16T00:00:00"/>
    <n v="0"/>
    <n v="10590.12"/>
    <x v="4"/>
    <x v="2"/>
    <s v="Madrid Recycled Cntrbrd Mill US GAAP 287"/>
    <n v="10590.12"/>
    <s v=""/>
  </r>
  <r>
    <x v="0"/>
    <x v="7"/>
    <s v="5200500"/>
    <s v=""/>
    <m/>
    <s v="2900000429"/>
    <d v="2019-01-15T00:00:00"/>
    <n v="0"/>
    <n v="10120.540000000001"/>
    <x v="4"/>
    <x v="2"/>
    <s v="Madrid Recycled Cntrbrd Mill US GAAP 287"/>
    <n v="10120.540000000001"/>
    <s v=""/>
  </r>
  <r>
    <x v="0"/>
    <x v="7"/>
    <s v="5200500"/>
    <s v=""/>
    <m/>
    <s v="2900000428"/>
    <d v="2019-01-15T00:00:00"/>
    <n v="0"/>
    <n v="10052.26"/>
    <x v="4"/>
    <x v="2"/>
    <s v="Madrid Recycled Cntrbrd Mill US GAAP 287"/>
    <n v="10052.26"/>
    <s v=""/>
  </r>
  <r>
    <x v="0"/>
    <x v="7"/>
    <s v="5200500"/>
    <s v=""/>
    <m/>
    <s v="2900000386"/>
    <d v="2019-01-15T00:00:00"/>
    <n v="0"/>
    <n v="11827.17"/>
    <x v="4"/>
    <x v="2"/>
    <s v="Madrid Recycled Cntrbrd Mill US GAAP 287"/>
    <n v="11827.17"/>
    <s v=""/>
  </r>
  <r>
    <x v="0"/>
    <x v="7"/>
    <s v="5200500"/>
    <s v=""/>
    <m/>
    <s v="2900000463"/>
    <d v="2019-01-16T00:00:00"/>
    <n v="0"/>
    <n v="10033.42"/>
    <x v="4"/>
    <x v="2"/>
    <s v="Madrid Recycled Cntrbrd Mill US GAAP 287"/>
    <n v="10033.42"/>
    <s v=""/>
  </r>
  <r>
    <x v="0"/>
    <x v="7"/>
    <s v="5200500"/>
    <s v=""/>
    <m/>
    <s v="2900000503"/>
    <d v="2019-01-17T00:00:00"/>
    <n v="0"/>
    <n v="11238.64"/>
    <x v="4"/>
    <x v="2"/>
    <s v="Madrid Recycled Cntrbrd Mill US GAAP 287"/>
    <n v="11238.64"/>
    <s v=""/>
  </r>
  <r>
    <x v="0"/>
    <x v="7"/>
    <s v="5200500"/>
    <s v=""/>
    <m/>
    <s v="2900000533"/>
    <d v="2019-01-18T00:00:00"/>
    <n v="0"/>
    <n v="10997.86"/>
    <x v="4"/>
    <x v="2"/>
    <s v="Madrid Recycled Cntrbrd Mill US GAAP 287"/>
    <n v="10997.86"/>
    <s v=""/>
  </r>
  <r>
    <x v="0"/>
    <x v="7"/>
    <s v="5200500"/>
    <s v=""/>
    <m/>
    <s v="2900000563"/>
    <d v="2019-01-21T00:00:00"/>
    <n v="0"/>
    <n v="11318.83"/>
    <x v="4"/>
    <x v="2"/>
    <s v="Madrid Recycled Cntrbrd Mill US GAAP 287"/>
    <n v="11318.83"/>
    <s v=""/>
  </r>
  <r>
    <x v="0"/>
    <x v="7"/>
    <s v="5200500"/>
    <s v=""/>
    <m/>
    <s v="2900000385"/>
    <d v="2019-01-15T00:00:00"/>
    <n v="0"/>
    <n v="10674.51"/>
    <x v="4"/>
    <x v="2"/>
    <s v="Madrid Recycled Cntrbrd Mill US GAAP 287"/>
    <n v="10674.51"/>
    <s v=""/>
  </r>
  <r>
    <x v="0"/>
    <x v="7"/>
    <s v="5200500"/>
    <s v=""/>
    <m/>
    <s v="2900000287"/>
    <d v="2019-01-11T00:00:00"/>
    <n v="0"/>
    <n v="11226.6"/>
    <x v="4"/>
    <x v="2"/>
    <s v="Madrid Recycled Cntrbrd Mill US GAAP 287"/>
    <n v="11226.6"/>
    <s v=""/>
  </r>
  <r>
    <x v="0"/>
    <x v="7"/>
    <s v="5200500"/>
    <s v=""/>
    <m/>
    <s v="2900000286"/>
    <d v="2019-01-11T00:00:00"/>
    <n v="0"/>
    <n v="10606.19"/>
    <x v="4"/>
    <x v="2"/>
    <s v="Madrid Recycled Cntrbrd Mill US GAAP 287"/>
    <n v="10606.19"/>
    <s v=""/>
  </r>
  <r>
    <x v="0"/>
    <x v="7"/>
    <s v="5200500"/>
    <s v=""/>
    <m/>
    <s v="2900000722"/>
    <d v="2019-01-28T00:00:00"/>
    <n v="0"/>
    <n v="10120.540000000001"/>
    <x v="4"/>
    <x v="2"/>
    <s v="Madrid Recycled Cntrbrd Mill US GAAP 287"/>
    <n v="10120.540000000001"/>
    <s v=""/>
  </r>
  <r>
    <x v="0"/>
    <x v="7"/>
    <s v="5200500"/>
    <s v=""/>
    <m/>
    <s v="2900000763"/>
    <d v="2019-01-29T00:00:00"/>
    <n v="0"/>
    <n v="12583.42"/>
    <x v="4"/>
    <x v="2"/>
    <s v="Madrid Recycled Cntrbrd Mill US GAAP 287"/>
    <n v="12583.42"/>
    <s v=""/>
  </r>
  <r>
    <x v="0"/>
    <x v="7"/>
    <s v="5200500"/>
    <s v=""/>
    <m/>
    <s v="2900000285"/>
    <d v="2019-01-11T00:00:00"/>
    <n v="0"/>
    <n v="11094.75"/>
    <x v="4"/>
    <x v="2"/>
    <s v="Madrid Recycled Cntrbrd Mill US GAAP 287"/>
    <n v="11094.75"/>
    <s v=""/>
  </r>
  <r>
    <x v="0"/>
    <x v="7"/>
    <s v="5200500"/>
    <s v=""/>
    <m/>
    <s v="2900000284"/>
    <d v="2019-01-11T00:00:00"/>
    <n v="0"/>
    <n v="10562.43"/>
    <x v="4"/>
    <x v="2"/>
    <s v="Madrid Recycled Cntrbrd Mill US GAAP 287"/>
    <n v="10562.43"/>
    <s v=""/>
  </r>
  <r>
    <x v="0"/>
    <x v="7"/>
    <s v="5200500"/>
    <s v=""/>
    <m/>
    <s v="2900000764"/>
    <d v="2019-01-30T00:00:00"/>
    <n v="0"/>
    <n v="-8476.3799999999992"/>
    <x v="4"/>
    <x v="2"/>
    <s v="Madrid Recycled Cntrbrd Mill US GAAP 287"/>
    <n v="-8476.3799999999992"/>
    <s v=""/>
  </r>
  <r>
    <x v="0"/>
    <x v="7"/>
    <s v="5200500"/>
    <s v=""/>
    <m/>
    <s v="2900000252"/>
    <d v="2019-01-10T00:00:00"/>
    <n v="0"/>
    <n v="10763.33"/>
    <x v="4"/>
    <x v="2"/>
    <s v="Madrid Recycled Cntrbrd Mill US GAAP 287"/>
    <n v="10763.33"/>
    <s v=""/>
  </r>
  <r>
    <x v="1"/>
    <x v="7"/>
    <s v=""/>
    <s v=""/>
    <m/>
    <s v=""/>
    <m/>
    <n v="-413116.98"/>
    <n v="438472.35"/>
    <x v="4"/>
    <x v="0"/>
    <s v=""/>
    <n v="25355.37"/>
    <s v=""/>
  </r>
  <r>
    <x v="0"/>
    <x v="8"/>
    <s v="5300550"/>
    <s v="602197"/>
    <d v="2007-05-21T00:00:00"/>
    <s v=""/>
    <m/>
    <n v="133383.18"/>
    <n v="0"/>
    <x v="3"/>
    <x v="0"/>
    <s v="Etienne Mill                   FR02 0298"/>
    <n v="133383.18"/>
    <s v=""/>
  </r>
  <r>
    <x v="0"/>
    <x v="8"/>
    <s v="5300600"/>
    <s v="1410080265"/>
    <d v="2004-08-01T00:00:00"/>
    <s v=""/>
    <m/>
    <n v="20237.45"/>
    <n v="0"/>
    <x v="0"/>
    <x v="0"/>
    <s v="Etienne Mill                   FR02 0298"/>
    <n v="20237.45"/>
    <s v=""/>
  </r>
  <r>
    <x v="0"/>
    <x v="8"/>
    <s v="5300600"/>
    <s v="1410080266"/>
    <d v="2004-08-01T00:00:00"/>
    <s v=""/>
    <m/>
    <n v="11265.72"/>
    <n v="0"/>
    <x v="0"/>
    <x v="0"/>
    <s v="Etienne Mill                   FR02 0298"/>
    <n v="11265.72"/>
    <s v=""/>
  </r>
  <r>
    <x v="0"/>
    <x v="8"/>
    <s v="5300600"/>
    <s v="1410080263"/>
    <d v="2004-08-01T00:00:00"/>
    <s v=""/>
    <m/>
    <n v="8821.4699999999993"/>
    <n v="0"/>
    <x v="0"/>
    <x v="0"/>
    <s v="Etienne Mill                   FR02 0298"/>
    <n v="8821.4699999999993"/>
    <s v=""/>
  </r>
  <r>
    <x v="0"/>
    <x v="8"/>
    <s v="5300600"/>
    <s v="1410080264"/>
    <d v="2004-08-01T00:00:00"/>
    <s v=""/>
    <m/>
    <n v="2834.52"/>
    <n v="0"/>
    <x v="0"/>
    <x v="0"/>
    <s v="Etienne Mill                   FR02 0298"/>
    <n v="2834.52"/>
    <s v=""/>
  </r>
  <r>
    <x v="0"/>
    <x v="8"/>
    <s v="5300600"/>
    <s v="1410080267"/>
    <d v="2004-08-01T00:00:00"/>
    <s v=""/>
    <m/>
    <n v="10430.209999999999"/>
    <n v="0"/>
    <x v="0"/>
    <x v="0"/>
    <s v="Etienne Mill                   FR02 0298"/>
    <n v="10430.209999999999"/>
    <s v=""/>
  </r>
  <r>
    <x v="0"/>
    <x v="8"/>
    <s v="5300600"/>
    <s v="1410080268"/>
    <d v="2004-08-01T00:00:00"/>
    <s v=""/>
    <m/>
    <n v="30457.96"/>
    <n v="0"/>
    <x v="0"/>
    <x v="0"/>
    <s v="Etienne Mill                   FR02 0298"/>
    <n v="30457.96"/>
    <s v=""/>
  </r>
  <r>
    <x v="0"/>
    <x v="8"/>
    <s v="5300600"/>
    <s v="1410080269"/>
    <d v="2004-08-01T00:00:00"/>
    <s v=""/>
    <m/>
    <n v="53553.95"/>
    <n v="0"/>
    <x v="0"/>
    <x v="0"/>
    <s v="Etienne Mill                   FR02 0298"/>
    <n v="53553.95"/>
    <s v=""/>
  </r>
  <r>
    <x v="0"/>
    <x v="8"/>
    <s v="5300600"/>
    <s v="1410080270"/>
    <d v="2004-08-01T00:00:00"/>
    <s v=""/>
    <m/>
    <n v="20985.86"/>
    <n v="0"/>
    <x v="0"/>
    <x v="0"/>
    <s v="Etienne Mill                   FR02 0298"/>
    <n v="20985.86"/>
    <s v=""/>
  </r>
  <r>
    <x v="0"/>
    <x v="8"/>
    <s v="5300600"/>
    <s v="1410081047"/>
    <d v="2004-08-01T00:00:00"/>
    <s v=""/>
    <m/>
    <n v="20508.18"/>
    <n v="0"/>
    <x v="0"/>
    <x v="0"/>
    <s v="Etienne Mill                   FR02 0298"/>
    <n v="20508.18"/>
    <s v=""/>
  </r>
  <r>
    <x v="0"/>
    <x v="8"/>
    <s v="5300600"/>
    <s v="1410081046"/>
    <d v="2004-08-01T00:00:00"/>
    <s v=""/>
    <m/>
    <n v="87142.74"/>
    <n v="0"/>
    <x v="0"/>
    <x v="0"/>
    <s v="Etienne Mill                   FR02 0298"/>
    <n v="87142.74"/>
    <s v=""/>
  </r>
  <r>
    <x v="0"/>
    <x v="8"/>
    <s v="5300600"/>
    <s v="1410081045"/>
    <d v="2004-08-01T00:00:00"/>
    <s v=""/>
    <m/>
    <n v="65307.59"/>
    <n v="0"/>
    <x v="0"/>
    <x v="0"/>
    <s v="Etienne Mill                   FR02 0298"/>
    <n v="65307.59"/>
    <s v=""/>
  </r>
  <r>
    <x v="0"/>
    <x v="8"/>
    <s v="5300600"/>
    <s v="1410080893"/>
    <d v="2004-08-01T00:00:00"/>
    <s v=""/>
    <m/>
    <n v="41729.910000000003"/>
    <n v="0"/>
    <x v="0"/>
    <x v="0"/>
    <s v="Etienne Mill                   FR02 0298"/>
    <n v="41729.910000000003"/>
    <s v=""/>
  </r>
  <r>
    <x v="0"/>
    <x v="8"/>
    <s v="5300600"/>
    <s v="1410080892"/>
    <d v="2004-08-01T00:00:00"/>
    <s v=""/>
    <m/>
    <n v="10218.950000000001"/>
    <n v="0"/>
    <x v="0"/>
    <x v="0"/>
    <s v="Etienne Mill                   FR02 0298"/>
    <n v="10218.950000000001"/>
    <s v=""/>
  </r>
  <r>
    <x v="0"/>
    <x v="8"/>
    <s v="5300600"/>
    <s v="1410080891"/>
    <d v="2004-08-01T00:00:00"/>
    <s v=""/>
    <m/>
    <n v="32304.84"/>
    <n v="0"/>
    <x v="0"/>
    <x v="0"/>
    <s v="Etienne Mill                   FR02 0298"/>
    <n v="32304.84"/>
    <s v=""/>
  </r>
  <r>
    <x v="0"/>
    <x v="8"/>
    <s v="5300600"/>
    <s v="1410080765"/>
    <d v="2004-08-01T00:00:00"/>
    <s v=""/>
    <m/>
    <n v="10077.01"/>
    <n v="0"/>
    <x v="0"/>
    <x v="0"/>
    <s v="Etienne Mill                   FR02 0298"/>
    <n v="10077.01"/>
    <s v=""/>
  </r>
  <r>
    <x v="0"/>
    <x v="8"/>
    <s v="5300600"/>
    <s v="1410080764"/>
    <d v="2004-08-01T00:00:00"/>
    <s v=""/>
    <m/>
    <n v="10278.36"/>
    <n v="0"/>
    <x v="0"/>
    <x v="0"/>
    <s v="Etienne Mill                   FR02 0298"/>
    <n v="10278.36"/>
    <s v=""/>
  </r>
  <r>
    <x v="0"/>
    <x v="8"/>
    <s v="5300600"/>
    <s v="1410080763"/>
    <d v="2004-08-01T00:00:00"/>
    <s v=""/>
    <m/>
    <n v="10572.97"/>
    <n v="0"/>
    <x v="0"/>
    <x v="0"/>
    <s v="Etienne Mill                   FR02 0298"/>
    <n v="10572.97"/>
    <s v=""/>
  </r>
  <r>
    <x v="0"/>
    <x v="8"/>
    <s v="5300600"/>
    <s v="1410080762"/>
    <d v="2004-08-01T00:00:00"/>
    <s v=""/>
    <m/>
    <n v="42195.34"/>
    <n v="0"/>
    <x v="0"/>
    <x v="0"/>
    <s v="Etienne Mill                   FR02 0298"/>
    <n v="42195.34"/>
    <s v=""/>
  </r>
  <r>
    <x v="0"/>
    <x v="8"/>
    <s v="5300600"/>
    <s v="1410080761"/>
    <d v="2004-08-01T00:00:00"/>
    <s v=""/>
    <m/>
    <n v="10392.25"/>
    <n v="0"/>
    <x v="0"/>
    <x v="0"/>
    <s v="Etienne Mill                   FR02 0298"/>
    <n v="10392.25"/>
    <s v=""/>
  </r>
  <r>
    <x v="0"/>
    <x v="8"/>
    <s v="5300600"/>
    <s v="1410080757"/>
    <d v="2004-08-01T00:00:00"/>
    <s v=""/>
    <m/>
    <n v="10082.780000000001"/>
    <n v="0"/>
    <x v="0"/>
    <x v="0"/>
    <s v="Etienne Mill                   FR02 0298"/>
    <n v="10082.780000000001"/>
    <s v=""/>
  </r>
  <r>
    <x v="0"/>
    <x v="8"/>
    <s v="5300600"/>
    <s v="1410080756"/>
    <d v="2004-08-01T00:00:00"/>
    <s v=""/>
    <m/>
    <n v="10478.9"/>
    <n v="0"/>
    <x v="0"/>
    <x v="0"/>
    <s v="Etienne Mill                   FR02 0298"/>
    <n v="10478.9"/>
    <s v=""/>
  </r>
  <r>
    <x v="0"/>
    <x v="8"/>
    <s v="5300600"/>
    <s v="1410080750"/>
    <d v="2004-08-01T00:00:00"/>
    <s v=""/>
    <m/>
    <n v="10638.17"/>
    <n v="0"/>
    <x v="0"/>
    <x v="0"/>
    <s v="Etienne Mill                   FR02 0298"/>
    <n v="10638.17"/>
    <s v=""/>
  </r>
  <r>
    <x v="0"/>
    <x v="8"/>
    <s v="5300600"/>
    <s v="1410080749"/>
    <d v="2004-08-01T00:00:00"/>
    <s v=""/>
    <m/>
    <n v="21800.37"/>
    <n v="0"/>
    <x v="0"/>
    <x v="0"/>
    <s v="Etienne Mill                   FR02 0298"/>
    <n v="21800.37"/>
    <s v=""/>
  </r>
  <r>
    <x v="0"/>
    <x v="8"/>
    <s v="5300600"/>
    <s v="1410080748"/>
    <d v="2004-08-01T00:00:00"/>
    <s v=""/>
    <m/>
    <n v="2876.67"/>
    <n v="0"/>
    <x v="0"/>
    <x v="0"/>
    <s v="Etienne Mill                   FR02 0298"/>
    <n v="2876.67"/>
    <s v=""/>
  </r>
  <r>
    <x v="0"/>
    <x v="8"/>
    <s v="5300600"/>
    <s v="1410080747"/>
    <d v="2004-08-01T00:00:00"/>
    <s v=""/>
    <m/>
    <n v="18161.87"/>
    <n v="0"/>
    <x v="0"/>
    <x v="0"/>
    <s v="Etienne Mill                   FR02 0298"/>
    <n v="18161.87"/>
    <s v=""/>
  </r>
  <r>
    <x v="0"/>
    <x v="8"/>
    <s v="5300600"/>
    <s v="1410080746"/>
    <d v="2004-08-01T00:00:00"/>
    <s v=""/>
    <m/>
    <n v="10742.97"/>
    <n v="0"/>
    <x v="0"/>
    <x v="0"/>
    <s v="Etienne Mill                   FR02 0298"/>
    <n v="10742.97"/>
    <s v=""/>
  </r>
  <r>
    <x v="0"/>
    <x v="8"/>
    <s v="5300600"/>
    <s v="1410080745"/>
    <d v="2004-08-01T00:00:00"/>
    <s v=""/>
    <m/>
    <n v="26330.11"/>
    <n v="0"/>
    <x v="0"/>
    <x v="0"/>
    <s v="Etienne Mill                   FR02 0298"/>
    <n v="26330.11"/>
    <s v=""/>
  </r>
  <r>
    <x v="0"/>
    <x v="8"/>
    <s v="5300600"/>
    <s v="1410080744"/>
    <d v="2004-08-01T00:00:00"/>
    <s v=""/>
    <m/>
    <n v="16532.86"/>
    <n v="0"/>
    <x v="0"/>
    <x v="0"/>
    <s v="Etienne Mill                   FR02 0298"/>
    <n v="16532.86"/>
    <s v=""/>
  </r>
  <r>
    <x v="0"/>
    <x v="8"/>
    <s v="5300600"/>
    <s v="1410080687"/>
    <d v="2004-08-01T00:00:00"/>
    <s v=""/>
    <m/>
    <n v="75.78"/>
    <n v="0"/>
    <x v="0"/>
    <x v="0"/>
    <s v="Etienne Mill                   FR02 0298"/>
    <n v="75.78"/>
    <s v=""/>
  </r>
  <r>
    <x v="0"/>
    <x v="8"/>
    <s v="5300600"/>
    <s v="1410080246"/>
    <d v="2004-08-01T00:00:00"/>
    <s v=""/>
    <m/>
    <n v="20221.68"/>
    <n v="0"/>
    <x v="0"/>
    <x v="0"/>
    <s v="Etienne Mill                   FR02 0298"/>
    <n v="20221.68"/>
    <s v=""/>
  </r>
  <r>
    <x v="0"/>
    <x v="8"/>
    <s v="5300600"/>
    <s v="1410080247"/>
    <d v="2004-08-01T00:00:00"/>
    <s v=""/>
    <m/>
    <n v="5057.99"/>
    <n v="0"/>
    <x v="0"/>
    <x v="0"/>
    <s v="Etienne Mill                   FR02 0298"/>
    <n v="5057.99"/>
    <s v=""/>
  </r>
  <r>
    <x v="0"/>
    <x v="8"/>
    <s v="5300600"/>
    <s v="1410080248"/>
    <d v="2004-08-01T00:00:00"/>
    <s v=""/>
    <m/>
    <n v="20490.71"/>
    <n v="0"/>
    <x v="0"/>
    <x v="0"/>
    <s v="Etienne Mill                   FR02 0298"/>
    <n v="20490.71"/>
    <s v=""/>
  </r>
  <r>
    <x v="0"/>
    <x v="8"/>
    <s v="5300600"/>
    <s v="1410080249"/>
    <d v="2004-08-01T00:00:00"/>
    <s v=""/>
    <m/>
    <n v="20682.990000000002"/>
    <n v="0"/>
    <x v="0"/>
    <x v="0"/>
    <s v="Etienne Mill                   FR02 0298"/>
    <n v="20682.990000000002"/>
    <s v=""/>
  </r>
  <r>
    <x v="0"/>
    <x v="8"/>
    <s v="5300600"/>
    <s v="1410080250"/>
    <d v="2004-08-01T00:00:00"/>
    <s v=""/>
    <m/>
    <n v="30590.82"/>
    <n v="0"/>
    <x v="0"/>
    <x v="0"/>
    <s v="Etienne Mill                   FR02 0298"/>
    <n v="30590.82"/>
    <s v=""/>
  </r>
  <r>
    <x v="0"/>
    <x v="8"/>
    <s v="5300600"/>
    <s v="1410080251"/>
    <d v="2004-08-01T00:00:00"/>
    <s v=""/>
    <m/>
    <n v="18675.439999999999"/>
    <n v="0"/>
    <x v="0"/>
    <x v="0"/>
    <s v="Etienne Mill                   FR02 0298"/>
    <n v="18675.439999999999"/>
    <s v=""/>
  </r>
  <r>
    <x v="0"/>
    <x v="8"/>
    <s v="5300600"/>
    <s v="1410080252"/>
    <d v="2004-08-01T00:00:00"/>
    <s v=""/>
    <m/>
    <n v="61547.23"/>
    <n v="0"/>
    <x v="0"/>
    <x v="0"/>
    <s v="Etienne Mill                   FR02 0298"/>
    <n v="61547.23"/>
    <s v=""/>
  </r>
  <r>
    <x v="0"/>
    <x v="8"/>
    <s v="5300600"/>
    <s v="1410080255"/>
    <d v="2004-08-01T00:00:00"/>
    <s v=""/>
    <m/>
    <n v="32384.07"/>
    <n v="0"/>
    <x v="0"/>
    <x v="0"/>
    <s v="Etienne Mill                   FR02 0298"/>
    <n v="32384.07"/>
    <s v=""/>
  </r>
  <r>
    <x v="0"/>
    <x v="8"/>
    <s v="5300600"/>
    <s v="1410080259"/>
    <d v="2004-08-01T00:00:00"/>
    <s v=""/>
    <m/>
    <n v="10955.06"/>
    <n v="0"/>
    <x v="0"/>
    <x v="0"/>
    <s v="Etienne Mill                   FR02 0298"/>
    <n v="10955.06"/>
    <s v=""/>
  </r>
  <r>
    <x v="0"/>
    <x v="8"/>
    <s v="5300600"/>
    <s v="1410080260"/>
    <d v="2004-08-01T00:00:00"/>
    <s v=""/>
    <m/>
    <n v="2800.63"/>
    <n v="0"/>
    <x v="0"/>
    <x v="0"/>
    <s v="Etienne Mill                   FR02 0298"/>
    <n v="2800.63"/>
    <s v=""/>
  </r>
  <r>
    <x v="0"/>
    <x v="8"/>
    <s v="5300600"/>
    <s v="1410080261"/>
    <d v="2004-08-01T00:00:00"/>
    <s v=""/>
    <m/>
    <n v="10279.19"/>
    <n v="0"/>
    <x v="0"/>
    <x v="0"/>
    <s v="Etienne Mill                   FR02 0298"/>
    <n v="10279.19"/>
    <s v=""/>
  </r>
  <r>
    <x v="0"/>
    <x v="8"/>
    <s v="5300600"/>
    <s v="1410080262"/>
    <d v="2004-08-01T00:00:00"/>
    <s v=""/>
    <m/>
    <n v="11048.31"/>
    <n v="0"/>
    <x v="0"/>
    <x v="0"/>
    <s v="Etienne Mill                   FR02 0298"/>
    <n v="11048.31"/>
    <s v=""/>
  </r>
  <r>
    <x v="0"/>
    <x v="8"/>
    <s v="5300600"/>
    <s v="1410080271"/>
    <d v="2004-08-01T00:00:00"/>
    <s v=""/>
    <m/>
    <n v="9535.65"/>
    <n v="0"/>
    <x v="0"/>
    <x v="0"/>
    <s v="Etienne Mill                   FR02 0298"/>
    <n v="9535.65"/>
    <s v=""/>
  </r>
  <r>
    <x v="0"/>
    <x v="8"/>
    <s v="5300600"/>
    <s v="1410080685"/>
    <d v="2004-08-01T00:00:00"/>
    <s v=""/>
    <m/>
    <n v="-28.63"/>
    <n v="0"/>
    <x v="0"/>
    <x v="0"/>
    <s v="Etienne Mill                   FR02 0298"/>
    <n v="-28.63"/>
    <s v=""/>
  </r>
  <r>
    <x v="0"/>
    <x v="8"/>
    <s v="5300600"/>
    <s v="1410080668"/>
    <d v="2004-08-01T00:00:00"/>
    <s v=""/>
    <m/>
    <n v="21876.29"/>
    <n v="0"/>
    <x v="0"/>
    <x v="0"/>
    <s v="Etienne Mill                   FR02 0298"/>
    <n v="21876.29"/>
    <s v=""/>
  </r>
  <r>
    <x v="0"/>
    <x v="8"/>
    <s v="5300600"/>
    <s v="1410080651"/>
    <d v="2004-08-01T00:00:00"/>
    <s v=""/>
    <m/>
    <n v="76073.11"/>
    <n v="0"/>
    <x v="0"/>
    <x v="0"/>
    <s v="Etienne Mill                   FR02 0298"/>
    <n v="76073.11"/>
    <s v=""/>
  </r>
  <r>
    <x v="0"/>
    <x v="8"/>
    <s v="5300600"/>
    <s v="1410080650"/>
    <d v="2004-08-01T00:00:00"/>
    <s v=""/>
    <m/>
    <n v="18036.45"/>
    <n v="0"/>
    <x v="0"/>
    <x v="0"/>
    <s v="Etienne Mill                   FR02 0298"/>
    <n v="18036.45"/>
    <s v=""/>
  </r>
  <r>
    <x v="0"/>
    <x v="8"/>
    <s v="5300600"/>
    <s v="1410080649"/>
    <d v="2004-08-01T00:00:00"/>
    <s v=""/>
    <m/>
    <n v="9884.7199999999993"/>
    <n v="0"/>
    <x v="0"/>
    <x v="0"/>
    <s v="Etienne Mill                   FR02 0298"/>
    <n v="9884.7199999999993"/>
    <s v=""/>
  </r>
  <r>
    <x v="0"/>
    <x v="8"/>
    <s v="5300600"/>
    <s v="1410080646"/>
    <d v="2004-08-01T00:00:00"/>
    <s v=""/>
    <m/>
    <n v="290.17"/>
    <n v="0"/>
    <x v="0"/>
    <x v="0"/>
    <s v="Etienne Mill                   FR02 0298"/>
    <n v="290.17"/>
    <s v=""/>
  </r>
  <r>
    <x v="0"/>
    <x v="8"/>
    <s v="5300600"/>
    <s v="1410080615"/>
    <d v="2004-08-01T00:00:00"/>
    <s v=""/>
    <m/>
    <n v="43600.74"/>
    <n v="0"/>
    <x v="0"/>
    <x v="0"/>
    <s v="Etienne Mill                   FR02 0298"/>
    <n v="43600.74"/>
    <s v=""/>
  </r>
  <r>
    <x v="0"/>
    <x v="8"/>
    <s v="5300600"/>
    <s v="1410080614"/>
    <d v="2004-08-01T00:00:00"/>
    <s v=""/>
    <m/>
    <n v="21074.15"/>
    <n v="0"/>
    <x v="0"/>
    <x v="0"/>
    <s v="Etienne Mill                   FR02 0298"/>
    <n v="21074.15"/>
    <s v=""/>
  </r>
  <r>
    <x v="0"/>
    <x v="8"/>
    <s v="5300600"/>
    <s v="1410080612"/>
    <d v="2004-08-01T00:00:00"/>
    <s v=""/>
    <m/>
    <n v="43585.05"/>
    <n v="0"/>
    <x v="0"/>
    <x v="0"/>
    <s v="Etienne Mill                   FR02 0298"/>
    <n v="43585.05"/>
    <s v=""/>
  </r>
  <r>
    <x v="0"/>
    <x v="8"/>
    <s v="5300600"/>
    <s v="1410080596"/>
    <d v="2004-08-01T00:00:00"/>
    <s v=""/>
    <m/>
    <n v="21992.65"/>
    <n v="0"/>
    <x v="0"/>
    <x v="0"/>
    <s v="Etienne Mill                   FR02 0298"/>
    <n v="21992.65"/>
    <s v=""/>
  </r>
  <r>
    <x v="0"/>
    <x v="8"/>
    <s v="5300600"/>
    <s v="1410080543"/>
    <d v="2004-08-01T00:00:00"/>
    <s v=""/>
    <m/>
    <n v="-14.75"/>
    <n v="0"/>
    <x v="0"/>
    <x v="0"/>
    <s v="Etienne Mill                   FR02 0298"/>
    <n v="-14.75"/>
    <s v=""/>
  </r>
  <r>
    <x v="0"/>
    <x v="8"/>
    <s v="5300600"/>
    <s v="1410080542"/>
    <d v="2004-08-01T00:00:00"/>
    <s v=""/>
    <m/>
    <n v="-9124.65"/>
    <n v="0"/>
    <x v="0"/>
    <x v="0"/>
    <s v="Etienne Mill                   FR02 0298"/>
    <n v="-9124.65"/>
    <s v=""/>
  </r>
  <r>
    <x v="0"/>
    <x v="8"/>
    <s v="5300600"/>
    <s v="1410080488"/>
    <d v="2004-08-01T00:00:00"/>
    <s v=""/>
    <m/>
    <n v="31561.31"/>
    <n v="0"/>
    <x v="0"/>
    <x v="0"/>
    <s v="Etienne Mill                   FR02 0298"/>
    <n v="31561.31"/>
    <s v=""/>
  </r>
  <r>
    <x v="0"/>
    <x v="8"/>
    <s v="5300600"/>
    <s v="1410080487"/>
    <d v="2004-08-01T00:00:00"/>
    <s v=""/>
    <m/>
    <n v="43136.95"/>
    <n v="0"/>
    <x v="0"/>
    <x v="0"/>
    <s v="Etienne Mill                   FR02 0298"/>
    <n v="43136.95"/>
    <s v=""/>
  </r>
  <r>
    <x v="0"/>
    <x v="8"/>
    <s v="5300600"/>
    <s v="1410080437"/>
    <d v="2004-08-01T00:00:00"/>
    <s v=""/>
    <m/>
    <n v="11014.48"/>
    <n v="0"/>
    <x v="0"/>
    <x v="0"/>
    <s v="Etienne Mill                   FR02 0298"/>
    <n v="11014.48"/>
    <s v=""/>
  </r>
  <r>
    <x v="0"/>
    <x v="8"/>
    <s v="5300600"/>
    <s v="1410080436"/>
    <d v="2004-08-01T00:00:00"/>
    <s v=""/>
    <m/>
    <n v="10871.71"/>
    <n v="0"/>
    <x v="0"/>
    <x v="0"/>
    <s v="Etienne Mill                   FR02 0298"/>
    <n v="10871.71"/>
    <s v=""/>
  </r>
  <r>
    <x v="0"/>
    <x v="8"/>
    <s v="5300600"/>
    <s v="1410080435"/>
    <d v="2004-08-01T00:00:00"/>
    <s v=""/>
    <m/>
    <n v="10047.299999999999"/>
    <n v="0"/>
    <x v="0"/>
    <x v="0"/>
    <s v="Etienne Mill                   FR02 0298"/>
    <n v="10047.299999999999"/>
    <s v=""/>
  </r>
  <r>
    <x v="0"/>
    <x v="8"/>
    <s v="5300600"/>
    <s v="1410080434"/>
    <d v="2004-08-01T00:00:00"/>
    <s v=""/>
    <m/>
    <n v="10634.04"/>
    <n v="0"/>
    <x v="0"/>
    <x v="0"/>
    <s v="Etienne Mill                   FR02 0298"/>
    <n v="10634.04"/>
    <s v=""/>
  </r>
  <r>
    <x v="0"/>
    <x v="8"/>
    <s v="5300600"/>
    <s v="1410080411"/>
    <d v="2004-08-01T00:00:00"/>
    <s v=""/>
    <m/>
    <n v="12565.73"/>
    <n v="0"/>
    <x v="0"/>
    <x v="0"/>
    <s v="Etienne Mill                   FR02 0298"/>
    <n v="12565.73"/>
    <s v=""/>
  </r>
  <r>
    <x v="0"/>
    <x v="8"/>
    <s v="5300600"/>
    <s v="1410080410"/>
    <d v="2004-08-01T00:00:00"/>
    <s v=""/>
    <m/>
    <n v="30267.33"/>
    <n v="0"/>
    <x v="0"/>
    <x v="0"/>
    <s v="Etienne Mill                   FR02 0298"/>
    <n v="30267.33"/>
    <s v=""/>
  </r>
  <r>
    <x v="0"/>
    <x v="8"/>
    <s v="5300600"/>
    <s v="1410080409"/>
    <d v="2004-08-01T00:00:00"/>
    <s v=""/>
    <m/>
    <n v="31476.31"/>
    <n v="0"/>
    <x v="0"/>
    <x v="0"/>
    <s v="Etienne Mill                   FR02 0298"/>
    <n v="31476.31"/>
    <s v=""/>
  </r>
  <r>
    <x v="0"/>
    <x v="8"/>
    <s v="5300600"/>
    <s v="1410080408"/>
    <d v="2004-08-01T00:00:00"/>
    <s v=""/>
    <m/>
    <n v="59367.77"/>
    <n v="0"/>
    <x v="0"/>
    <x v="0"/>
    <s v="Etienne Mill                   FR02 0298"/>
    <n v="59367.77"/>
    <s v=""/>
  </r>
  <r>
    <x v="0"/>
    <x v="8"/>
    <s v="5300600"/>
    <s v="1410080407"/>
    <d v="2004-08-01T00:00:00"/>
    <s v=""/>
    <m/>
    <n v="42439.62"/>
    <n v="0"/>
    <x v="0"/>
    <x v="0"/>
    <s v="Etienne Mill                   FR02 0298"/>
    <n v="42439.62"/>
    <s v=""/>
  </r>
  <r>
    <x v="0"/>
    <x v="8"/>
    <s v="5300600"/>
    <s v="1410080406"/>
    <d v="2004-08-01T00:00:00"/>
    <s v=""/>
    <m/>
    <n v="23207.55"/>
    <n v="0"/>
    <x v="0"/>
    <x v="0"/>
    <s v="Etienne Mill                   FR02 0298"/>
    <n v="23207.55"/>
    <s v=""/>
  </r>
  <r>
    <x v="0"/>
    <x v="8"/>
    <s v="5300600"/>
    <s v="1410080405"/>
    <d v="2004-08-01T00:00:00"/>
    <s v=""/>
    <m/>
    <n v="2763.07"/>
    <n v="0"/>
    <x v="0"/>
    <x v="0"/>
    <s v="Etienne Mill                   FR02 0298"/>
    <n v="2763.07"/>
    <s v=""/>
  </r>
  <r>
    <x v="0"/>
    <x v="8"/>
    <s v="5300600"/>
    <s v="1410080341"/>
    <d v="2004-08-01T00:00:00"/>
    <s v=""/>
    <m/>
    <n v="10530.98"/>
    <n v="0"/>
    <x v="0"/>
    <x v="0"/>
    <s v="Etienne Mill                   FR02 0298"/>
    <n v="10530.98"/>
    <s v=""/>
  </r>
  <r>
    <x v="0"/>
    <x v="8"/>
    <s v="5300600"/>
    <s v="1410080340"/>
    <d v="2004-08-01T00:00:00"/>
    <s v=""/>
    <m/>
    <n v="10312.200000000001"/>
    <n v="0"/>
    <x v="0"/>
    <x v="0"/>
    <s v="Etienne Mill                   FR02 0298"/>
    <n v="10312.200000000001"/>
    <s v=""/>
  </r>
  <r>
    <x v="0"/>
    <x v="8"/>
    <s v="5300600"/>
    <s v="1410080339"/>
    <d v="2004-08-01T00:00:00"/>
    <s v=""/>
    <m/>
    <n v="55790.86"/>
    <n v="0"/>
    <x v="0"/>
    <x v="0"/>
    <s v="Etienne Mill                   FR02 0298"/>
    <n v="55790.86"/>
    <s v=""/>
  </r>
  <r>
    <x v="0"/>
    <x v="8"/>
    <s v="5300600"/>
    <s v="1410080338"/>
    <d v="2004-08-01T00:00:00"/>
    <s v=""/>
    <m/>
    <n v="72600.5"/>
    <n v="0"/>
    <x v="0"/>
    <x v="0"/>
    <s v="Etienne Mill                   FR02 0298"/>
    <n v="72600.5"/>
    <s v=""/>
  </r>
  <r>
    <x v="0"/>
    <x v="8"/>
    <s v="5300600"/>
    <s v="1410080327"/>
    <d v="2004-08-01T00:00:00"/>
    <s v=""/>
    <m/>
    <n v="31016.240000000002"/>
    <n v="0"/>
    <x v="0"/>
    <x v="0"/>
    <s v="Etienne Mill                   FR02 0298"/>
    <n v="31016.240000000002"/>
    <s v=""/>
  </r>
  <r>
    <x v="0"/>
    <x v="8"/>
    <s v="5300600"/>
    <s v="1410080326"/>
    <d v="2004-08-01T00:00:00"/>
    <s v=""/>
    <m/>
    <n v="10595.26"/>
    <n v="0"/>
    <x v="0"/>
    <x v="0"/>
    <s v="Etienne Mill                   FR02 0298"/>
    <n v="10595.26"/>
    <s v=""/>
  </r>
  <r>
    <x v="0"/>
    <x v="8"/>
    <s v="5300600"/>
    <s v="1410080325"/>
    <d v="2004-08-01T00:00:00"/>
    <s v=""/>
    <m/>
    <n v="12053.6"/>
    <n v="0"/>
    <x v="0"/>
    <x v="0"/>
    <s v="Etienne Mill                   FR02 0298"/>
    <n v="12053.6"/>
    <s v=""/>
  </r>
  <r>
    <x v="0"/>
    <x v="8"/>
    <s v="5300600"/>
    <s v="1410080324"/>
    <d v="2004-08-01T00:00:00"/>
    <s v=""/>
    <m/>
    <n v="10769.38"/>
    <n v="0"/>
    <x v="0"/>
    <x v="0"/>
    <s v="Etienne Mill                   FR02 0298"/>
    <n v="10769.38"/>
    <s v=""/>
  </r>
  <r>
    <x v="0"/>
    <x v="8"/>
    <s v="5300600"/>
    <s v="1410080323"/>
    <d v="2004-08-01T00:00:00"/>
    <s v=""/>
    <m/>
    <n v="10435.16"/>
    <n v="0"/>
    <x v="0"/>
    <x v="0"/>
    <s v="Etienne Mill                   FR02 0298"/>
    <n v="10435.16"/>
    <s v=""/>
  </r>
  <r>
    <x v="0"/>
    <x v="8"/>
    <s v="5300600"/>
    <s v="1410080322"/>
    <d v="2004-08-01T00:00:00"/>
    <s v=""/>
    <m/>
    <n v="22975.78"/>
    <n v="0"/>
    <x v="0"/>
    <x v="0"/>
    <s v="Etienne Mill                   FR02 0298"/>
    <n v="22975.78"/>
    <s v=""/>
  </r>
  <r>
    <x v="0"/>
    <x v="8"/>
    <s v="5300600"/>
    <s v="1410080321"/>
    <d v="2004-08-01T00:00:00"/>
    <s v=""/>
    <m/>
    <n v="10924.53"/>
    <n v="0"/>
    <x v="0"/>
    <x v="0"/>
    <s v="Etienne Mill                   FR02 0298"/>
    <n v="10924.53"/>
    <s v=""/>
  </r>
  <r>
    <x v="0"/>
    <x v="8"/>
    <s v="5300600"/>
    <s v="1410080320"/>
    <d v="2004-08-01T00:00:00"/>
    <s v=""/>
    <m/>
    <n v="40345.99"/>
    <n v="0"/>
    <x v="0"/>
    <x v="0"/>
    <s v="Etienne Mill                   FR02 0298"/>
    <n v="40345.99"/>
    <s v=""/>
  </r>
  <r>
    <x v="0"/>
    <x v="8"/>
    <s v="5300600"/>
    <s v="1410080303"/>
    <d v="2004-08-01T00:00:00"/>
    <s v=""/>
    <m/>
    <n v="10829.62"/>
    <n v="0"/>
    <x v="0"/>
    <x v="0"/>
    <s v="Etienne Mill                   FR02 0298"/>
    <n v="10829.62"/>
    <s v=""/>
  </r>
  <r>
    <x v="0"/>
    <x v="8"/>
    <s v="5300600"/>
    <s v="1410080686"/>
    <d v="2004-08-01T00:00:00"/>
    <s v=""/>
    <m/>
    <n v="-85.9"/>
    <n v="0"/>
    <x v="0"/>
    <x v="0"/>
    <s v="Etienne Mill                   FR02 0298"/>
    <n v="-85.9"/>
    <s v=""/>
  </r>
  <r>
    <x v="0"/>
    <x v="8"/>
    <s v="5300600"/>
    <s v="1410080299"/>
    <d v="2004-08-01T00:00:00"/>
    <s v=""/>
    <m/>
    <n v="20404.18"/>
    <n v="0"/>
    <x v="0"/>
    <x v="0"/>
    <s v="Etienne Mill                   FR02 0298"/>
    <n v="20404.18"/>
    <s v=""/>
  </r>
  <r>
    <x v="0"/>
    <x v="8"/>
    <s v="5300600"/>
    <s v="1410080298"/>
    <d v="2004-08-01T00:00:00"/>
    <s v=""/>
    <m/>
    <n v="21232.6"/>
    <n v="0"/>
    <x v="0"/>
    <x v="0"/>
    <s v="Etienne Mill                   FR02 0298"/>
    <n v="21232.6"/>
    <s v=""/>
  </r>
  <r>
    <x v="0"/>
    <x v="8"/>
    <s v="5300600"/>
    <s v="1410080297"/>
    <d v="2004-08-01T00:00:00"/>
    <s v=""/>
    <m/>
    <n v="66477.63"/>
    <n v="0"/>
    <x v="0"/>
    <x v="0"/>
    <s v="Etienne Mill                   FR02 0298"/>
    <n v="66477.63"/>
    <s v=""/>
  </r>
  <r>
    <x v="0"/>
    <x v="8"/>
    <s v="5300600"/>
    <s v="1410080272"/>
    <d v="2004-08-01T00:00:00"/>
    <s v=""/>
    <m/>
    <n v="11524.99"/>
    <n v="0"/>
    <x v="0"/>
    <x v="0"/>
    <s v="Etienne Mill                   FR02 0298"/>
    <n v="11524.99"/>
    <s v=""/>
  </r>
  <r>
    <x v="0"/>
    <x v="8"/>
    <s v="5300600"/>
    <s v="1410081050"/>
    <d v="2004-08-01T00:00:00"/>
    <s v=""/>
    <m/>
    <n v="9849.02"/>
    <n v="0"/>
    <x v="0"/>
    <x v="0"/>
    <s v="Etienne Mill                   FR02 0298"/>
    <n v="9849.02"/>
    <s v=""/>
  </r>
  <r>
    <x v="0"/>
    <x v="8"/>
    <s v="5300600"/>
    <s v="655558"/>
    <d v="2004-08-24T00:00:00"/>
    <s v=""/>
    <m/>
    <n v="-1967684.36"/>
    <n v="0"/>
    <x v="0"/>
    <x v="0"/>
    <s v="Etienne Mill                   FR02 0298"/>
    <n v="-1967684.36"/>
    <s v=""/>
  </r>
  <r>
    <x v="0"/>
    <x v="8"/>
    <s v="5300600"/>
    <s v="1410081062"/>
    <d v="2004-08-01T00:00:00"/>
    <s v=""/>
    <m/>
    <n v="9630.26"/>
    <n v="0"/>
    <x v="0"/>
    <x v="0"/>
    <s v="Etienne Mill                   FR02 0298"/>
    <n v="9630.26"/>
    <s v=""/>
  </r>
  <r>
    <x v="0"/>
    <x v="8"/>
    <s v="5300600"/>
    <s v="1410081070"/>
    <d v="2004-08-01T00:00:00"/>
    <s v=""/>
    <m/>
    <n v="20991.38"/>
    <n v="0"/>
    <x v="0"/>
    <x v="0"/>
    <s v="Etienne Mill                   FR02 0298"/>
    <n v="20991.38"/>
    <s v=""/>
  </r>
  <r>
    <x v="0"/>
    <x v="8"/>
    <s v="5300600"/>
    <s v="1410081072"/>
    <d v="2004-08-01T00:00:00"/>
    <s v=""/>
    <m/>
    <n v="50576.1"/>
    <n v="0"/>
    <x v="0"/>
    <x v="0"/>
    <s v="Etienne Mill                   FR02 0298"/>
    <n v="50576.1"/>
    <s v=""/>
  </r>
  <r>
    <x v="0"/>
    <x v="8"/>
    <s v="5200500"/>
    <s v=""/>
    <m/>
    <s v="600006"/>
    <d v="2018-07-31T00:00:00"/>
    <n v="0"/>
    <n v="25300426.859999999"/>
    <x v="4"/>
    <x v="6"/>
    <s v="Etienne Mill                   FR02 0298"/>
    <n v="25300426.859999999"/>
    <s v=""/>
  </r>
  <r>
    <x v="0"/>
    <x v="8"/>
    <s v="5200500"/>
    <s v=""/>
    <m/>
    <s v="600006"/>
    <d v="2018-07-31T00:00:00"/>
    <n v="0"/>
    <n v="-25300426.859999999"/>
    <x v="4"/>
    <x v="6"/>
    <s v="Etienne Mill                   FR02 0298"/>
    <n v="-25300426.859999999"/>
    <s v=""/>
  </r>
  <r>
    <x v="0"/>
    <x v="8"/>
    <s v="5200600"/>
    <s v=""/>
    <m/>
    <s v="2400010784"/>
    <d v="2004-06-21T00:00:00"/>
    <n v="0"/>
    <n v="-10077.01"/>
    <x v="4"/>
    <x v="1"/>
    <s v="Etienne Mill                   FR02 0298"/>
    <n v="-10077.01"/>
    <s v=""/>
  </r>
  <r>
    <x v="0"/>
    <x v="8"/>
    <s v="5200600"/>
    <s v=""/>
    <m/>
    <s v="2400010783"/>
    <d v="2004-06-21T00:00:00"/>
    <n v="0"/>
    <n v="-10278.36"/>
    <x v="4"/>
    <x v="1"/>
    <s v="Etienne Mill                   FR02 0298"/>
    <n v="-10278.36"/>
    <s v=""/>
  </r>
  <r>
    <x v="0"/>
    <x v="8"/>
    <s v="5200600"/>
    <s v=""/>
    <m/>
    <s v="2400010782"/>
    <d v="2004-06-21T00:00:00"/>
    <n v="0"/>
    <n v="-10572.97"/>
    <x v="4"/>
    <x v="1"/>
    <s v="Etienne Mill                   FR02 0298"/>
    <n v="-10572.97"/>
    <s v=""/>
  </r>
  <r>
    <x v="0"/>
    <x v="8"/>
    <s v="5200600"/>
    <s v=""/>
    <m/>
    <s v="2400010781"/>
    <d v="2004-06-21T00:00:00"/>
    <n v="0"/>
    <n v="-42195.34"/>
    <x v="4"/>
    <x v="1"/>
    <s v="Etienne Mill                   FR02 0298"/>
    <n v="-42195.34"/>
    <s v=""/>
  </r>
  <r>
    <x v="0"/>
    <x v="8"/>
    <s v="5200600"/>
    <s v=""/>
    <m/>
    <s v="604447"/>
    <d v="2004-08-24T00:00:00"/>
    <n v="0"/>
    <n v="1989155.79"/>
    <x v="4"/>
    <x v="1"/>
    <s v="Etienne Mill                   FR02 0298"/>
    <n v="1989155.79"/>
    <s v=""/>
  </r>
  <r>
    <x v="0"/>
    <x v="8"/>
    <s v="5200600"/>
    <s v=""/>
    <m/>
    <s v="2400010814"/>
    <d v="2004-06-25T00:00:00"/>
    <n v="0"/>
    <n v="-75.78"/>
    <x v="4"/>
    <x v="1"/>
    <s v="Etienne Mill                   FR02 0298"/>
    <n v="-75.78"/>
    <s v=""/>
  </r>
  <r>
    <x v="0"/>
    <x v="8"/>
    <s v="5200600"/>
    <s v=""/>
    <m/>
    <s v="2400010815"/>
    <d v="2004-06-25T00:00:00"/>
    <n v="0"/>
    <n v="85.9"/>
    <x v="4"/>
    <x v="1"/>
    <s v="Etienne Mill                   FR02 0298"/>
    <n v="85.9"/>
    <s v=""/>
  </r>
  <r>
    <x v="0"/>
    <x v="8"/>
    <s v="5200600"/>
    <s v=""/>
    <m/>
    <s v="2400010816"/>
    <d v="2004-06-25T00:00:00"/>
    <n v="0"/>
    <n v="28.63"/>
    <x v="4"/>
    <x v="1"/>
    <s v="Etienne Mill                   FR02 0298"/>
    <n v="28.63"/>
    <s v=""/>
  </r>
  <r>
    <x v="0"/>
    <x v="8"/>
    <s v="5200600"/>
    <s v=""/>
    <m/>
    <s v="2400010838"/>
    <d v="2004-06-25T00:00:00"/>
    <n v="0"/>
    <n v="-16532.86"/>
    <x v="4"/>
    <x v="1"/>
    <s v="Etienne Mill                   FR02 0298"/>
    <n v="-16532.86"/>
    <s v=""/>
  </r>
  <r>
    <x v="0"/>
    <x v="8"/>
    <s v="5200600"/>
    <s v=""/>
    <m/>
    <s v="2400010839"/>
    <d v="2004-06-25T00:00:00"/>
    <n v="0"/>
    <n v="-26330.11"/>
    <x v="4"/>
    <x v="1"/>
    <s v="Etienne Mill                   FR02 0298"/>
    <n v="-26330.11"/>
    <s v=""/>
  </r>
  <r>
    <x v="0"/>
    <x v="8"/>
    <s v="5200600"/>
    <s v=""/>
    <m/>
    <s v="2400010840"/>
    <d v="2004-06-25T00:00:00"/>
    <n v="0"/>
    <n v="-10742.97"/>
    <x v="4"/>
    <x v="1"/>
    <s v="Etienne Mill                   FR02 0298"/>
    <n v="-10742.97"/>
    <s v=""/>
  </r>
  <r>
    <x v="0"/>
    <x v="8"/>
    <s v="5200600"/>
    <s v=""/>
    <m/>
    <s v="2400010841"/>
    <d v="2004-06-25T00:00:00"/>
    <n v="0"/>
    <n v="-18161.87"/>
    <x v="4"/>
    <x v="1"/>
    <s v="Etienne Mill                   FR02 0298"/>
    <n v="-18161.87"/>
    <s v=""/>
  </r>
  <r>
    <x v="0"/>
    <x v="8"/>
    <s v="5200600"/>
    <s v=""/>
    <m/>
    <s v="2400010842"/>
    <d v="2004-06-25T00:00:00"/>
    <n v="0"/>
    <n v="-2876.67"/>
    <x v="4"/>
    <x v="1"/>
    <s v="Etienne Mill                   FR02 0298"/>
    <n v="-2876.67"/>
    <s v=""/>
  </r>
  <r>
    <x v="0"/>
    <x v="8"/>
    <s v="5200600"/>
    <s v=""/>
    <m/>
    <s v="2400010843"/>
    <d v="2004-06-25T00:00:00"/>
    <n v="0"/>
    <n v="-21800.37"/>
    <x v="4"/>
    <x v="1"/>
    <s v="Etienne Mill                   FR02 0298"/>
    <n v="-21800.37"/>
    <s v=""/>
  </r>
  <r>
    <x v="0"/>
    <x v="8"/>
    <s v="5200600"/>
    <s v=""/>
    <m/>
    <s v="2400010844"/>
    <d v="2004-06-25T00:00:00"/>
    <n v="0"/>
    <n v="-10638.17"/>
    <x v="4"/>
    <x v="1"/>
    <s v="Etienne Mill                   FR02 0298"/>
    <n v="-10638.17"/>
    <s v=""/>
  </r>
  <r>
    <x v="0"/>
    <x v="8"/>
    <s v="5200600"/>
    <s v=""/>
    <m/>
    <s v="2400010858"/>
    <d v="2004-06-25T00:00:00"/>
    <n v="0"/>
    <n v="-10082.780000000001"/>
    <x v="4"/>
    <x v="1"/>
    <s v="Etienne Mill                   FR02 0298"/>
    <n v="-10082.780000000001"/>
    <s v=""/>
  </r>
  <r>
    <x v="0"/>
    <x v="8"/>
    <s v="5200600"/>
    <s v=""/>
    <m/>
    <s v="2400010859"/>
    <d v="2004-06-25T00:00:00"/>
    <n v="0"/>
    <n v="-10478.9"/>
    <x v="4"/>
    <x v="1"/>
    <s v="Etienne Mill                   FR02 0298"/>
    <n v="-10478.9"/>
    <s v=""/>
  </r>
  <r>
    <x v="0"/>
    <x v="8"/>
    <s v="5200600"/>
    <s v=""/>
    <m/>
    <s v="2400010870"/>
    <d v="2004-06-25T00:00:00"/>
    <n v="0"/>
    <n v="71.62"/>
    <x v="4"/>
    <x v="1"/>
    <s v="Etienne Mill                   FR02 0298"/>
    <n v="71.62"/>
    <s v=""/>
  </r>
  <r>
    <x v="0"/>
    <x v="8"/>
    <s v="5200600"/>
    <s v=""/>
    <m/>
    <s v="2400010882"/>
    <d v="2004-07-01T00:00:00"/>
    <n v="0"/>
    <n v="-32304.84"/>
    <x v="4"/>
    <x v="1"/>
    <s v="Etienne Mill                   FR02 0298"/>
    <n v="-32304.84"/>
    <s v=""/>
  </r>
  <r>
    <x v="0"/>
    <x v="8"/>
    <s v="5200600"/>
    <s v=""/>
    <m/>
    <s v="2400010883"/>
    <d v="2004-07-01T00:00:00"/>
    <n v="0"/>
    <n v="-10218.950000000001"/>
    <x v="4"/>
    <x v="1"/>
    <s v="Etienne Mill                   FR02 0298"/>
    <n v="-10218.950000000001"/>
    <s v=""/>
  </r>
  <r>
    <x v="0"/>
    <x v="8"/>
    <s v="5200600"/>
    <s v=""/>
    <m/>
    <s v="2400010884"/>
    <d v="2004-07-01T00:00:00"/>
    <n v="0"/>
    <n v="-41729.910000000003"/>
    <x v="4"/>
    <x v="1"/>
    <s v="Etienne Mill                   FR02 0298"/>
    <n v="-41729.910000000003"/>
    <s v=""/>
  </r>
  <r>
    <x v="0"/>
    <x v="8"/>
    <s v="5200600"/>
    <s v=""/>
    <m/>
    <s v="2400011163"/>
    <d v="2004-07-23T00:00:00"/>
    <n v="0"/>
    <n v="-10365.879999999999"/>
    <x v="4"/>
    <x v="1"/>
    <s v="Etienne Mill                   FR02 0298"/>
    <n v="-10365.879999999999"/>
    <s v=""/>
  </r>
  <r>
    <x v="0"/>
    <x v="8"/>
    <s v="5200600"/>
    <s v=""/>
    <m/>
    <s v="2400011109"/>
    <d v="2004-07-20T00:00:00"/>
    <n v="0"/>
    <n v="-9713.6"/>
    <x v="4"/>
    <x v="1"/>
    <s v="Etienne Mill                   FR02 0298"/>
    <n v="-9713.6"/>
    <s v=""/>
  </r>
  <r>
    <x v="0"/>
    <x v="8"/>
    <s v="5200600"/>
    <s v=""/>
    <m/>
    <s v="2400011083"/>
    <d v="2004-07-20T00:00:00"/>
    <n v="0"/>
    <n v="-10070.19"/>
    <x v="4"/>
    <x v="1"/>
    <s v="Etienne Mill                   FR02 0298"/>
    <n v="-10070.19"/>
    <s v=""/>
  </r>
  <r>
    <x v="0"/>
    <x v="8"/>
    <s v="5200600"/>
    <s v=""/>
    <m/>
    <s v="2400011004"/>
    <d v="2004-07-19T00:00:00"/>
    <n v="0"/>
    <n v="-50576.1"/>
    <x v="4"/>
    <x v="1"/>
    <s v="Etienne Mill                   FR02 0298"/>
    <n v="-50576.1"/>
    <s v=""/>
  </r>
  <r>
    <x v="0"/>
    <x v="8"/>
    <s v="5200600"/>
    <s v=""/>
    <m/>
    <s v="2400011003"/>
    <d v="2004-07-19T00:00:00"/>
    <n v="0"/>
    <n v="-9630.26"/>
    <x v="4"/>
    <x v="1"/>
    <s v="Etienne Mill                   FR02 0298"/>
    <n v="-9630.26"/>
    <s v=""/>
  </r>
  <r>
    <x v="0"/>
    <x v="8"/>
    <s v="5200600"/>
    <s v=""/>
    <m/>
    <s v="2400011002"/>
    <d v="2004-07-19T00:00:00"/>
    <n v="0"/>
    <n v="-20991.38"/>
    <x v="4"/>
    <x v="1"/>
    <s v="Etienne Mill                   FR02 0298"/>
    <n v="-20991.38"/>
    <s v=""/>
  </r>
  <r>
    <x v="0"/>
    <x v="8"/>
    <s v="5200600"/>
    <s v=""/>
    <m/>
    <s v="2400010958"/>
    <d v="2004-07-12T00:00:00"/>
    <n v="0"/>
    <n v="-65307.59"/>
    <x v="4"/>
    <x v="1"/>
    <s v="Etienne Mill                   FR02 0298"/>
    <n v="-65307.59"/>
    <s v=""/>
  </r>
  <r>
    <x v="0"/>
    <x v="8"/>
    <s v="5200600"/>
    <s v=""/>
    <m/>
    <s v="2400010959"/>
    <d v="2004-07-12T00:00:00"/>
    <n v="0"/>
    <n v="-87142.74"/>
    <x v="4"/>
    <x v="1"/>
    <s v="Etienne Mill                   FR02 0298"/>
    <n v="-87142.74"/>
    <s v=""/>
  </r>
  <r>
    <x v="0"/>
    <x v="8"/>
    <s v="5200600"/>
    <s v=""/>
    <m/>
    <s v="2400010960"/>
    <d v="2004-07-12T00:00:00"/>
    <n v="0"/>
    <n v="-20508.18"/>
    <x v="4"/>
    <x v="1"/>
    <s v="Etienne Mill                   FR02 0298"/>
    <n v="-20508.18"/>
    <s v=""/>
  </r>
  <r>
    <x v="0"/>
    <x v="8"/>
    <s v="5200600"/>
    <s v=""/>
    <m/>
    <s v="2400010961"/>
    <d v="2004-07-12T00:00:00"/>
    <n v="0"/>
    <n v="-9849.02"/>
    <x v="4"/>
    <x v="1"/>
    <s v="Etienne Mill                   FR02 0298"/>
    <n v="-9849.02"/>
    <s v=""/>
  </r>
  <r>
    <x v="0"/>
    <x v="8"/>
    <s v="5200600"/>
    <s v=""/>
    <m/>
    <s v="2400010298"/>
    <d v="2004-05-05T00:00:00"/>
    <n v="0"/>
    <n v="-10530.98"/>
    <x v="4"/>
    <x v="1"/>
    <s v="Etienne Mill                   FR02 0298"/>
    <n v="-10530.98"/>
    <s v=""/>
  </r>
  <r>
    <x v="0"/>
    <x v="8"/>
    <s v="5200600"/>
    <s v=""/>
    <m/>
    <s v="2400010297"/>
    <d v="2004-05-05T00:00:00"/>
    <n v="0"/>
    <n v="-10312.200000000001"/>
    <x v="4"/>
    <x v="1"/>
    <s v="Etienne Mill                   FR02 0298"/>
    <n v="-10312.200000000001"/>
    <s v=""/>
  </r>
  <r>
    <x v="0"/>
    <x v="8"/>
    <s v="5200600"/>
    <s v=""/>
    <m/>
    <s v="2400010296"/>
    <d v="2004-05-05T00:00:00"/>
    <n v="0"/>
    <n v="-55790.86"/>
    <x v="4"/>
    <x v="1"/>
    <s v="Etienne Mill                   FR02 0298"/>
    <n v="-55790.86"/>
    <s v=""/>
  </r>
  <r>
    <x v="0"/>
    <x v="8"/>
    <s v="5200600"/>
    <s v=""/>
    <m/>
    <s v="2400010295"/>
    <d v="2004-05-05T00:00:00"/>
    <n v="0"/>
    <n v="-72600.5"/>
    <x v="4"/>
    <x v="1"/>
    <s v="Etienne Mill                   FR02 0298"/>
    <n v="-72600.5"/>
    <s v=""/>
  </r>
  <r>
    <x v="0"/>
    <x v="8"/>
    <s v="5200600"/>
    <s v=""/>
    <m/>
    <s v="2400010240"/>
    <d v="2004-05-01T00:00:00"/>
    <n v="0"/>
    <n v="-10769.38"/>
    <x v="4"/>
    <x v="1"/>
    <s v="Etienne Mill                   FR02 0298"/>
    <n v="-10769.38"/>
    <s v=""/>
  </r>
  <r>
    <x v="0"/>
    <x v="8"/>
    <s v="5200600"/>
    <s v=""/>
    <m/>
    <s v="2400010239"/>
    <d v="2004-05-01T00:00:00"/>
    <n v="0"/>
    <n v="-10924.53"/>
    <x v="4"/>
    <x v="1"/>
    <s v="Etienne Mill                   FR02 0298"/>
    <n v="-10924.53"/>
    <s v=""/>
  </r>
  <r>
    <x v="0"/>
    <x v="8"/>
    <s v="5200600"/>
    <s v=""/>
    <m/>
    <s v="2400010238"/>
    <d v="2004-05-01T00:00:00"/>
    <n v="0"/>
    <n v="-22975.78"/>
    <x v="4"/>
    <x v="1"/>
    <s v="Etienne Mill                   FR02 0298"/>
    <n v="-22975.78"/>
    <s v=""/>
  </r>
  <r>
    <x v="0"/>
    <x v="8"/>
    <s v="5200600"/>
    <s v=""/>
    <m/>
    <s v="2400010224"/>
    <d v="2004-05-01T00:00:00"/>
    <n v="0"/>
    <n v="-290.17"/>
    <x v="4"/>
    <x v="1"/>
    <s v="Etienne Mill                   FR02 0298"/>
    <n v="-290.17"/>
    <s v=""/>
  </r>
  <r>
    <x v="0"/>
    <x v="8"/>
    <s v="5200600"/>
    <s v=""/>
    <m/>
    <s v="2400010213"/>
    <d v="2004-05-01T00:00:00"/>
    <n v="0"/>
    <n v="-10595.26"/>
    <x v="4"/>
    <x v="1"/>
    <s v="Etienne Mill                   FR02 0298"/>
    <n v="-10595.26"/>
    <s v=""/>
  </r>
  <r>
    <x v="0"/>
    <x v="8"/>
    <s v="5200600"/>
    <s v=""/>
    <m/>
    <s v="2400010212"/>
    <d v="2004-05-01T00:00:00"/>
    <n v="0"/>
    <n v="-12053.6"/>
    <x v="4"/>
    <x v="1"/>
    <s v="Etienne Mill                   FR02 0298"/>
    <n v="-12053.6"/>
    <s v=""/>
  </r>
  <r>
    <x v="0"/>
    <x v="8"/>
    <s v="5200600"/>
    <s v=""/>
    <m/>
    <s v="2400010211"/>
    <d v="2004-05-01T00:00:00"/>
    <n v="0"/>
    <n v="-31016.240000000002"/>
    <x v="4"/>
    <x v="1"/>
    <s v="Etienne Mill                   FR02 0298"/>
    <n v="-31016.240000000002"/>
    <s v=""/>
  </r>
  <r>
    <x v="0"/>
    <x v="8"/>
    <s v="5200600"/>
    <s v=""/>
    <m/>
    <s v="2400010172"/>
    <d v="2004-05-01T00:00:00"/>
    <n v="0"/>
    <n v="-10435.16"/>
    <x v="4"/>
    <x v="1"/>
    <s v="Etienne Mill                   FR02 0298"/>
    <n v="-10435.16"/>
    <s v=""/>
  </r>
  <r>
    <x v="0"/>
    <x v="8"/>
    <s v="5200600"/>
    <s v=""/>
    <m/>
    <s v="2400010171"/>
    <d v="2004-05-01T00:00:00"/>
    <n v="0"/>
    <n v="-10829.62"/>
    <x v="4"/>
    <x v="1"/>
    <s v="Etienne Mill                   FR02 0298"/>
    <n v="-10829.62"/>
    <s v=""/>
  </r>
  <r>
    <x v="0"/>
    <x v="8"/>
    <s v="5200600"/>
    <s v=""/>
    <m/>
    <s v="2400010170"/>
    <d v="2004-05-01T00:00:00"/>
    <n v="0"/>
    <n v="-40345.99"/>
    <x v="4"/>
    <x v="1"/>
    <s v="Etienne Mill                   FR02 0298"/>
    <n v="-40345.99"/>
    <s v=""/>
  </r>
  <r>
    <x v="0"/>
    <x v="8"/>
    <s v="5200600"/>
    <s v=""/>
    <m/>
    <s v="2400010137"/>
    <d v="2004-04-21T00:00:00"/>
    <n v="0"/>
    <n v="-20404.18"/>
    <x v="4"/>
    <x v="1"/>
    <s v="Etienne Mill                   FR02 0298"/>
    <n v="-20404.18"/>
    <s v=""/>
  </r>
  <r>
    <x v="0"/>
    <x v="8"/>
    <s v="5200600"/>
    <s v=""/>
    <m/>
    <s v="2400010136"/>
    <d v="2004-04-21T00:00:00"/>
    <n v="0"/>
    <n v="-21232.6"/>
    <x v="4"/>
    <x v="1"/>
    <s v="Etienne Mill                   FR02 0298"/>
    <n v="-21232.6"/>
    <s v=""/>
  </r>
  <r>
    <x v="0"/>
    <x v="8"/>
    <s v="5200600"/>
    <s v=""/>
    <m/>
    <s v="2400010135"/>
    <d v="2004-04-21T00:00:00"/>
    <n v="0"/>
    <n v="-66477.63"/>
    <x v="4"/>
    <x v="1"/>
    <s v="Etienne Mill                   FR02 0298"/>
    <n v="-66477.63"/>
    <s v=""/>
  </r>
  <r>
    <x v="0"/>
    <x v="8"/>
    <s v="5200600"/>
    <s v=""/>
    <m/>
    <s v="2400010119"/>
    <d v="2004-04-16T00:00:00"/>
    <n v="0"/>
    <n v="-9535.65"/>
    <x v="4"/>
    <x v="1"/>
    <s v="Etienne Mill                   FR02 0298"/>
    <n v="-9535.65"/>
    <s v=""/>
  </r>
  <r>
    <x v="0"/>
    <x v="8"/>
    <s v="5200600"/>
    <s v=""/>
    <m/>
    <s v="2400010118"/>
    <d v="2004-04-16T00:00:00"/>
    <n v="0"/>
    <n v="-11524.99"/>
    <x v="4"/>
    <x v="1"/>
    <s v="Etienne Mill                   FR02 0298"/>
    <n v="-11524.99"/>
    <s v=""/>
  </r>
  <r>
    <x v="0"/>
    <x v="8"/>
    <s v="5200600"/>
    <s v=""/>
    <m/>
    <s v="2400010117"/>
    <d v="2004-04-16T00:00:00"/>
    <n v="0"/>
    <n v="-20985.86"/>
    <x v="4"/>
    <x v="1"/>
    <s v="Etienne Mill                   FR02 0298"/>
    <n v="-20985.86"/>
    <s v=""/>
  </r>
  <r>
    <x v="0"/>
    <x v="8"/>
    <s v="5200600"/>
    <s v=""/>
    <m/>
    <s v="2400010099"/>
    <d v="2004-04-16T00:00:00"/>
    <n v="0"/>
    <n v="-10955.06"/>
    <x v="4"/>
    <x v="1"/>
    <s v="Etienne Mill                   FR02 0298"/>
    <n v="-10955.06"/>
    <s v=""/>
  </r>
  <r>
    <x v="0"/>
    <x v="8"/>
    <s v="5200600"/>
    <s v=""/>
    <m/>
    <s v="2400010098"/>
    <d v="2004-04-16T00:00:00"/>
    <n v="0"/>
    <n v="-2800.63"/>
    <x v="4"/>
    <x v="1"/>
    <s v="Etienne Mill                   FR02 0298"/>
    <n v="-2800.63"/>
    <s v=""/>
  </r>
  <r>
    <x v="0"/>
    <x v="8"/>
    <s v="5200600"/>
    <s v=""/>
    <m/>
    <s v="2400010097"/>
    <d v="2004-04-16T00:00:00"/>
    <n v="0"/>
    <n v="-10279.19"/>
    <x v="4"/>
    <x v="1"/>
    <s v="Etienne Mill                   FR02 0298"/>
    <n v="-10279.19"/>
    <s v=""/>
  </r>
  <r>
    <x v="0"/>
    <x v="8"/>
    <s v="5200600"/>
    <s v=""/>
    <m/>
    <s v="2400010096"/>
    <d v="2004-04-16T00:00:00"/>
    <n v="0"/>
    <n v="-11048.31"/>
    <x v="4"/>
    <x v="1"/>
    <s v="Etienne Mill                   FR02 0298"/>
    <n v="-11048.31"/>
    <s v=""/>
  </r>
  <r>
    <x v="0"/>
    <x v="8"/>
    <s v="5200600"/>
    <s v=""/>
    <m/>
    <s v="2400010095"/>
    <d v="2004-04-16T00:00:00"/>
    <n v="0"/>
    <n v="-8821.4699999999993"/>
    <x v="4"/>
    <x v="1"/>
    <s v="Etienne Mill                   FR02 0298"/>
    <n v="-8821.4699999999993"/>
    <s v=""/>
  </r>
  <r>
    <x v="0"/>
    <x v="8"/>
    <s v="5200600"/>
    <s v=""/>
    <m/>
    <s v="2400010094"/>
    <d v="2004-04-16T00:00:00"/>
    <n v="0"/>
    <n v="-2834.52"/>
    <x v="4"/>
    <x v="1"/>
    <s v="Etienne Mill                   FR02 0298"/>
    <n v="-2834.52"/>
    <s v=""/>
  </r>
  <r>
    <x v="0"/>
    <x v="8"/>
    <s v="5200600"/>
    <s v=""/>
    <m/>
    <s v="2400010093"/>
    <d v="2004-04-16T00:00:00"/>
    <n v="0"/>
    <n v="-20237.45"/>
    <x v="4"/>
    <x v="1"/>
    <s v="Etienne Mill                   FR02 0298"/>
    <n v="-20237.45"/>
    <s v=""/>
  </r>
  <r>
    <x v="0"/>
    <x v="8"/>
    <s v="5200600"/>
    <s v=""/>
    <m/>
    <s v="2400010092"/>
    <d v="2004-04-16T00:00:00"/>
    <n v="0"/>
    <n v="-11265.72"/>
    <x v="4"/>
    <x v="1"/>
    <s v="Etienne Mill                   FR02 0298"/>
    <n v="-11265.72"/>
    <s v=""/>
  </r>
  <r>
    <x v="0"/>
    <x v="8"/>
    <s v="5200600"/>
    <s v=""/>
    <m/>
    <s v="2400010091"/>
    <d v="2004-04-16T00:00:00"/>
    <n v="0"/>
    <n v="-10430.209999999999"/>
    <x v="4"/>
    <x v="1"/>
    <s v="Etienne Mill                   FR02 0298"/>
    <n v="-10430.209999999999"/>
    <s v=""/>
  </r>
  <r>
    <x v="0"/>
    <x v="8"/>
    <s v="5200600"/>
    <s v=""/>
    <m/>
    <s v="2400010090"/>
    <d v="2004-04-16T00:00:00"/>
    <n v="0"/>
    <n v="-30457.96"/>
    <x v="4"/>
    <x v="1"/>
    <s v="Etienne Mill                   FR02 0298"/>
    <n v="-30457.96"/>
    <s v=""/>
  </r>
  <r>
    <x v="0"/>
    <x v="8"/>
    <s v="5200600"/>
    <s v=""/>
    <m/>
    <s v="2400010089"/>
    <d v="2004-04-16T00:00:00"/>
    <n v="0"/>
    <n v="-53553.95"/>
    <x v="4"/>
    <x v="1"/>
    <s v="Etienne Mill                   FR02 0298"/>
    <n v="-53553.95"/>
    <s v=""/>
  </r>
  <r>
    <x v="0"/>
    <x v="8"/>
    <s v="5200600"/>
    <s v=""/>
    <m/>
    <s v="2400010034"/>
    <d v="2004-04-08T00:00:00"/>
    <n v="0"/>
    <n v="-20221.68"/>
    <x v="4"/>
    <x v="1"/>
    <s v="Etienne Mill                   FR02 0298"/>
    <n v="-20221.68"/>
    <s v=""/>
  </r>
  <r>
    <x v="0"/>
    <x v="8"/>
    <s v="5200600"/>
    <s v=""/>
    <m/>
    <s v="2400010033"/>
    <d v="2004-04-08T00:00:00"/>
    <n v="0"/>
    <n v="-5057.99"/>
    <x v="4"/>
    <x v="1"/>
    <s v="Etienne Mill                   FR02 0298"/>
    <n v="-5057.99"/>
    <s v=""/>
  </r>
  <r>
    <x v="0"/>
    <x v="8"/>
    <s v="5200600"/>
    <s v=""/>
    <m/>
    <s v="2400010032"/>
    <d v="2004-04-08T00:00:00"/>
    <n v="0"/>
    <n v="-20490.71"/>
    <x v="4"/>
    <x v="1"/>
    <s v="Etienne Mill                   FR02 0298"/>
    <n v="-20490.71"/>
    <s v=""/>
  </r>
  <r>
    <x v="0"/>
    <x v="8"/>
    <s v="5200600"/>
    <s v=""/>
    <m/>
    <s v="2400010031"/>
    <d v="2004-04-08T00:00:00"/>
    <n v="0"/>
    <n v="-20682.990000000002"/>
    <x v="4"/>
    <x v="1"/>
    <s v="Etienne Mill                   FR02 0298"/>
    <n v="-20682.990000000002"/>
    <s v=""/>
  </r>
  <r>
    <x v="0"/>
    <x v="8"/>
    <s v="5200600"/>
    <s v=""/>
    <m/>
    <s v="2400010030"/>
    <d v="2004-04-08T00:00:00"/>
    <n v="0"/>
    <n v="-32384.07"/>
    <x v="4"/>
    <x v="1"/>
    <s v="Etienne Mill                   FR02 0298"/>
    <n v="-32384.07"/>
    <s v=""/>
  </r>
  <r>
    <x v="0"/>
    <x v="8"/>
    <s v="5200600"/>
    <s v=""/>
    <m/>
    <s v="2400010029"/>
    <d v="2004-04-08T00:00:00"/>
    <n v="0"/>
    <n v="-30590.82"/>
    <x v="4"/>
    <x v="1"/>
    <s v="Etienne Mill                   FR02 0298"/>
    <n v="-30590.82"/>
    <s v=""/>
  </r>
  <r>
    <x v="0"/>
    <x v="8"/>
    <s v="5200600"/>
    <s v=""/>
    <m/>
    <s v="2400010028"/>
    <d v="2004-04-08T00:00:00"/>
    <n v="0"/>
    <n v="-18675.439999999999"/>
    <x v="4"/>
    <x v="1"/>
    <s v="Etienne Mill                   FR02 0298"/>
    <n v="-18675.439999999999"/>
    <s v=""/>
  </r>
  <r>
    <x v="0"/>
    <x v="8"/>
    <s v="5200600"/>
    <s v=""/>
    <m/>
    <s v="2400010027"/>
    <d v="2004-04-08T00:00:00"/>
    <n v="0"/>
    <n v="-61547.23"/>
    <x v="4"/>
    <x v="1"/>
    <s v="Etienne Mill                   FR02 0298"/>
    <n v="-61547.23"/>
    <s v=""/>
  </r>
  <r>
    <x v="0"/>
    <x v="8"/>
    <s v="5200600"/>
    <s v=""/>
    <m/>
    <s v="2400010638"/>
    <d v="2004-06-09T00:00:00"/>
    <n v="0"/>
    <n v="-21992.65"/>
    <x v="4"/>
    <x v="1"/>
    <s v="Etienne Mill                   FR02 0298"/>
    <n v="-21992.65"/>
    <s v=""/>
  </r>
  <r>
    <x v="0"/>
    <x v="8"/>
    <s v="5200600"/>
    <s v=""/>
    <m/>
    <s v="2400010639"/>
    <d v="2004-06-09T00:00:00"/>
    <n v="0"/>
    <n v="-43585.05"/>
    <x v="4"/>
    <x v="1"/>
    <s v="Etienne Mill                   FR02 0298"/>
    <n v="-43585.05"/>
    <s v=""/>
  </r>
  <r>
    <x v="0"/>
    <x v="8"/>
    <s v="5200600"/>
    <s v=""/>
    <m/>
    <s v="2400010635"/>
    <d v="2004-06-09T00:00:00"/>
    <n v="0"/>
    <n v="14.75"/>
    <x v="4"/>
    <x v="1"/>
    <s v="Etienne Mill                   FR02 0298"/>
    <n v="14.75"/>
    <s v=""/>
  </r>
  <r>
    <x v="0"/>
    <x v="8"/>
    <s v="5200600"/>
    <s v=""/>
    <m/>
    <s v="2400010640"/>
    <d v="2004-06-09T00:00:00"/>
    <n v="0"/>
    <n v="-43600.74"/>
    <x v="4"/>
    <x v="1"/>
    <s v="Etienne Mill                   FR02 0298"/>
    <n v="-43600.74"/>
    <s v=""/>
  </r>
  <r>
    <x v="0"/>
    <x v="8"/>
    <s v="5200600"/>
    <s v=""/>
    <m/>
    <s v="2400010592"/>
    <d v="2004-06-03T00:00:00"/>
    <n v="0"/>
    <n v="-31561.31"/>
    <x v="4"/>
    <x v="1"/>
    <s v="Etienne Mill                   FR02 0298"/>
    <n v="-31561.31"/>
    <s v=""/>
  </r>
  <r>
    <x v="0"/>
    <x v="8"/>
    <s v="5200600"/>
    <s v=""/>
    <m/>
    <s v="2400010591"/>
    <d v="2004-06-03T00:00:00"/>
    <n v="0"/>
    <n v="-43136.95"/>
    <x v="4"/>
    <x v="1"/>
    <s v="Etienne Mill                   FR02 0298"/>
    <n v="-43136.95"/>
    <s v=""/>
  </r>
  <r>
    <x v="0"/>
    <x v="8"/>
    <s v="5200600"/>
    <s v=""/>
    <m/>
    <s v="2400010738"/>
    <d v="2004-06-16T00:00:00"/>
    <n v="0"/>
    <n v="-76073.11"/>
    <x v="4"/>
    <x v="1"/>
    <s v="Etienne Mill                   FR02 0298"/>
    <n v="-76073.11"/>
    <s v=""/>
  </r>
  <r>
    <x v="0"/>
    <x v="8"/>
    <s v="5200600"/>
    <s v=""/>
    <m/>
    <s v="2400010739"/>
    <d v="2004-06-16T00:00:00"/>
    <n v="0"/>
    <n v="-10392.25"/>
    <x v="4"/>
    <x v="1"/>
    <s v="Etienne Mill                   FR02 0298"/>
    <n v="-10392.25"/>
    <s v=""/>
  </r>
  <r>
    <x v="0"/>
    <x v="8"/>
    <s v="5200600"/>
    <s v=""/>
    <m/>
    <s v="2400010740"/>
    <d v="2004-06-16T00:00:00"/>
    <n v="0"/>
    <n v="-18036.45"/>
    <x v="4"/>
    <x v="1"/>
    <s v="Etienne Mill                   FR02 0298"/>
    <n v="-18036.45"/>
    <s v=""/>
  </r>
  <r>
    <x v="0"/>
    <x v="8"/>
    <s v="5200600"/>
    <s v=""/>
    <m/>
    <s v="2400010741"/>
    <d v="2004-06-16T00:00:00"/>
    <n v="0"/>
    <n v="-9884.7199999999993"/>
    <x v="4"/>
    <x v="1"/>
    <s v="Etienne Mill                   FR02 0298"/>
    <n v="-9884.7199999999993"/>
    <s v=""/>
  </r>
  <r>
    <x v="0"/>
    <x v="8"/>
    <s v="5200600"/>
    <s v=""/>
    <m/>
    <s v="2400010590"/>
    <d v="2004-06-03T00:00:00"/>
    <n v="0"/>
    <n v="-21074.15"/>
    <x v="4"/>
    <x v="1"/>
    <s v="Etienne Mill                   FR02 0298"/>
    <n v="-21074.15"/>
    <s v=""/>
  </r>
  <r>
    <x v="0"/>
    <x v="8"/>
    <s v="5200600"/>
    <s v=""/>
    <m/>
    <s v="2400010742"/>
    <d v="2004-06-16T00:00:00"/>
    <n v="0"/>
    <n v="-21876.29"/>
    <x v="4"/>
    <x v="1"/>
    <s v="Etienne Mill                   FR02 0298"/>
    <n v="-21876.29"/>
    <s v=""/>
  </r>
  <r>
    <x v="0"/>
    <x v="8"/>
    <s v="5200600"/>
    <s v=""/>
    <m/>
    <s v="2400010547"/>
    <d v="2004-06-03T00:00:00"/>
    <n v="0"/>
    <n v="2260.56"/>
    <x v="4"/>
    <x v="1"/>
    <s v="Etienne Mill                   FR02 0298"/>
    <n v="2260.56"/>
    <s v=""/>
  </r>
  <r>
    <x v="0"/>
    <x v="8"/>
    <s v="5200600"/>
    <s v=""/>
    <m/>
    <s v="2400010546"/>
    <d v="2004-06-03T00:00:00"/>
    <n v="0"/>
    <n v="6346.06"/>
    <x v="4"/>
    <x v="1"/>
    <s v="Etienne Mill                   FR02 0298"/>
    <n v="6346.06"/>
    <s v=""/>
  </r>
  <r>
    <x v="0"/>
    <x v="8"/>
    <s v="5200600"/>
    <s v=""/>
    <m/>
    <s v="2400010538"/>
    <d v="2004-06-03T00:00:00"/>
    <n v="0"/>
    <n v="9124.65"/>
    <x v="4"/>
    <x v="1"/>
    <s v="Etienne Mill                   FR02 0298"/>
    <n v="9124.65"/>
    <s v=""/>
  </r>
  <r>
    <x v="0"/>
    <x v="8"/>
    <s v="5200600"/>
    <s v=""/>
    <m/>
    <s v="2400010513"/>
    <d v="2004-06-01T00:00:00"/>
    <n v="0"/>
    <n v="-10634.04"/>
    <x v="4"/>
    <x v="1"/>
    <s v="Etienne Mill                   FR02 0298"/>
    <n v="-10634.04"/>
    <s v=""/>
  </r>
  <r>
    <x v="0"/>
    <x v="8"/>
    <s v="5200600"/>
    <s v=""/>
    <m/>
    <s v="2400010512"/>
    <d v="2004-06-01T00:00:00"/>
    <n v="0"/>
    <n v="-10047.299999999999"/>
    <x v="4"/>
    <x v="1"/>
    <s v="Etienne Mill                   FR02 0298"/>
    <n v="-10047.299999999999"/>
    <s v=""/>
  </r>
  <r>
    <x v="0"/>
    <x v="8"/>
    <s v="5200600"/>
    <s v=""/>
    <m/>
    <s v="2400010473"/>
    <d v="2004-05-26T00:00:00"/>
    <n v="0"/>
    <n v="-11014.48"/>
    <x v="4"/>
    <x v="1"/>
    <s v="Etienne Mill                   FR02 0298"/>
    <n v="-11014.48"/>
    <s v=""/>
  </r>
  <r>
    <x v="0"/>
    <x v="8"/>
    <s v="5200600"/>
    <s v=""/>
    <m/>
    <s v="2400010472"/>
    <d v="2004-05-26T00:00:00"/>
    <n v="0"/>
    <n v="-10871.71"/>
    <x v="4"/>
    <x v="1"/>
    <s v="Etienne Mill                   FR02 0298"/>
    <n v="-10871.71"/>
    <s v=""/>
  </r>
  <r>
    <x v="0"/>
    <x v="8"/>
    <s v="5200600"/>
    <s v=""/>
    <m/>
    <s v="2400010377"/>
    <d v="2004-05-24T00:00:00"/>
    <n v="0"/>
    <n v="-42439.62"/>
    <x v="4"/>
    <x v="1"/>
    <s v="Etienne Mill                   FR02 0298"/>
    <n v="-42439.62"/>
    <s v=""/>
  </r>
  <r>
    <x v="0"/>
    <x v="8"/>
    <s v="5200600"/>
    <s v=""/>
    <m/>
    <s v="2400010378"/>
    <d v="2004-05-24T00:00:00"/>
    <n v="0"/>
    <n v="-23207.55"/>
    <x v="4"/>
    <x v="1"/>
    <s v="Etienne Mill                   FR02 0298"/>
    <n v="-23207.55"/>
    <s v=""/>
  </r>
  <r>
    <x v="0"/>
    <x v="8"/>
    <s v="5200600"/>
    <s v=""/>
    <m/>
    <s v="2400010379"/>
    <d v="2004-05-24T00:00:00"/>
    <n v="0"/>
    <n v="-2763.07"/>
    <x v="4"/>
    <x v="1"/>
    <s v="Etienne Mill                   FR02 0298"/>
    <n v="-2763.07"/>
    <s v=""/>
  </r>
  <r>
    <x v="0"/>
    <x v="8"/>
    <s v="5200600"/>
    <s v=""/>
    <m/>
    <s v="2400010380"/>
    <d v="2004-05-24T00:00:00"/>
    <n v="0"/>
    <n v="-59367.77"/>
    <x v="4"/>
    <x v="1"/>
    <s v="Etienne Mill                   FR02 0298"/>
    <n v="-59367.77"/>
    <s v=""/>
  </r>
  <r>
    <x v="0"/>
    <x v="8"/>
    <s v="5200600"/>
    <s v=""/>
    <m/>
    <s v="2400010381"/>
    <d v="2004-05-24T00:00:00"/>
    <n v="0"/>
    <n v="-31476.31"/>
    <x v="4"/>
    <x v="1"/>
    <s v="Etienne Mill                   FR02 0298"/>
    <n v="-31476.31"/>
    <s v=""/>
  </r>
  <r>
    <x v="0"/>
    <x v="8"/>
    <s v="5200600"/>
    <s v=""/>
    <m/>
    <s v="2400010382"/>
    <d v="2004-05-24T00:00:00"/>
    <n v="0"/>
    <n v="-30267.33"/>
    <x v="4"/>
    <x v="1"/>
    <s v="Etienne Mill                   FR02 0298"/>
    <n v="-30267.33"/>
    <s v=""/>
  </r>
  <r>
    <x v="0"/>
    <x v="8"/>
    <s v="5200600"/>
    <s v=""/>
    <m/>
    <s v="2400010383"/>
    <d v="2004-05-24T00:00:00"/>
    <n v="0"/>
    <n v="-12565.73"/>
    <x v="4"/>
    <x v="1"/>
    <s v="Etienne Mill                   FR02 0298"/>
    <n v="-12565.73"/>
    <s v=""/>
  </r>
  <r>
    <x v="1"/>
    <x v="8"/>
    <s v=""/>
    <s v=""/>
    <m/>
    <s v=""/>
    <m/>
    <n v="133383.18"/>
    <n v="0"/>
    <x v="4"/>
    <x v="0"/>
    <s v=""/>
    <n v="133383.18"/>
    <s v=""/>
  </r>
  <r>
    <x v="0"/>
    <x v="9"/>
    <s v="5200600"/>
    <s v="655558"/>
    <d v="2004-08-24T00:00:00"/>
    <s v=""/>
    <m/>
    <n v="15440"/>
    <n v="0"/>
    <x v="0"/>
    <x v="0"/>
    <s v="SGCO                           FR08 0979"/>
    <n v="15440"/>
    <s v=""/>
  </r>
  <r>
    <x v="0"/>
    <x v="9"/>
    <s v="5200600"/>
    <s v="2400022776"/>
    <d v="2004-07-09T00:00:00"/>
    <s v=""/>
    <m/>
    <n v="-6793.6"/>
    <n v="0"/>
    <x v="0"/>
    <x v="0"/>
    <s v="SGCO                           FR08 0979"/>
    <n v="-6793.6"/>
    <s v=""/>
  </r>
  <r>
    <x v="0"/>
    <x v="9"/>
    <s v="5200600"/>
    <s v="2400021282"/>
    <d v="2004-06-14T00:00:00"/>
    <s v=""/>
    <m/>
    <n v="-8646.4"/>
    <n v="0"/>
    <x v="0"/>
    <x v="0"/>
    <s v="SGCO                           FR08 0979"/>
    <n v="-8646.4"/>
    <s v=""/>
  </r>
  <r>
    <x v="0"/>
    <x v="9"/>
    <s v="5300600"/>
    <s v="1410080085"/>
    <d v="2004-08-01T00:00:00"/>
    <s v=""/>
    <m/>
    <n v="221.13"/>
    <n v="0"/>
    <x v="0"/>
    <x v="0"/>
    <s v="SGCO                           FR08 0979"/>
    <n v="221.13"/>
    <s v=""/>
  </r>
  <r>
    <x v="0"/>
    <x v="9"/>
    <s v="5300600"/>
    <s v="655558"/>
    <d v="2004-08-24T00:00:00"/>
    <s v=""/>
    <m/>
    <n v="-1568.03"/>
    <n v="0"/>
    <x v="0"/>
    <x v="0"/>
    <s v="SGCO                           FR08 0979"/>
    <n v="-1568.03"/>
    <s v=""/>
  </r>
  <r>
    <x v="0"/>
    <x v="9"/>
    <s v="5300600"/>
    <s v="1410080089"/>
    <d v="2004-08-01T00:00:00"/>
    <s v=""/>
    <m/>
    <n v="844.33"/>
    <n v="0"/>
    <x v="0"/>
    <x v="0"/>
    <s v="SGCO                           FR08 0979"/>
    <n v="844.33"/>
    <s v=""/>
  </r>
  <r>
    <x v="0"/>
    <x v="9"/>
    <s v="5300600"/>
    <s v="1410080183"/>
    <d v="2004-08-01T00:00:00"/>
    <s v=""/>
    <m/>
    <n v="281.44"/>
    <n v="0"/>
    <x v="0"/>
    <x v="0"/>
    <s v="SGCO                           FR08 0979"/>
    <n v="281.44"/>
    <s v=""/>
  </r>
  <r>
    <x v="0"/>
    <x v="9"/>
    <s v="5300600"/>
    <s v="1410080123"/>
    <d v="2004-08-01T00:00:00"/>
    <s v=""/>
    <m/>
    <n v="221.13"/>
    <n v="0"/>
    <x v="0"/>
    <x v="0"/>
    <s v="SGCO                           FR08 0979"/>
    <n v="221.13"/>
    <s v=""/>
  </r>
  <r>
    <x v="0"/>
    <x v="9"/>
    <s v="5300600"/>
    <s v=""/>
    <m/>
    <s v="600067"/>
    <d v="2012-09-01T00:00:00"/>
    <n v="0"/>
    <n v="-9469.44"/>
    <x v="4"/>
    <x v="7"/>
    <s v="SGCO                           FR08 0979"/>
    <n v="-9469.44"/>
    <s v=""/>
  </r>
  <r>
    <x v="0"/>
    <x v="9"/>
    <s v="5300600"/>
    <s v=""/>
    <m/>
    <s v="1400000004"/>
    <d v="2012-09-01T00:00:00"/>
    <n v="0"/>
    <n v="9469.44"/>
    <x v="4"/>
    <x v="7"/>
    <s v="SGCO                           FR08 0979"/>
    <n v="9469.44"/>
    <s v=""/>
  </r>
  <r>
    <x v="1"/>
    <x v="9"/>
    <s v=""/>
    <s v=""/>
    <m/>
    <s v=""/>
    <m/>
    <n v="0"/>
    <n v="0"/>
    <x v="4"/>
    <x v="0"/>
    <s v=""/>
    <n v="0"/>
    <s v=""/>
  </r>
  <r>
    <x v="0"/>
    <x v="10"/>
    <s v="5200500"/>
    <s v="2900001083"/>
    <d v="2019-01-14T00:00:00"/>
    <s v=""/>
    <m/>
    <n v="2589.7399999999998"/>
    <n v="0"/>
    <x v="8"/>
    <x v="0"/>
    <s v="Espaly Plant                   FR06 0994"/>
    <n v="2589.7399999999998"/>
    <s v="0321302"/>
  </r>
  <r>
    <x v="0"/>
    <x v="10"/>
    <s v="5200600"/>
    <s v="2400021460"/>
    <d v="2004-06-17T00:00:00"/>
    <s v=""/>
    <m/>
    <n v="-7008.39"/>
    <n v="0"/>
    <x v="0"/>
    <x v="0"/>
    <s v="Espaly Plant                   FR06 0994"/>
    <n v="-7008.39"/>
    <s v=""/>
  </r>
  <r>
    <x v="0"/>
    <x v="10"/>
    <s v="5200600"/>
    <s v="2400020607"/>
    <d v="2004-05-18T00:00:00"/>
    <s v=""/>
    <m/>
    <n v="-358.8"/>
    <n v="0"/>
    <x v="0"/>
    <x v="0"/>
    <s v="Espaly Plant                   FR06 0994"/>
    <n v="-358.8"/>
    <s v=""/>
  </r>
  <r>
    <x v="0"/>
    <x v="10"/>
    <s v="5200600"/>
    <s v="655558"/>
    <d v="2004-08-24T00:00:00"/>
    <s v=""/>
    <m/>
    <n v="7367.19"/>
    <n v="0"/>
    <x v="0"/>
    <x v="0"/>
    <s v="Espaly Plant                   FR06 0994"/>
    <n v="7367.19"/>
    <s v=""/>
  </r>
  <r>
    <x v="0"/>
    <x v="10"/>
    <s v="5300500"/>
    <s v="1600000447"/>
    <d v="2019-01-18T00:00:00"/>
    <s v=""/>
    <m/>
    <n v="-1562.8"/>
    <n v="0"/>
    <x v="8"/>
    <x v="0"/>
    <s v="Espaly Plant                   FR06 0994"/>
    <n v="-1562.8"/>
    <s v="0000028225"/>
  </r>
  <r>
    <x v="0"/>
    <x v="10"/>
    <s v="5300500"/>
    <s v="1600000446"/>
    <d v="2019-01-18T00:00:00"/>
    <s v=""/>
    <m/>
    <n v="-402.89"/>
    <n v="0"/>
    <x v="8"/>
    <x v="0"/>
    <s v="Espaly Plant                   FR06 0994"/>
    <n v="-402.89"/>
    <s v="0000028224"/>
  </r>
  <r>
    <x v="0"/>
    <x v="10"/>
    <s v="5300500"/>
    <s v="1600000448"/>
    <d v="2019-01-18T00:00:00"/>
    <s v=""/>
    <m/>
    <n v="-4718.42"/>
    <n v="0"/>
    <x v="8"/>
    <x v="0"/>
    <s v="Espaly Plant                   FR06 0994"/>
    <n v="-4718.42"/>
    <s v="0000028223"/>
  </r>
  <r>
    <x v="0"/>
    <x v="10"/>
    <s v="5300550"/>
    <s v="602197"/>
    <d v="2007-05-21T00:00:00"/>
    <s v=""/>
    <m/>
    <n v="15916.8"/>
    <n v="0"/>
    <x v="3"/>
    <x v="0"/>
    <s v="Espaly Plant                   FR06 0994"/>
    <n v="15916.8"/>
    <s v=""/>
  </r>
  <r>
    <x v="0"/>
    <x v="10"/>
    <s v="5300550"/>
    <s v="600550"/>
    <d v="2019-01-31T00:00:00"/>
    <s v=""/>
    <m/>
    <n v="-2870.3"/>
    <n v="0"/>
    <x v="8"/>
    <x v="0"/>
    <s v="Espaly Plant                   FR06 0994"/>
    <n v="-2870.3"/>
    <s v="AJUST PROV INTER"/>
  </r>
  <r>
    <x v="0"/>
    <x v="10"/>
    <s v="5300550"/>
    <s v="600550"/>
    <d v="2019-01-31T00:00:00"/>
    <s v=""/>
    <m/>
    <n v="1390.58"/>
    <n v="0"/>
    <x v="8"/>
    <x v="0"/>
    <s v="Espaly Plant                   FR06 0994"/>
    <n v="1390.58"/>
    <s v="AJUST PROV INTER"/>
  </r>
  <r>
    <x v="0"/>
    <x v="10"/>
    <s v="5300550"/>
    <s v="600489"/>
    <d v="2019-01-30T00:00:00"/>
    <s v=""/>
    <m/>
    <n v="-2258"/>
    <n v="0"/>
    <x v="8"/>
    <x v="0"/>
    <s v="Espaly Plant                   FR06 0994"/>
    <n v="-2258"/>
    <s v="RECHARGES FILIER"/>
  </r>
  <r>
    <x v="0"/>
    <x v="10"/>
    <s v="5300550"/>
    <s v="600550"/>
    <d v="2019-01-31T00:00:00"/>
    <s v=""/>
    <m/>
    <n v="-64.16"/>
    <n v="0"/>
    <x v="8"/>
    <x v="0"/>
    <s v="Espaly Plant                   FR06 0994"/>
    <n v="-64.16"/>
    <s v="AJUST PROV INTER"/>
  </r>
  <r>
    <x v="0"/>
    <x v="10"/>
    <s v="5300600"/>
    <s v="1410080112"/>
    <d v="2004-08-01T00:00:00"/>
    <s v=""/>
    <m/>
    <n v="3470.79"/>
    <n v="0"/>
    <x v="0"/>
    <x v="0"/>
    <s v="Espaly Plant                   FR06 0994"/>
    <n v="3470.79"/>
    <s v=""/>
  </r>
  <r>
    <x v="0"/>
    <x v="10"/>
    <s v="5300600"/>
    <s v="1410080422"/>
    <d v="2004-08-01T00:00:00"/>
    <s v=""/>
    <m/>
    <n v="50.96"/>
    <n v="0"/>
    <x v="0"/>
    <x v="0"/>
    <s v="Espaly Plant                   FR06 0994"/>
    <n v="50.96"/>
    <s v=""/>
  </r>
  <r>
    <x v="0"/>
    <x v="10"/>
    <s v="5300600"/>
    <s v="1410080676"/>
    <d v="2004-08-01T00:00:00"/>
    <s v=""/>
    <m/>
    <n v="2348.92"/>
    <n v="0"/>
    <x v="0"/>
    <x v="0"/>
    <s v="Espaly Plant                   FR06 0994"/>
    <n v="2348.92"/>
    <s v=""/>
  </r>
  <r>
    <x v="0"/>
    <x v="10"/>
    <s v="5300600"/>
    <s v="1410080994"/>
    <d v="2004-08-01T00:00:00"/>
    <s v=""/>
    <m/>
    <n v="1003.59"/>
    <n v="0"/>
    <x v="0"/>
    <x v="0"/>
    <s v="Espaly Plant                   FR06 0994"/>
    <n v="1003.59"/>
    <s v=""/>
  </r>
  <r>
    <x v="0"/>
    <x v="10"/>
    <s v="5300600"/>
    <s v="1410080391"/>
    <d v="2004-08-01T00:00:00"/>
    <s v=""/>
    <m/>
    <n v="1722.24"/>
    <n v="0"/>
    <x v="0"/>
    <x v="0"/>
    <s v="Espaly Plant                   FR06 0994"/>
    <n v="1722.24"/>
    <s v=""/>
  </r>
  <r>
    <x v="0"/>
    <x v="10"/>
    <s v="5300600"/>
    <s v="1410080381"/>
    <d v="2004-08-01T00:00:00"/>
    <s v=""/>
    <m/>
    <n v="108.19"/>
    <n v="0"/>
    <x v="0"/>
    <x v="0"/>
    <s v="Espaly Plant                   FR06 0994"/>
    <n v="108.19"/>
    <s v=""/>
  </r>
  <r>
    <x v="0"/>
    <x v="10"/>
    <s v="5300600"/>
    <s v="1410080423"/>
    <d v="2004-08-01T00:00:00"/>
    <s v=""/>
    <m/>
    <n v="2944.22"/>
    <n v="0"/>
    <x v="0"/>
    <x v="0"/>
    <s v="Espaly Plant                   FR06 0994"/>
    <n v="2944.22"/>
    <s v=""/>
  </r>
  <r>
    <x v="0"/>
    <x v="10"/>
    <s v="5300600"/>
    <s v="1410080446"/>
    <d v="2004-08-01T00:00:00"/>
    <s v=""/>
    <m/>
    <n v="2545.89"/>
    <n v="0"/>
    <x v="0"/>
    <x v="0"/>
    <s v="Espaly Plant                   FR06 0994"/>
    <n v="2545.89"/>
    <s v=""/>
  </r>
  <r>
    <x v="0"/>
    <x v="10"/>
    <s v="5300600"/>
    <s v="1410080713"/>
    <d v="2004-08-01T00:00:00"/>
    <s v=""/>
    <m/>
    <n v="4305.62"/>
    <n v="0"/>
    <x v="0"/>
    <x v="0"/>
    <s v="Espaly Plant                   FR06 0994"/>
    <n v="4305.62"/>
    <s v=""/>
  </r>
  <r>
    <x v="0"/>
    <x v="10"/>
    <s v="5300600"/>
    <s v="1410080450"/>
    <d v="2004-08-01T00:00:00"/>
    <s v=""/>
    <m/>
    <n v="1013.38"/>
    <n v="0"/>
    <x v="0"/>
    <x v="0"/>
    <s v="Espaly Plant                   FR06 0994"/>
    <n v="1013.38"/>
    <s v=""/>
  </r>
  <r>
    <x v="0"/>
    <x v="10"/>
    <s v="5300600"/>
    <s v="1410080424"/>
    <d v="2004-08-01T00:00:00"/>
    <s v=""/>
    <m/>
    <n v="2938.95"/>
    <n v="0"/>
    <x v="0"/>
    <x v="0"/>
    <s v="Espaly Plant                   FR06 0994"/>
    <n v="2938.95"/>
    <s v=""/>
  </r>
  <r>
    <x v="0"/>
    <x v="10"/>
    <s v="5300600"/>
    <s v="1410080470"/>
    <d v="2004-08-01T00:00:00"/>
    <s v=""/>
    <m/>
    <n v="1976.31"/>
    <n v="0"/>
    <x v="0"/>
    <x v="0"/>
    <s v="Espaly Plant                   FR06 0994"/>
    <n v="1976.31"/>
    <s v=""/>
  </r>
  <r>
    <x v="0"/>
    <x v="10"/>
    <s v="5300600"/>
    <s v="1410080330"/>
    <d v="2004-08-01T00:00:00"/>
    <s v=""/>
    <m/>
    <n v="228.97"/>
    <n v="0"/>
    <x v="0"/>
    <x v="0"/>
    <s v="Espaly Plant                   FR06 0994"/>
    <n v="228.97"/>
    <s v=""/>
  </r>
  <r>
    <x v="0"/>
    <x v="10"/>
    <s v="5300600"/>
    <s v="1410080329"/>
    <d v="2004-08-01T00:00:00"/>
    <s v=""/>
    <m/>
    <n v="1589.52"/>
    <n v="0"/>
    <x v="0"/>
    <x v="0"/>
    <s v="Espaly Plant                   FR06 0994"/>
    <n v="1589.52"/>
    <s v=""/>
  </r>
  <r>
    <x v="0"/>
    <x v="10"/>
    <s v="5300600"/>
    <s v="1410080995"/>
    <d v="2004-08-01T00:00:00"/>
    <s v=""/>
    <m/>
    <n v="455.66"/>
    <n v="0"/>
    <x v="0"/>
    <x v="0"/>
    <s v="Espaly Plant                   FR06 0994"/>
    <n v="455.66"/>
    <s v=""/>
  </r>
  <r>
    <x v="0"/>
    <x v="10"/>
    <s v="5300600"/>
    <s v="1410081106"/>
    <d v="2004-08-01T00:00:00"/>
    <s v=""/>
    <m/>
    <n v="290.35000000000002"/>
    <n v="0"/>
    <x v="0"/>
    <x v="0"/>
    <s v="Espaly Plant                   FR06 0994"/>
    <n v="290.35000000000002"/>
    <s v=""/>
  </r>
  <r>
    <x v="0"/>
    <x v="10"/>
    <s v="5300600"/>
    <s v="1410081107"/>
    <d v="2004-08-01T00:00:00"/>
    <s v=""/>
    <m/>
    <n v="1873.52"/>
    <n v="0"/>
    <x v="0"/>
    <x v="0"/>
    <s v="Espaly Plant                   FR06 0994"/>
    <n v="1873.52"/>
    <s v=""/>
  </r>
  <r>
    <x v="0"/>
    <x v="10"/>
    <s v="5300600"/>
    <s v="655558"/>
    <d v="2004-08-24T00:00:00"/>
    <s v=""/>
    <m/>
    <n v="-35875.65"/>
    <n v="0"/>
    <x v="0"/>
    <x v="0"/>
    <s v="Espaly Plant                   FR06 0994"/>
    <n v="-35875.65"/>
    <s v=""/>
  </r>
  <r>
    <x v="0"/>
    <x v="10"/>
    <s v="5300600"/>
    <s v="1410080561"/>
    <d v="2004-08-01T00:00:00"/>
    <s v=""/>
    <m/>
    <n v="6005.75"/>
    <n v="0"/>
    <x v="0"/>
    <x v="0"/>
    <s v="Espaly Plant                   FR06 0994"/>
    <n v="6005.75"/>
    <s v=""/>
  </r>
  <r>
    <x v="0"/>
    <x v="10"/>
    <s v="5300600"/>
    <s v="1410080541"/>
    <d v="2004-08-01T00:00:00"/>
    <s v=""/>
    <m/>
    <n v="93.92"/>
    <n v="0"/>
    <x v="0"/>
    <x v="0"/>
    <s v="Espaly Plant                   FR06 0994"/>
    <n v="93.92"/>
    <s v=""/>
  </r>
  <r>
    <x v="0"/>
    <x v="10"/>
    <s v="5300600"/>
    <s v="1410080876"/>
    <d v="2004-08-01T00:00:00"/>
    <s v=""/>
    <m/>
    <n v="355.27"/>
    <n v="0"/>
    <x v="0"/>
    <x v="0"/>
    <s v="Espaly Plant                   FR06 0994"/>
    <n v="355.27"/>
    <s v=""/>
  </r>
  <r>
    <x v="0"/>
    <x v="10"/>
    <s v="5300600"/>
    <s v="1410080877"/>
    <d v="2004-08-01T00:00:00"/>
    <s v=""/>
    <m/>
    <n v="553.63"/>
    <n v="0"/>
    <x v="0"/>
    <x v="0"/>
    <s v="Espaly Plant                   FR06 0994"/>
    <n v="553.63"/>
    <s v=""/>
  </r>
  <r>
    <x v="0"/>
    <x v="10"/>
    <s v="5200500"/>
    <s v=""/>
    <m/>
    <s v="2900001949"/>
    <d v="2019-01-29T00:00:00"/>
    <n v="0"/>
    <n v="64.16"/>
    <x v="4"/>
    <x v="2"/>
    <s v="Espaly Plant                   FR06 0994"/>
    <n v="64.16"/>
    <s v="0000028242"/>
  </r>
  <r>
    <x v="0"/>
    <x v="10"/>
    <s v="5200500"/>
    <s v=""/>
    <m/>
    <s v="2900001948"/>
    <d v="2019-01-29T00:00:00"/>
    <n v="0"/>
    <n v="2870.3"/>
    <x v="4"/>
    <x v="2"/>
    <s v="Espaly Plant                   FR06 0994"/>
    <n v="2870.3"/>
    <s v="0000028241"/>
  </r>
  <r>
    <x v="0"/>
    <x v="10"/>
    <s v="5200500"/>
    <s v=""/>
    <m/>
    <s v="2900001958"/>
    <d v="2019-01-29T00:00:00"/>
    <n v="0"/>
    <n v="-1390.58"/>
    <x v="4"/>
    <x v="2"/>
    <s v="Espaly Plant                   FR06 0994"/>
    <n v="-1390.58"/>
    <s v="0000028252"/>
  </r>
  <r>
    <x v="0"/>
    <x v="10"/>
    <s v="5200500"/>
    <s v=""/>
    <m/>
    <s v="2900000852"/>
    <d v="2019-01-14T00:00:00"/>
    <n v="0"/>
    <n v="1562.8"/>
    <x v="4"/>
    <x v="2"/>
    <s v="Espaly Plant                   FR06 0994"/>
    <n v="1562.8"/>
    <s v="0000028225"/>
  </r>
  <r>
    <x v="0"/>
    <x v="10"/>
    <s v="5200500"/>
    <s v=""/>
    <m/>
    <s v="2900000851"/>
    <d v="2019-01-14T00:00:00"/>
    <n v="0"/>
    <n v="402.89"/>
    <x v="4"/>
    <x v="2"/>
    <s v="Espaly Plant                   FR06 0994"/>
    <n v="402.89"/>
    <s v="0000028224"/>
  </r>
  <r>
    <x v="0"/>
    <x v="10"/>
    <s v="5200500"/>
    <s v=""/>
    <m/>
    <s v="2900000850"/>
    <d v="2019-01-14T00:00:00"/>
    <n v="0"/>
    <n v="4718.42"/>
    <x v="4"/>
    <x v="2"/>
    <s v="Espaly Plant                   FR06 0994"/>
    <n v="4718.42"/>
    <s v="0000028223"/>
  </r>
  <r>
    <x v="0"/>
    <x v="10"/>
    <s v="5200550"/>
    <s v=""/>
    <m/>
    <s v="600130"/>
    <d v="2019-01-30T00:00:00"/>
    <n v="0"/>
    <n v="2258"/>
    <x v="4"/>
    <x v="2"/>
    <s v="Espaly Plant                   FR06 0994"/>
    <n v="2258"/>
    <s v="RECHARGES FILIER"/>
  </r>
  <r>
    <x v="0"/>
    <x v="10"/>
    <s v="5200600"/>
    <s v=""/>
    <m/>
    <s v="2400020459"/>
    <d v="2004-05-18T00:00:00"/>
    <n v="0"/>
    <n v="-2938.95"/>
    <x v="4"/>
    <x v="1"/>
    <s v="Espaly Plant                   FR06 0994"/>
    <n v="-2938.95"/>
    <s v=""/>
  </r>
  <r>
    <x v="0"/>
    <x v="10"/>
    <s v="5200600"/>
    <s v=""/>
    <m/>
    <s v="2400020458"/>
    <d v="2004-05-18T00:00:00"/>
    <n v="0"/>
    <n v="-2944.22"/>
    <x v="4"/>
    <x v="1"/>
    <s v="Espaly Plant                   FR06 0994"/>
    <n v="-2944.22"/>
    <s v=""/>
  </r>
  <r>
    <x v="0"/>
    <x v="10"/>
    <s v="5200600"/>
    <s v=""/>
    <m/>
    <s v="2400020457"/>
    <d v="2004-05-18T00:00:00"/>
    <n v="0"/>
    <n v="-1722.24"/>
    <x v="4"/>
    <x v="1"/>
    <s v="Espaly Plant                   FR06 0994"/>
    <n v="-1722.24"/>
    <s v=""/>
  </r>
  <r>
    <x v="0"/>
    <x v="10"/>
    <s v="5200600"/>
    <s v=""/>
    <m/>
    <s v="2400020344"/>
    <d v="2004-05-06T00:00:00"/>
    <n v="0"/>
    <n v="-228.97"/>
    <x v="4"/>
    <x v="1"/>
    <s v="Espaly Plant                   FR06 0994"/>
    <n v="-228.97"/>
    <s v=""/>
  </r>
  <r>
    <x v="0"/>
    <x v="10"/>
    <s v="5200600"/>
    <s v=""/>
    <m/>
    <s v="2400021820"/>
    <d v="2004-07-08T00:00:00"/>
    <n v="0"/>
    <n v="-553.63"/>
    <x v="4"/>
    <x v="1"/>
    <s v="Espaly Plant                   FR06 0994"/>
    <n v="-553.63"/>
    <s v=""/>
  </r>
  <r>
    <x v="0"/>
    <x v="10"/>
    <s v="5200600"/>
    <s v=""/>
    <m/>
    <s v="2400021821"/>
    <d v="2004-07-08T00:00:00"/>
    <n v="0"/>
    <n v="-355.27"/>
    <x v="4"/>
    <x v="1"/>
    <s v="Espaly Plant                   FR06 0994"/>
    <n v="-355.27"/>
    <s v=""/>
  </r>
  <r>
    <x v="0"/>
    <x v="10"/>
    <s v="5200600"/>
    <s v=""/>
    <m/>
    <s v="2400021336"/>
    <d v="2004-06-24T00:00:00"/>
    <n v="0"/>
    <n v="-239.08"/>
    <x v="4"/>
    <x v="1"/>
    <s v="Espaly Plant                   FR06 0994"/>
    <n v="-239.08"/>
    <s v=""/>
  </r>
  <r>
    <x v="0"/>
    <x v="10"/>
    <s v="5200600"/>
    <s v=""/>
    <m/>
    <s v="2400020918"/>
    <d v="2004-06-10T00:00:00"/>
    <n v="0"/>
    <n v="-6005.75"/>
    <x v="4"/>
    <x v="1"/>
    <s v="Espaly Plant                   FR06 0994"/>
    <n v="-6005.75"/>
    <s v=""/>
  </r>
  <r>
    <x v="0"/>
    <x v="10"/>
    <s v="5200600"/>
    <s v=""/>
    <m/>
    <s v="2400020919"/>
    <d v="2004-06-10T00:00:00"/>
    <n v="0"/>
    <n v="-4305.62"/>
    <x v="4"/>
    <x v="1"/>
    <s v="Espaly Plant                   FR06 0994"/>
    <n v="-4305.62"/>
    <s v=""/>
  </r>
  <r>
    <x v="0"/>
    <x v="10"/>
    <s v="5200600"/>
    <s v=""/>
    <m/>
    <s v="2400020920"/>
    <d v="2004-06-10T00:00:00"/>
    <n v="0"/>
    <n v="-93.92"/>
    <x v="4"/>
    <x v="1"/>
    <s v="Espaly Plant                   FR06 0994"/>
    <n v="-93.92"/>
    <s v=""/>
  </r>
  <r>
    <x v="0"/>
    <x v="10"/>
    <s v="5200600"/>
    <s v=""/>
    <m/>
    <s v="2400021069"/>
    <d v="2004-06-14T00:00:00"/>
    <n v="0"/>
    <n v="-3470.79"/>
    <x v="4"/>
    <x v="1"/>
    <s v="Espaly Plant                   FR06 0994"/>
    <n v="-3470.79"/>
    <s v=""/>
  </r>
  <r>
    <x v="0"/>
    <x v="10"/>
    <s v="5200600"/>
    <s v=""/>
    <m/>
    <s v="2400020343"/>
    <d v="2004-05-06T00:00:00"/>
    <n v="0"/>
    <n v="-1589.52"/>
    <x v="4"/>
    <x v="1"/>
    <s v="Espaly Plant                   FR06 0994"/>
    <n v="-1589.52"/>
    <s v=""/>
  </r>
  <r>
    <x v="0"/>
    <x v="10"/>
    <s v="5200600"/>
    <s v=""/>
    <m/>
    <s v="2400020460"/>
    <d v="2004-05-18T00:00:00"/>
    <n v="0"/>
    <n v="-108.19"/>
    <x v="4"/>
    <x v="1"/>
    <s v="Espaly Plant                   FR06 0994"/>
    <n v="-108.19"/>
    <s v=""/>
  </r>
  <r>
    <x v="0"/>
    <x v="10"/>
    <s v="5200600"/>
    <s v=""/>
    <m/>
    <s v="2400021518"/>
    <d v="2004-07-01T00:00:00"/>
    <n v="0"/>
    <n v="-486.5"/>
    <x v="4"/>
    <x v="1"/>
    <s v="Espaly Plant                   FR06 0994"/>
    <n v="-486.5"/>
    <s v=""/>
  </r>
  <r>
    <x v="0"/>
    <x v="10"/>
    <s v="5200600"/>
    <s v=""/>
    <m/>
    <s v="2400020539"/>
    <d v="2004-05-26T00:00:00"/>
    <n v="0"/>
    <n v="-1013.38"/>
    <x v="4"/>
    <x v="1"/>
    <s v="Espaly Plant                   FR06 0994"/>
    <n v="-1013.38"/>
    <s v=""/>
  </r>
  <r>
    <x v="0"/>
    <x v="10"/>
    <s v="5200600"/>
    <s v=""/>
    <m/>
    <s v="2400020540"/>
    <d v="2004-05-26T00:00:00"/>
    <n v="0"/>
    <n v="-50.96"/>
    <x v="4"/>
    <x v="1"/>
    <s v="Espaly Plant                   FR06 0994"/>
    <n v="-50.96"/>
    <s v=""/>
  </r>
  <r>
    <x v="0"/>
    <x v="10"/>
    <s v="5200600"/>
    <s v=""/>
    <m/>
    <s v="2400022139"/>
    <d v="2004-07-15T00:00:00"/>
    <n v="0"/>
    <n v="-1003.59"/>
    <x v="4"/>
    <x v="1"/>
    <s v="Espaly Plant                   FR06 0994"/>
    <n v="-1003.59"/>
    <s v=""/>
  </r>
  <r>
    <x v="0"/>
    <x v="10"/>
    <s v="5200600"/>
    <s v=""/>
    <m/>
    <s v="602222"/>
    <d v="2004-08-24T00:00:00"/>
    <n v="0"/>
    <n v="37467.760000000002"/>
    <x v="4"/>
    <x v="1"/>
    <s v="Espaly Plant                   FR06 0994"/>
    <n v="37467.760000000002"/>
    <s v=""/>
  </r>
  <r>
    <x v="0"/>
    <x v="10"/>
    <s v="5200600"/>
    <s v=""/>
    <m/>
    <s v="2400022140"/>
    <d v="2004-07-15T00:00:00"/>
    <n v="0"/>
    <n v="-455.66"/>
    <x v="4"/>
    <x v="1"/>
    <s v="Espaly Plant                   FR06 0994"/>
    <n v="-455.66"/>
    <s v=""/>
  </r>
  <r>
    <x v="0"/>
    <x v="10"/>
    <s v="5200600"/>
    <s v=""/>
    <m/>
    <s v="2400020640"/>
    <d v="2004-06-03T00:00:00"/>
    <n v="0"/>
    <n v="-1976.31"/>
    <x v="4"/>
    <x v="1"/>
    <s v="Espaly Plant                   FR06 0994"/>
    <n v="-1976.31"/>
    <s v=""/>
  </r>
  <r>
    <x v="0"/>
    <x v="10"/>
    <s v="5200600"/>
    <s v=""/>
    <m/>
    <s v="2400022971"/>
    <d v="2004-07-28T00:00:00"/>
    <n v="0"/>
    <n v="-102.37"/>
    <x v="4"/>
    <x v="1"/>
    <s v="Espaly Plant                   FR06 0994"/>
    <n v="-102.37"/>
    <s v=""/>
  </r>
  <r>
    <x v="0"/>
    <x v="10"/>
    <s v="5200600"/>
    <s v=""/>
    <m/>
    <s v="2400022968"/>
    <d v="2004-07-28T00:00:00"/>
    <n v="0"/>
    <n v="-764.16"/>
    <x v="4"/>
    <x v="1"/>
    <s v="Espaly Plant                   FR06 0994"/>
    <n v="-764.16"/>
    <s v=""/>
  </r>
  <r>
    <x v="0"/>
    <x v="10"/>
    <s v="5200600"/>
    <s v=""/>
    <m/>
    <s v="2400020626"/>
    <d v="2004-06-01T00:00:00"/>
    <n v="0"/>
    <n v="-2545.89"/>
    <x v="4"/>
    <x v="1"/>
    <s v="Espaly Plant                   FR06 0994"/>
    <n v="-2545.89"/>
    <s v=""/>
  </r>
  <r>
    <x v="0"/>
    <x v="10"/>
    <s v="5200600"/>
    <s v=""/>
    <m/>
    <s v="2400021122"/>
    <d v="2004-06-17T00:00:00"/>
    <n v="0"/>
    <n v="-2348.92"/>
    <x v="4"/>
    <x v="1"/>
    <s v="Espaly Plant                   FR06 0994"/>
    <n v="-2348.92"/>
    <s v=""/>
  </r>
  <r>
    <x v="0"/>
    <x v="10"/>
    <s v="5200600"/>
    <s v=""/>
    <m/>
    <s v="2400022440"/>
    <d v="2004-07-22T00:00:00"/>
    <n v="0"/>
    <n v="-290.35000000000002"/>
    <x v="4"/>
    <x v="1"/>
    <s v="Espaly Plant                   FR06 0994"/>
    <n v="-290.35000000000002"/>
    <s v=""/>
  </r>
  <r>
    <x v="0"/>
    <x v="10"/>
    <s v="5200600"/>
    <s v=""/>
    <m/>
    <s v="2400022439"/>
    <d v="2004-07-22T00:00:00"/>
    <n v="0"/>
    <n v="-1873.52"/>
    <x v="4"/>
    <x v="1"/>
    <s v="Espaly Plant                   FR06 0994"/>
    <n v="-1873.52"/>
    <s v=""/>
  </r>
  <r>
    <x v="0"/>
    <x v="10"/>
    <s v="5300500"/>
    <s v=""/>
    <m/>
    <s v="1400000128"/>
    <d v="2019-01-21T00:00:00"/>
    <n v="0"/>
    <n v="-2589.7399999999998"/>
    <x v="4"/>
    <x v="2"/>
    <s v="Espaly Plant                   FR06 0994"/>
    <n v="-2589.7399999999998"/>
    <s v="0321302"/>
  </r>
  <r>
    <x v="0"/>
    <x v="10"/>
    <s v="5300550"/>
    <s v=""/>
    <m/>
    <s v="600094"/>
    <d v="2008-01-25T00:00:00"/>
    <n v="0"/>
    <n v="0"/>
    <x v="4"/>
    <x v="8"/>
    <s v="Espaly Plant                   FR06 0994"/>
    <n v="0"/>
    <s v=""/>
  </r>
  <r>
    <x v="0"/>
    <x v="10"/>
    <s v="5300600"/>
    <s v=""/>
    <m/>
    <s v="1410050035"/>
    <d v="2004-08-01T00:00:00"/>
    <n v="0"/>
    <n v="7008.39"/>
    <x v="4"/>
    <x v="1"/>
    <s v="Espaly Plant                   FR06 0994"/>
    <n v="7008.39"/>
    <s v=""/>
  </r>
  <r>
    <x v="0"/>
    <x v="10"/>
    <s v="5300600"/>
    <s v=""/>
    <m/>
    <s v="602222"/>
    <d v="2004-08-24T00:00:00"/>
    <n v="0"/>
    <n v="-7008.39"/>
    <x v="4"/>
    <x v="1"/>
    <s v="Espaly Plant                   FR06 0994"/>
    <n v="-7008.39"/>
    <s v=""/>
  </r>
  <r>
    <x v="1"/>
    <x v="10"/>
    <s v=""/>
    <s v=""/>
    <m/>
    <s v=""/>
    <m/>
    <n v="8020.55"/>
    <n v="7896.25"/>
    <x v="4"/>
    <x v="0"/>
    <s v=""/>
    <n v="15916.8"/>
    <s v=""/>
  </r>
  <r>
    <x v="0"/>
    <x v="11"/>
    <s v="5200500"/>
    <s v="2900002223"/>
    <d v="2019-01-25T00:00:00"/>
    <s v=""/>
    <m/>
    <n v="276.94"/>
    <n v="0"/>
    <x v="8"/>
    <x v="0"/>
    <s v="Chalon Plant                   FR03 0995"/>
    <n v="276.94"/>
    <s v="0321685"/>
  </r>
  <r>
    <x v="0"/>
    <x v="11"/>
    <s v="5200500"/>
    <s v="2900002222"/>
    <d v="2019-01-25T00:00:00"/>
    <s v=""/>
    <m/>
    <n v="138.47"/>
    <n v="0"/>
    <x v="8"/>
    <x v="0"/>
    <s v="Chalon Plant                   FR03 0995"/>
    <n v="138.47"/>
    <s v="0321684"/>
  </r>
  <r>
    <x v="0"/>
    <x v="11"/>
    <s v="5200500"/>
    <s v="2900002090"/>
    <d v="2019-01-24T00:00:00"/>
    <s v=""/>
    <m/>
    <n v="-5386.9"/>
    <n v="0"/>
    <x v="8"/>
    <x v="0"/>
    <s v="Chalon Plant                   FR03 0995"/>
    <n v="-5386.9"/>
    <s v="0913435"/>
  </r>
  <r>
    <x v="0"/>
    <x v="11"/>
    <s v="5200500"/>
    <s v="2900001960"/>
    <d v="2019-01-23T00:00:00"/>
    <s v=""/>
    <m/>
    <n v="138.47"/>
    <n v="0"/>
    <x v="8"/>
    <x v="0"/>
    <s v="Chalon Plant                   FR03 0995"/>
    <n v="138.47"/>
    <s v="0321578"/>
  </r>
  <r>
    <x v="0"/>
    <x v="11"/>
    <s v="5200500"/>
    <s v="2900001959"/>
    <d v="2019-01-23T00:00:00"/>
    <s v=""/>
    <m/>
    <n v="138.47"/>
    <n v="0"/>
    <x v="8"/>
    <x v="0"/>
    <s v="Chalon Plant                   FR03 0995"/>
    <n v="138.47"/>
    <s v="0321577"/>
  </r>
  <r>
    <x v="0"/>
    <x v="11"/>
    <s v="5200500"/>
    <s v="2900001594"/>
    <d v="2019-01-18T00:00:00"/>
    <s v=""/>
    <m/>
    <n v="138.47"/>
    <n v="0"/>
    <x v="8"/>
    <x v="0"/>
    <s v="Chalon Plant                   FR03 0995"/>
    <n v="138.47"/>
    <s v="0321482"/>
  </r>
  <r>
    <x v="0"/>
    <x v="11"/>
    <s v="5200500"/>
    <s v="2900001591"/>
    <d v="2019-01-18T00:00:00"/>
    <s v=""/>
    <m/>
    <n v="138.47"/>
    <n v="0"/>
    <x v="8"/>
    <x v="0"/>
    <s v="Chalon Plant                   FR03 0995"/>
    <n v="138.47"/>
    <s v="0321479"/>
  </r>
  <r>
    <x v="0"/>
    <x v="11"/>
    <s v="5200500"/>
    <s v="2900001590"/>
    <d v="2019-01-18T00:00:00"/>
    <s v=""/>
    <m/>
    <n v="138.47"/>
    <n v="0"/>
    <x v="8"/>
    <x v="0"/>
    <s v="Chalon Plant                   FR03 0995"/>
    <n v="138.47"/>
    <s v="0321478"/>
  </r>
  <r>
    <x v="0"/>
    <x v="11"/>
    <s v="5200500"/>
    <s v="2900001592"/>
    <d v="2019-01-18T00:00:00"/>
    <s v=""/>
    <m/>
    <n v="276.94"/>
    <n v="0"/>
    <x v="8"/>
    <x v="0"/>
    <s v="Chalon Plant                   FR03 0995"/>
    <n v="276.94"/>
    <s v="0321480"/>
  </r>
  <r>
    <x v="0"/>
    <x v="11"/>
    <s v="5200500"/>
    <s v="2900001593"/>
    <d v="2019-01-18T00:00:00"/>
    <s v=""/>
    <m/>
    <n v="138.47"/>
    <n v="0"/>
    <x v="8"/>
    <x v="0"/>
    <s v="Chalon Plant                   FR03 0995"/>
    <n v="138.47"/>
    <s v="0321481"/>
  </r>
  <r>
    <x v="0"/>
    <x v="11"/>
    <s v="5200500"/>
    <s v="2900001297"/>
    <d v="2019-01-16T00:00:00"/>
    <s v=""/>
    <m/>
    <n v="219.3"/>
    <n v="0"/>
    <x v="8"/>
    <x v="0"/>
    <s v="Chalon Plant                   FR03 0995"/>
    <n v="219.3"/>
    <s v="0321366"/>
  </r>
  <r>
    <x v="0"/>
    <x v="11"/>
    <s v="5200500"/>
    <s v="2900001082"/>
    <d v="2019-01-14T00:00:00"/>
    <s v=""/>
    <m/>
    <n v="32.11"/>
    <n v="0"/>
    <x v="8"/>
    <x v="0"/>
    <s v="Chalon Plant                   FR03 0995"/>
    <n v="32.11"/>
    <s v="0321301"/>
  </r>
  <r>
    <x v="0"/>
    <x v="11"/>
    <s v="5200500"/>
    <s v="2900000976"/>
    <d v="2019-01-11T00:00:00"/>
    <s v=""/>
    <m/>
    <n v="138.47"/>
    <n v="0"/>
    <x v="8"/>
    <x v="0"/>
    <s v="Chalon Plant                   FR03 0995"/>
    <n v="138.47"/>
    <s v="0321264"/>
  </r>
  <r>
    <x v="0"/>
    <x v="11"/>
    <s v="5200500"/>
    <s v="2900000977"/>
    <d v="2019-01-11T00:00:00"/>
    <s v=""/>
    <m/>
    <n v="138.47"/>
    <n v="0"/>
    <x v="8"/>
    <x v="0"/>
    <s v="Chalon Plant                   FR03 0995"/>
    <n v="138.47"/>
    <s v="0321265"/>
  </r>
  <r>
    <x v="0"/>
    <x v="11"/>
    <s v="5200500"/>
    <s v="2900000833"/>
    <d v="2019-01-10T00:00:00"/>
    <s v=""/>
    <m/>
    <n v="138.47"/>
    <n v="0"/>
    <x v="8"/>
    <x v="0"/>
    <s v="Chalon Plant                   FR03 0995"/>
    <n v="138.47"/>
    <s v="0321210"/>
  </r>
  <r>
    <x v="0"/>
    <x v="11"/>
    <s v="5200500"/>
    <s v="2900000832"/>
    <d v="2019-01-10T00:00:00"/>
    <s v=""/>
    <m/>
    <n v="138.47"/>
    <n v="0"/>
    <x v="8"/>
    <x v="0"/>
    <s v="Chalon Plant                   FR03 0995"/>
    <n v="138.47"/>
    <s v="0321209"/>
  </r>
  <r>
    <x v="0"/>
    <x v="11"/>
    <s v="5200500"/>
    <s v="2900000834"/>
    <d v="2019-01-10T00:00:00"/>
    <s v=""/>
    <m/>
    <n v="138.47"/>
    <n v="0"/>
    <x v="8"/>
    <x v="0"/>
    <s v="Chalon Plant                   FR03 0995"/>
    <n v="138.47"/>
    <s v="0321211"/>
  </r>
  <r>
    <x v="0"/>
    <x v="11"/>
    <s v="5200500"/>
    <s v="2800027501"/>
    <d v="2018-12-06T00:00:00"/>
    <s v=""/>
    <m/>
    <n v="73.73"/>
    <n v="0"/>
    <x v="9"/>
    <x v="0"/>
    <s v="Chalon Plant                   FR03 0995"/>
    <n v="73.73"/>
    <s v="0320421"/>
  </r>
  <r>
    <x v="0"/>
    <x v="11"/>
    <s v="5200600"/>
    <s v="2400020320"/>
    <d v="2004-05-05T00:00:00"/>
    <s v=""/>
    <m/>
    <n v="-1992.75"/>
    <n v="0"/>
    <x v="0"/>
    <x v="0"/>
    <s v="Chalon Plant                   FR03 0995"/>
    <n v="-1992.75"/>
    <s v=""/>
  </r>
  <r>
    <x v="0"/>
    <x v="11"/>
    <s v="5200600"/>
    <s v="2400021583"/>
    <d v="2004-06-21T00:00:00"/>
    <s v=""/>
    <m/>
    <n v="-335.72"/>
    <n v="0"/>
    <x v="0"/>
    <x v="0"/>
    <s v="Chalon Plant                   FR03 0995"/>
    <n v="-335.72"/>
    <s v=""/>
  </r>
  <r>
    <x v="0"/>
    <x v="11"/>
    <s v="5200600"/>
    <s v="2400022558"/>
    <d v="2004-07-07T00:00:00"/>
    <s v=""/>
    <m/>
    <n v="-3394.32"/>
    <n v="0"/>
    <x v="0"/>
    <x v="0"/>
    <s v="Chalon Plant                   FR03 0995"/>
    <n v="-3394.32"/>
    <s v=""/>
  </r>
  <r>
    <x v="0"/>
    <x v="11"/>
    <s v="5200600"/>
    <s v="2400022645"/>
    <d v="2004-07-08T00:00:00"/>
    <s v=""/>
    <m/>
    <n v="-7548.85"/>
    <n v="0"/>
    <x v="0"/>
    <x v="0"/>
    <s v="Chalon Plant                   FR03 0995"/>
    <n v="-7548.85"/>
    <s v=""/>
  </r>
  <r>
    <x v="0"/>
    <x v="11"/>
    <s v="5200600"/>
    <s v="2400022781"/>
    <d v="2004-07-09T00:00:00"/>
    <s v=""/>
    <m/>
    <n v="-6330.6"/>
    <n v="0"/>
    <x v="0"/>
    <x v="0"/>
    <s v="Chalon Plant                   FR03 0995"/>
    <n v="-6330.6"/>
    <s v=""/>
  </r>
  <r>
    <x v="0"/>
    <x v="11"/>
    <s v="5200600"/>
    <s v="2400022880"/>
    <d v="2004-07-12T00:00:00"/>
    <s v=""/>
    <m/>
    <n v="-8799.57"/>
    <n v="0"/>
    <x v="0"/>
    <x v="0"/>
    <s v="Chalon Plant                   FR03 0995"/>
    <n v="-8799.57"/>
    <s v=""/>
  </r>
  <r>
    <x v="0"/>
    <x v="11"/>
    <s v="5200600"/>
    <s v="2400023470"/>
    <d v="2004-07-20T00:00:00"/>
    <s v=""/>
    <m/>
    <n v="-1799.68"/>
    <n v="0"/>
    <x v="0"/>
    <x v="0"/>
    <s v="Chalon Plant                   FR03 0995"/>
    <n v="-1799.68"/>
    <s v=""/>
  </r>
  <r>
    <x v="0"/>
    <x v="11"/>
    <s v="5200600"/>
    <s v="2400023702"/>
    <d v="2004-07-22T00:00:00"/>
    <s v=""/>
    <m/>
    <n v="-1948.54"/>
    <n v="0"/>
    <x v="0"/>
    <x v="0"/>
    <s v="Chalon Plant                   FR03 0995"/>
    <n v="-1948.54"/>
    <s v=""/>
  </r>
  <r>
    <x v="0"/>
    <x v="11"/>
    <s v="5200600"/>
    <s v="2400023804"/>
    <d v="2004-07-23T00:00:00"/>
    <s v=""/>
    <m/>
    <n v="-12175.35"/>
    <n v="0"/>
    <x v="0"/>
    <x v="0"/>
    <s v="Chalon Plant                   FR03 0995"/>
    <n v="-12175.35"/>
    <s v=""/>
  </r>
  <r>
    <x v="0"/>
    <x v="11"/>
    <s v="5200600"/>
    <s v="2400023920"/>
    <d v="2004-07-26T00:00:00"/>
    <s v=""/>
    <m/>
    <n v="-12152.51"/>
    <n v="0"/>
    <x v="0"/>
    <x v="0"/>
    <s v="Chalon Plant                   FR03 0995"/>
    <n v="-12152.51"/>
    <s v=""/>
  </r>
  <r>
    <x v="0"/>
    <x v="11"/>
    <s v="5200600"/>
    <s v="2400023946"/>
    <d v="2004-07-26T00:00:00"/>
    <s v=""/>
    <m/>
    <n v="205.66"/>
    <n v="0"/>
    <x v="0"/>
    <x v="0"/>
    <s v="Chalon Plant                   FR03 0995"/>
    <n v="205.66"/>
    <s v=""/>
  </r>
  <r>
    <x v="0"/>
    <x v="11"/>
    <s v="5200600"/>
    <s v="2400024060"/>
    <d v="2004-07-27T00:00:00"/>
    <s v=""/>
    <m/>
    <n v="-93.06"/>
    <n v="0"/>
    <x v="0"/>
    <x v="0"/>
    <s v="Chalon Plant                   FR03 0995"/>
    <n v="-93.06"/>
    <s v=""/>
  </r>
  <r>
    <x v="0"/>
    <x v="11"/>
    <s v="5200600"/>
    <s v="655558"/>
    <d v="2004-08-24T00:00:00"/>
    <s v=""/>
    <m/>
    <n v="56365.29"/>
    <n v="0"/>
    <x v="0"/>
    <x v="0"/>
    <s v="Chalon Plant                   FR03 0995"/>
    <n v="56365.29"/>
    <s v=""/>
  </r>
  <r>
    <x v="0"/>
    <x v="11"/>
    <s v="5300500"/>
    <s v="1400000276"/>
    <d v="2019-01-28T00:00:00"/>
    <s v=""/>
    <m/>
    <n v="-3854.87"/>
    <n v="0"/>
    <x v="8"/>
    <x v="0"/>
    <s v="Chalon Plant                   FR03 0995"/>
    <n v="-3854.87"/>
    <s v="0768214"/>
  </r>
  <r>
    <x v="0"/>
    <x v="11"/>
    <s v="5300500"/>
    <s v="1400000273"/>
    <d v="2019-01-28T00:00:00"/>
    <s v=""/>
    <m/>
    <n v="-1177.0999999999999"/>
    <n v="0"/>
    <x v="8"/>
    <x v="0"/>
    <s v="Chalon Plant                   FR03 0995"/>
    <n v="-1177.0999999999999"/>
    <s v="0768211"/>
  </r>
  <r>
    <x v="0"/>
    <x v="11"/>
    <s v="5300500"/>
    <s v="1400000272"/>
    <d v="2019-01-28T00:00:00"/>
    <s v=""/>
    <m/>
    <n v="-916.85"/>
    <n v="0"/>
    <x v="8"/>
    <x v="0"/>
    <s v="Chalon Plant                   FR03 0995"/>
    <n v="-916.85"/>
    <s v="0768213"/>
  </r>
  <r>
    <x v="0"/>
    <x v="11"/>
    <s v="5300500"/>
    <s v="1400000274"/>
    <d v="2019-01-28T00:00:00"/>
    <s v=""/>
    <m/>
    <n v="-3063.19"/>
    <n v="0"/>
    <x v="8"/>
    <x v="0"/>
    <s v="Chalon Plant                   FR03 0995"/>
    <n v="-3063.19"/>
    <s v="0768212"/>
  </r>
  <r>
    <x v="0"/>
    <x v="11"/>
    <s v="5300500"/>
    <s v="1400000271"/>
    <d v="2019-01-28T00:00:00"/>
    <s v=""/>
    <m/>
    <n v="-2611.61"/>
    <n v="0"/>
    <x v="8"/>
    <x v="0"/>
    <s v="Chalon Plant                   FR03 0995"/>
    <n v="-2611.61"/>
    <s v="0768210"/>
  </r>
  <r>
    <x v="0"/>
    <x v="11"/>
    <s v="5300500"/>
    <s v="1400000283"/>
    <d v="2019-01-28T00:00:00"/>
    <s v=""/>
    <m/>
    <n v="-13478.4"/>
    <n v="0"/>
    <x v="8"/>
    <x v="0"/>
    <s v="Chalon Plant                   FR03 0995"/>
    <n v="-13478.4"/>
    <s v="0768348"/>
  </r>
  <r>
    <x v="0"/>
    <x v="11"/>
    <s v="5300500"/>
    <s v="1400000090"/>
    <d v="2019-01-15T00:00:00"/>
    <s v=""/>
    <m/>
    <n v="-12856.32"/>
    <n v="0"/>
    <x v="8"/>
    <x v="0"/>
    <s v="Chalon Plant                   FR03 0995"/>
    <n v="-12856.32"/>
    <s v="0767786"/>
  </r>
  <r>
    <x v="0"/>
    <x v="11"/>
    <s v="5300550"/>
    <s v="602197"/>
    <d v="2007-05-21T00:00:00"/>
    <s v=""/>
    <m/>
    <n v="8773.16"/>
    <n v="0"/>
    <x v="3"/>
    <x v="0"/>
    <s v="Chalon Plant                   FR03 0995"/>
    <n v="8773.16"/>
    <s v=""/>
  </r>
  <r>
    <x v="0"/>
    <x v="11"/>
    <s v="5300550"/>
    <s v="600550"/>
    <d v="2019-01-31T00:00:00"/>
    <s v=""/>
    <m/>
    <n v="-221.88"/>
    <n v="0"/>
    <x v="8"/>
    <x v="0"/>
    <s v="Chalon Plant                   FR03 0995"/>
    <n v="-221.88"/>
    <s v="AJUST PROV INTER"/>
  </r>
  <r>
    <x v="0"/>
    <x v="11"/>
    <s v="5300550"/>
    <s v="600496"/>
    <d v="2019-01-30T00:00:00"/>
    <s v=""/>
    <m/>
    <n v="-2273.59"/>
    <n v="0"/>
    <x v="8"/>
    <x v="0"/>
    <s v="Chalon Plant                   FR03 0995"/>
    <n v="-2273.59"/>
    <s v="FRAIS FILIERES E"/>
  </r>
  <r>
    <x v="0"/>
    <x v="11"/>
    <s v="5300550"/>
    <s v="600495"/>
    <d v="2019-01-30T00:00:00"/>
    <s v=""/>
    <m/>
    <n v="-588.30999999999995"/>
    <n v="0"/>
    <x v="8"/>
    <x v="0"/>
    <s v="Chalon Plant                   FR03 0995"/>
    <n v="-588.30999999999995"/>
    <s v="FRAIS FILIERES V"/>
  </r>
  <r>
    <x v="0"/>
    <x v="11"/>
    <s v="5300600"/>
    <s v="1410080072"/>
    <d v="2004-08-01T00:00:00"/>
    <s v=""/>
    <m/>
    <n v="425.92"/>
    <n v="0"/>
    <x v="0"/>
    <x v="0"/>
    <s v="Chalon Plant                   FR03 0995"/>
    <n v="425.92"/>
    <s v=""/>
  </r>
  <r>
    <x v="0"/>
    <x v="11"/>
    <s v="5300600"/>
    <s v="655558"/>
    <d v="2004-08-24T00:00:00"/>
    <s v=""/>
    <m/>
    <n v="-3116.74"/>
    <n v="0"/>
    <x v="0"/>
    <x v="0"/>
    <s v="Chalon Plant                   FR03 0995"/>
    <n v="-3116.74"/>
    <s v=""/>
  </r>
  <r>
    <x v="0"/>
    <x v="11"/>
    <s v="5300600"/>
    <s v="1410080211"/>
    <d v="2004-08-01T00:00:00"/>
    <s v=""/>
    <m/>
    <n v="1829.7"/>
    <n v="0"/>
    <x v="0"/>
    <x v="0"/>
    <s v="Chalon Plant                   FR03 0995"/>
    <n v="1829.7"/>
    <s v=""/>
  </r>
  <r>
    <x v="0"/>
    <x v="11"/>
    <s v="5300600"/>
    <s v="1410081112"/>
    <d v="2004-08-01T00:00:00"/>
    <s v=""/>
    <m/>
    <n v="861.12"/>
    <n v="0"/>
    <x v="0"/>
    <x v="0"/>
    <s v="Chalon Plant                   FR03 0995"/>
    <n v="861.12"/>
    <s v=""/>
  </r>
  <r>
    <x v="0"/>
    <x v="11"/>
    <s v="5200500"/>
    <s v=""/>
    <m/>
    <s v="2800025427"/>
    <d v="2018-08-21T00:00:00"/>
    <n v="0"/>
    <n v="-1788.96"/>
    <x v="4"/>
    <x v="6"/>
    <s v="Chalon Plant                   FR03 0995"/>
    <n v="-1788.96"/>
    <s v="1000167"/>
  </r>
  <r>
    <x v="0"/>
    <x v="11"/>
    <s v="5200500"/>
    <s v=""/>
    <m/>
    <s v="2800025426"/>
    <d v="2018-08-21T00:00:00"/>
    <n v="0"/>
    <n v="-831.06"/>
    <x v="4"/>
    <x v="6"/>
    <s v="Chalon Plant                   FR03 0995"/>
    <n v="-831.06"/>
    <s v="1000166"/>
  </r>
  <r>
    <x v="0"/>
    <x v="11"/>
    <s v="5200500"/>
    <s v=""/>
    <m/>
    <s v="2800025301"/>
    <d v="2018-08-20T00:00:00"/>
    <n v="0"/>
    <n v="831.06"/>
    <x v="4"/>
    <x v="6"/>
    <s v="Chalon Plant                   FR03 0995"/>
    <n v="831.06"/>
    <s v="0756380"/>
  </r>
  <r>
    <x v="0"/>
    <x v="11"/>
    <s v="5200500"/>
    <s v=""/>
    <m/>
    <s v="2800025300"/>
    <d v="2018-08-20T00:00:00"/>
    <n v="0"/>
    <n v="1788.96"/>
    <x v="4"/>
    <x v="6"/>
    <s v="Chalon Plant                   FR03 0995"/>
    <n v="1788.96"/>
    <s v="0756379"/>
  </r>
  <r>
    <x v="0"/>
    <x v="11"/>
    <s v="5200500"/>
    <s v=""/>
    <m/>
    <s v="2900001150"/>
    <d v="2019-01-11T00:00:00"/>
    <n v="0"/>
    <n v="12856.32"/>
    <x v="4"/>
    <x v="2"/>
    <s v="Chalon Plant                   FR03 0995"/>
    <n v="12856.32"/>
    <s v="0767786"/>
  </r>
  <r>
    <x v="0"/>
    <x v="11"/>
    <s v="5200500"/>
    <s v=""/>
    <m/>
    <s v="2900001742"/>
    <d v="2019-01-17T00:00:00"/>
    <n v="0"/>
    <n v="3063.19"/>
    <x v="4"/>
    <x v="2"/>
    <s v="Chalon Plant                   FR03 0995"/>
    <n v="3063.19"/>
    <s v="0768212"/>
  </r>
  <r>
    <x v="0"/>
    <x v="11"/>
    <s v="5200500"/>
    <s v=""/>
    <m/>
    <s v="2900001741"/>
    <d v="2019-01-17T00:00:00"/>
    <n v="0"/>
    <n v="1177.0999999999999"/>
    <x v="4"/>
    <x v="2"/>
    <s v="Chalon Plant                   FR03 0995"/>
    <n v="1177.0999999999999"/>
    <s v="0768211"/>
  </r>
  <r>
    <x v="0"/>
    <x v="11"/>
    <s v="5200500"/>
    <s v=""/>
    <m/>
    <s v="2900001743"/>
    <d v="2019-01-17T00:00:00"/>
    <n v="0"/>
    <n v="916.85"/>
    <x v="4"/>
    <x v="2"/>
    <s v="Chalon Plant                   FR03 0995"/>
    <n v="916.85"/>
    <s v="0768213"/>
  </r>
  <r>
    <x v="0"/>
    <x v="11"/>
    <s v="5200500"/>
    <s v=""/>
    <m/>
    <s v="2900001744"/>
    <d v="2019-01-17T00:00:00"/>
    <n v="0"/>
    <n v="3854.87"/>
    <x v="4"/>
    <x v="2"/>
    <s v="Chalon Plant                   FR03 0995"/>
    <n v="3854.87"/>
    <s v="0768214"/>
  </r>
  <r>
    <x v="0"/>
    <x v="11"/>
    <s v="5200500"/>
    <s v=""/>
    <m/>
    <s v="2900001740"/>
    <d v="2019-01-17T00:00:00"/>
    <n v="0"/>
    <n v="2611.61"/>
    <x v="4"/>
    <x v="2"/>
    <s v="Chalon Plant                   FR03 0995"/>
    <n v="2611.61"/>
    <s v="0768210"/>
  </r>
  <r>
    <x v="0"/>
    <x v="11"/>
    <s v="5200500"/>
    <s v=""/>
    <m/>
    <s v="2900001908"/>
    <d v="2019-01-18T00:00:00"/>
    <n v="0"/>
    <n v="13478.4"/>
    <x v="4"/>
    <x v="2"/>
    <s v="Chalon Plant                   FR03 0995"/>
    <n v="13478.4"/>
    <s v="0768348"/>
  </r>
  <r>
    <x v="0"/>
    <x v="11"/>
    <s v="5200550"/>
    <s v=""/>
    <m/>
    <s v="600154"/>
    <d v="2019-01-30T00:00:00"/>
    <n v="0"/>
    <n v="588.30999999999995"/>
    <x v="4"/>
    <x v="2"/>
    <s v="Chalon Plant                   FR03 0995"/>
    <n v="588.30999999999995"/>
    <s v="FRAIS FILIERES V"/>
  </r>
  <r>
    <x v="0"/>
    <x v="11"/>
    <s v="5200550"/>
    <s v=""/>
    <m/>
    <s v="600155"/>
    <d v="2019-01-30T00:00:00"/>
    <n v="0"/>
    <n v="2273.59"/>
    <x v="4"/>
    <x v="2"/>
    <s v="Chalon Plant                   FR03 0995"/>
    <n v="2273.59"/>
    <s v="FRAIS FILIERES E"/>
  </r>
  <r>
    <x v="0"/>
    <x v="11"/>
    <s v="5200550"/>
    <s v=""/>
    <m/>
    <s v="1400000021"/>
    <d v="2019-01-07T00:00:00"/>
    <n v="0"/>
    <n v="221.88"/>
    <x v="4"/>
    <x v="2"/>
    <s v="Chalon Plant                   FR03 0995"/>
    <n v="221.88"/>
    <s v="201298"/>
  </r>
  <r>
    <x v="0"/>
    <x v="11"/>
    <s v="5200600"/>
    <s v=""/>
    <m/>
    <s v="602211"/>
    <d v="2004-08-24T00:00:00"/>
    <n v="0"/>
    <n v="7496.59"/>
    <x v="4"/>
    <x v="1"/>
    <s v="Chalon Plant                   FR03 0995"/>
    <n v="7496.59"/>
    <s v=""/>
  </r>
  <r>
    <x v="0"/>
    <x v="11"/>
    <s v="5200600"/>
    <s v=""/>
    <m/>
    <s v="2400035917"/>
    <d v="2004-07-21T00:00:00"/>
    <n v="0"/>
    <n v="-4379.8500000000004"/>
    <x v="4"/>
    <x v="1"/>
    <s v="Chalon Plant                   FR03 0995"/>
    <n v="-4379.8500000000004"/>
    <s v=""/>
  </r>
  <r>
    <x v="0"/>
    <x v="11"/>
    <s v="5200600"/>
    <s v=""/>
    <m/>
    <s v="2400031568"/>
    <d v="2004-05-24T00:00:00"/>
    <n v="0"/>
    <n v="-425.92"/>
    <x v="4"/>
    <x v="1"/>
    <s v="Chalon Plant                   FR03 0995"/>
    <n v="-425.92"/>
    <s v=""/>
  </r>
  <r>
    <x v="0"/>
    <x v="11"/>
    <s v="5200600"/>
    <s v=""/>
    <m/>
    <s v="2400035514"/>
    <d v="2004-07-16T00:00:00"/>
    <n v="0"/>
    <n v="-861.12"/>
    <x v="4"/>
    <x v="1"/>
    <s v="Chalon Plant                   FR03 0995"/>
    <n v="-861.12"/>
    <s v=""/>
  </r>
  <r>
    <x v="0"/>
    <x v="11"/>
    <s v="5200600"/>
    <s v=""/>
    <m/>
    <s v="2400035105"/>
    <d v="2004-07-13T00:00:00"/>
    <n v="0"/>
    <n v="-1829.7"/>
    <x v="4"/>
    <x v="1"/>
    <s v="Chalon Plant                   FR03 0995"/>
    <n v="-1829.7"/>
    <s v=""/>
  </r>
  <r>
    <x v="0"/>
    <x v="11"/>
    <s v="5300500"/>
    <s v=""/>
    <m/>
    <s v="1400000049"/>
    <d v="2019-01-18T00:00:00"/>
    <n v="0"/>
    <n v="-73.73"/>
    <x v="4"/>
    <x v="2"/>
    <s v="Chalon Plant                   FR03 0995"/>
    <n v="-73.73"/>
    <s v="0320421"/>
  </r>
  <r>
    <x v="0"/>
    <x v="11"/>
    <s v="5300500"/>
    <s v=""/>
    <m/>
    <s v="1400000091"/>
    <d v="2019-01-21T00:00:00"/>
    <n v="0"/>
    <n v="-138.47"/>
    <x v="4"/>
    <x v="2"/>
    <s v="Chalon Plant                   FR03 0995"/>
    <n v="-138.47"/>
    <s v="0321264"/>
  </r>
  <r>
    <x v="0"/>
    <x v="11"/>
    <s v="5300500"/>
    <s v=""/>
    <m/>
    <s v="1400000092"/>
    <d v="2019-01-21T00:00:00"/>
    <n v="0"/>
    <n v="-138.47"/>
    <x v="4"/>
    <x v="2"/>
    <s v="Chalon Plant                   FR03 0995"/>
    <n v="-138.47"/>
    <s v="0321265"/>
  </r>
  <r>
    <x v="0"/>
    <x v="11"/>
    <s v="5300500"/>
    <s v=""/>
    <m/>
    <s v="1400000093"/>
    <d v="2019-01-21T00:00:00"/>
    <n v="0"/>
    <n v="-32.11"/>
    <x v="4"/>
    <x v="2"/>
    <s v="Chalon Plant                   FR03 0995"/>
    <n v="-32.11"/>
    <s v="0321301"/>
  </r>
  <r>
    <x v="0"/>
    <x v="11"/>
    <s v="5300500"/>
    <s v=""/>
    <m/>
    <s v="1400000101"/>
    <d v="2019-01-22T00:00:00"/>
    <n v="0"/>
    <n v="-138.47"/>
    <x v="4"/>
    <x v="2"/>
    <s v="Chalon Plant                   FR03 0995"/>
    <n v="-138.47"/>
    <s v="0321478"/>
  </r>
  <r>
    <x v="0"/>
    <x v="11"/>
    <s v="5300500"/>
    <s v=""/>
    <m/>
    <s v="1400000104"/>
    <d v="2019-01-22T00:00:00"/>
    <n v="0"/>
    <n v="-138.47"/>
    <x v="4"/>
    <x v="2"/>
    <s v="Chalon Plant                   FR03 0995"/>
    <n v="-138.47"/>
    <s v="0321482"/>
  </r>
  <r>
    <x v="0"/>
    <x v="11"/>
    <s v="5300500"/>
    <s v=""/>
    <m/>
    <s v="1400000103"/>
    <d v="2019-01-22T00:00:00"/>
    <n v="0"/>
    <n v="-276.94"/>
    <x v="4"/>
    <x v="2"/>
    <s v="Chalon Plant                   FR03 0995"/>
    <n v="-276.94"/>
    <s v="0321480"/>
  </r>
  <r>
    <x v="0"/>
    <x v="11"/>
    <s v="5300500"/>
    <s v=""/>
    <m/>
    <s v="1400000105"/>
    <d v="2019-01-22T00:00:00"/>
    <n v="0"/>
    <n v="-138.47"/>
    <x v="4"/>
    <x v="2"/>
    <s v="Chalon Plant                   FR03 0995"/>
    <n v="-138.47"/>
    <s v="0321481"/>
  </r>
  <r>
    <x v="0"/>
    <x v="11"/>
    <s v="5300500"/>
    <s v=""/>
    <m/>
    <s v="1400000102"/>
    <d v="2019-01-22T00:00:00"/>
    <n v="0"/>
    <n v="-138.47"/>
    <x v="4"/>
    <x v="2"/>
    <s v="Chalon Plant                   FR03 0995"/>
    <n v="-138.47"/>
    <s v="0321479"/>
  </r>
  <r>
    <x v="0"/>
    <x v="11"/>
    <s v="5300500"/>
    <s v=""/>
    <m/>
    <s v="1400000163"/>
    <d v="2019-01-28T00:00:00"/>
    <n v="0"/>
    <n v="-138.47"/>
    <x v="4"/>
    <x v="2"/>
    <s v="Chalon Plant                   FR03 0995"/>
    <n v="-138.47"/>
    <s v="0321577"/>
  </r>
  <r>
    <x v="0"/>
    <x v="11"/>
    <s v="5300500"/>
    <s v=""/>
    <m/>
    <s v="1400000162"/>
    <d v="2019-01-28T00:00:00"/>
    <n v="0"/>
    <n v="-138.47"/>
    <x v="4"/>
    <x v="2"/>
    <s v="Chalon Plant                   FR03 0995"/>
    <n v="-138.47"/>
    <s v="0321578"/>
  </r>
  <r>
    <x v="0"/>
    <x v="11"/>
    <s v="5300500"/>
    <s v=""/>
    <m/>
    <s v="1400000175"/>
    <d v="2019-01-29T00:00:00"/>
    <n v="0"/>
    <n v="-219.3"/>
    <x v="4"/>
    <x v="2"/>
    <s v="Chalon Plant                   FR03 0995"/>
    <n v="-219.3"/>
    <s v="0321366"/>
  </r>
  <r>
    <x v="0"/>
    <x v="11"/>
    <s v="5300500"/>
    <s v=""/>
    <m/>
    <s v="1400000042"/>
    <d v="2019-01-17T00:00:00"/>
    <n v="0"/>
    <n v="-138.47"/>
    <x v="4"/>
    <x v="2"/>
    <s v="Chalon Plant                   FR03 0995"/>
    <n v="-138.47"/>
    <s v="0321211"/>
  </r>
  <r>
    <x v="0"/>
    <x v="11"/>
    <s v="5300500"/>
    <s v=""/>
    <m/>
    <s v="1400000043"/>
    <d v="2019-01-17T00:00:00"/>
    <n v="0"/>
    <n v="-138.47"/>
    <x v="4"/>
    <x v="2"/>
    <s v="Chalon Plant                   FR03 0995"/>
    <n v="-138.47"/>
    <s v="0321210"/>
  </r>
  <r>
    <x v="0"/>
    <x v="11"/>
    <s v="5300500"/>
    <s v=""/>
    <m/>
    <s v="1400000044"/>
    <d v="2019-01-17T00:00:00"/>
    <n v="0"/>
    <n v="-138.47"/>
    <x v="4"/>
    <x v="2"/>
    <s v="Chalon Plant                   FR03 0995"/>
    <n v="-138.47"/>
    <s v="0321209"/>
  </r>
  <r>
    <x v="0"/>
    <x v="11"/>
    <s v="5300500"/>
    <s v=""/>
    <m/>
    <s v="1100000016"/>
    <d v="2019-01-29T00:00:00"/>
    <n v="0"/>
    <n v="5386.9"/>
    <x v="4"/>
    <x v="2"/>
    <s v="Chalon Plant                   FR03 0995"/>
    <n v="5386.9"/>
    <s v="0913435"/>
  </r>
  <r>
    <x v="0"/>
    <x v="11"/>
    <s v="5300500"/>
    <s v=""/>
    <m/>
    <s v="1400000178"/>
    <d v="2019-01-29T00:00:00"/>
    <n v="0"/>
    <n v="-276.94"/>
    <x v="4"/>
    <x v="2"/>
    <s v="Chalon Plant                   FR03 0995"/>
    <n v="-276.94"/>
    <s v="0321685"/>
  </r>
  <r>
    <x v="0"/>
    <x v="11"/>
    <s v="5300500"/>
    <s v=""/>
    <m/>
    <s v="1400000179"/>
    <d v="2019-01-29T00:00:00"/>
    <n v="0"/>
    <n v="-138.47"/>
    <x v="4"/>
    <x v="2"/>
    <s v="Chalon Plant                   FR03 0995"/>
    <n v="-138.47"/>
    <s v="0321684"/>
  </r>
  <r>
    <x v="0"/>
    <x v="11"/>
    <s v="5300600"/>
    <s v=""/>
    <m/>
    <s v="1410070029"/>
    <d v="2004-08-01T00:00:00"/>
    <n v="0"/>
    <n v="1992.75"/>
    <x v="4"/>
    <x v="1"/>
    <s v="Chalon Plant                   FR03 0995"/>
    <n v="1992.75"/>
    <s v=""/>
  </r>
  <r>
    <x v="0"/>
    <x v="11"/>
    <s v="5300600"/>
    <s v=""/>
    <m/>
    <s v="1410070212"/>
    <d v="2004-08-01T00:00:00"/>
    <n v="0"/>
    <n v="335.72"/>
    <x v="4"/>
    <x v="1"/>
    <s v="Chalon Plant                   FR03 0995"/>
    <n v="335.72"/>
    <s v=""/>
  </r>
  <r>
    <x v="0"/>
    <x v="11"/>
    <s v="5300600"/>
    <s v=""/>
    <m/>
    <s v="1410071078"/>
    <d v="2004-08-01T00:00:00"/>
    <n v="0"/>
    <n v="8799.57"/>
    <x v="4"/>
    <x v="1"/>
    <s v="Chalon Plant                   FR03 0995"/>
    <n v="8799.57"/>
    <s v=""/>
  </r>
  <r>
    <x v="0"/>
    <x v="11"/>
    <s v="5300600"/>
    <s v=""/>
    <m/>
    <s v="602211"/>
    <d v="2004-08-24T00:00:00"/>
    <n v="0"/>
    <n v="-28401.81"/>
    <x v="4"/>
    <x v="1"/>
    <s v="Chalon Plant                   FR03 0995"/>
    <n v="-28401.81"/>
    <s v=""/>
  </r>
  <r>
    <x v="0"/>
    <x v="11"/>
    <s v="5300600"/>
    <s v=""/>
    <m/>
    <s v="1410071079"/>
    <d v="2004-08-01T00:00:00"/>
    <n v="0"/>
    <n v="3394.32"/>
    <x v="4"/>
    <x v="1"/>
    <s v="Chalon Plant                   FR03 0995"/>
    <n v="3394.32"/>
    <s v=""/>
  </r>
  <r>
    <x v="0"/>
    <x v="11"/>
    <s v="5300600"/>
    <s v=""/>
    <m/>
    <s v="1410071080"/>
    <d v="2004-08-01T00:00:00"/>
    <n v="0"/>
    <n v="6330.6"/>
    <x v="4"/>
    <x v="1"/>
    <s v="Chalon Plant                   FR03 0995"/>
    <n v="6330.6"/>
    <s v=""/>
  </r>
  <r>
    <x v="0"/>
    <x v="11"/>
    <s v="5300600"/>
    <s v=""/>
    <m/>
    <s v="1410071082"/>
    <d v="2004-08-01T00:00:00"/>
    <n v="0"/>
    <n v="7548.85"/>
    <x v="4"/>
    <x v="1"/>
    <s v="Chalon Plant                   FR03 0995"/>
    <n v="7548.85"/>
    <s v=""/>
  </r>
  <r>
    <x v="1"/>
    <x v="11"/>
    <s v=""/>
    <s v=""/>
    <m/>
    <s v=""/>
    <m/>
    <n v="-35115.199999999997"/>
    <n v="43888.36"/>
    <x v="4"/>
    <x v="0"/>
    <s v=""/>
    <n v="8773.16"/>
    <s v=""/>
  </r>
  <r>
    <x v="0"/>
    <x v="12"/>
    <s v="5001000"/>
    <s v="607405"/>
    <d v="2018-12-18T00:00:00"/>
    <s v=""/>
    <m/>
    <n v="174387.81"/>
    <n v="0"/>
    <x v="9"/>
    <x v="0"/>
    <s v="Head Office France             FR07 0998"/>
    <n v="174387.81"/>
    <s v=""/>
  </r>
  <r>
    <x v="0"/>
    <x v="12"/>
    <s v="5001000"/>
    <s v="605566"/>
    <d v="2015-12-21T00:00:00"/>
    <s v=""/>
    <m/>
    <n v="172846.39"/>
    <n v="0"/>
    <x v="10"/>
    <x v="0"/>
    <s v="Head Office France             FR07 0998"/>
    <n v="172846.39"/>
    <s v=""/>
  </r>
  <r>
    <x v="0"/>
    <x v="12"/>
    <s v="5001000"/>
    <s v="605984"/>
    <d v="2016-12-22T00:00:00"/>
    <s v=""/>
    <m/>
    <n v="177105.65"/>
    <n v="0"/>
    <x v="11"/>
    <x v="0"/>
    <s v="Head Office France             FR07 0998"/>
    <n v="177105.65"/>
    <s v=""/>
  </r>
  <r>
    <x v="0"/>
    <x v="12"/>
    <s v="5001000"/>
    <s v="605980"/>
    <d v="2017-12-22T00:00:00"/>
    <s v=""/>
    <m/>
    <n v="216653.03"/>
    <n v="0"/>
    <x v="12"/>
    <x v="0"/>
    <s v="Head Office France             FR07 0998"/>
    <n v="216653.03"/>
    <s v=""/>
  </r>
  <r>
    <x v="0"/>
    <x v="12"/>
    <s v="5200500"/>
    <s v="2900001961"/>
    <d v="2019-01-23T00:00:00"/>
    <s v=""/>
    <m/>
    <n v="37661.47"/>
    <n v="0"/>
    <x v="8"/>
    <x v="0"/>
    <s v="Head Office France             FR07 0998"/>
    <n v="37661.47"/>
    <s v="0321579"/>
  </r>
  <r>
    <x v="0"/>
    <x v="12"/>
    <s v="5200550"/>
    <s v="600340"/>
    <d v="2019-01-23T00:00:00"/>
    <s v=""/>
    <m/>
    <n v="12920.6"/>
    <n v="0"/>
    <x v="8"/>
    <x v="0"/>
    <s v="Head Office France             FR07 0998"/>
    <n v="12920.6"/>
    <s v="PROV INTRACO 01/"/>
  </r>
  <r>
    <x v="0"/>
    <x v="12"/>
    <s v="5300500"/>
    <s v="1400000280"/>
    <d v="2019-01-28T00:00:00"/>
    <s v=""/>
    <m/>
    <n v="-74085.47"/>
    <n v="0"/>
    <x v="8"/>
    <x v="0"/>
    <s v="Head Office France             FR07 0998"/>
    <n v="-74085.47"/>
    <s v="1690/2019"/>
  </r>
  <r>
    <x v="0"/>
    <x v="12"/>
    <s v="5300500"/>
    <s v="1400000282"/>
    <d v="2019-01-28T00:00:00"/>
    <s v=""/>
    <m/>
    <n v="-3351.8"/>
    <n v="0"/>
    <x v="8"/>
    <x v="0"/>
    <s v="Head Office France             FR07 0998"/>
    <n v="-3351.8"/>
    <s v="1698/2019"/>
  </r>
  <r>
    <x v="0"/>
    <x v="12"/>
    <s v="5300500"/>
    <s v="1400000227"/>
    <d v="2019-01-22T00:00:00"/>
    <s v=""/>
    <m/>
    <n v="-303846.64"/>
    <n v="0"/>
    <x v="8"/>
    <x v="0"/>
    <s v="Head Office France             FR07 0998"/>
    <n v="-303846.64"/>
    <s v="1707/2019"/>
  </r>
  <r>
    <x v="0"/>
    <x v="12"/>
    <s v="5300550"/>
    <s v="600426"/>
    <d v="2019-01-29T00:00:00"/>
    <s v=""/>
    <m/>
    <n v="-700"/>
    <n v="0"/>
    <x v="8"/>
    <x v="0"/>
    <s v="Head Office France             FR07 0998"/>
    <n v="-700"/>
    <s v="PROV 1/2018"/>
  </r>
  <r>
    <x v="0"/>
    <x v="12"/>
    <s v="5300550"/>
    <s v="600426"/>
    <d v="2019-01-29T00:00:00"/>
    <s v=""/>
    <m/>
    <n v="-818.31"/>
    <n v="0"/>
    <x v="8"/>
    <x v="0"/>
    <s v="Head Office France             FR07 0998"/>
    <n v="-818.31"/>
    <s v="PROV 1/2018"/>
  </r>
  <r>
    <x v="0"/>
    <x v="12"/>
    <s v="5300550"/>
    <s v="600426"/>
    <d v="2019-01-29T00:00:00"/>
    <s v=""/>
    <m/>
    <n v="-522.5"/>
    <n v="0"/>
    <x v="8"/>
    <x v="0"/>
    <s v="Head Office France             FR07 0998"/>
    <n v="-522.5"/>
    <s v="PROV 1/2018"/>
  </r>
  <r>
    <x v="0"/>
    <x v="12"/>
    <s v="5300550"/>
    <s v="600426"/>
    <d v="2019-01-29T00:00:00"/>
    <s v=""/>
    <m/>
    <n v="-889.37"/>
    <n v="0"/>
    <x v="8"/>
    <x v="0"/>
    <s v="Head Office France             FR07 0998"/>
    <n v="-889.37"/>
    <s v="PROV 1/2018"/>
  </r>
  <r>
    <x v="0"/>
    <x v="12"/>
    <s v="5300550"/>
    <s v="600426"/>
    <d v="2019-01-29T00:00:00"/>
    <s v=""/>
    <m/>
    <n v="-829.37"/>
    <n v="0"/>
    <x v="8"/>
    <x v="0"/>
    <s v="Head Office France             FR07 0998"/>
    <n v="-829.37"/>
    <s v="PROV 1/2018"/>
  </r>
  <r>
    <x v="0"/>
    <x v="12"/>
    <s v="5300550"/>
    <s v="600482"/>
    <d v="2019-01-25T00:00:00"/>
    <s v=""/>
    <m/>
    <n v="-85757.81"/>
    <n v="0"/>
    <x v="8"/>
    <x v="0"/>
    <s v="Head Office France             FR07 0998"/>
    <n v="-85757.81"/>
    <s v="TVA 12/2018"/>
  </r>
  <r>
    <x v="0"/>
    <x v="12"/>
    <s v="5300550"/>
    <s v="600317"/>
    <d v="2019-01-21T00:00:00"/>
    <s v=""/>
    <m/>
    <n v="-69339.11"/>
    <n v="0"/>
    <x v="8"/>
    <x v="0"/>
    <s v="Head Office France             FR07 0998"/>
    <n v="-69339.11"/>
    <s v="HO FRAIS DE SIEG"/>
  </r>
  <r>
    <x v="0"/>
    <x v="12"/>
    <s v="5300550"/>
    <s v="607674"/>
    <d v="2018-12-28T00:00:00"/>
    <s v=""/>
    <m/>
    <n v="-775.47"/>
    <n v="0"/>
    <x v="9"/>
    <x v="0"/>
    <s v="Head Office France             FR07 0998"/>
    <n v="-775.47"/>
    <s v="ESI EDITIONS ET"/>
  </r>
  <r>
    <x v="0"/>
    <x v="12"/>
    <s v="5300550"/>
    <s v="607674"/>
    <d v="2018-12-28T00:00:00"/>
    <s v=""/>
    <m/>
    <n v="-343.16"/>
    <n v="0"/>
    <x v="9"/>
    <x v="0"/>
    <s v="Head Office France             FR07 0998"/>
    <n v="-343.16"/>
    <s v="ESI EDITIONS ET"/>
  </r>
  <r>
    <x v="0"/>
    <x v="12"/>
    <s v="5001000"/>
    <s v=""/>
    <m/>
    <s v="605700"/>
    <d v="2015-12-23T00:00:00"/>
    <n v="0"/>
    <n v="-172846.39"/>
    <x v="4"/>
    <x v="9"/>
    <s v="Head Office France             FR07 0998"/>
    <n v="-172846.39"/>
    <s v=""/>
  </r>
  <r>
    <x v="0"/>
    <x v="12"/>
    <s v="5001000"/>
    <s v=""/>
    <m/>
    <s v="607746"/>
    <d v="2018-12-28T00:00:00"/>
    <n v="0"/>
    <n v="-174387.81"/>
    <x v="4"/>
    <x v="6"/>
    <s v="Head Office France             FR07 0998"/>
    <n v="-174387.81"/>
    <s v=""/>
  </r>
  <r>
    <x v="0"/>
    <x v="12"/>
    <s v="5001000"/>
    <s v=""/>
    <m/>
    <s v="606215"/>
    <d v="2017-12-28T00:00:00"/>
    <n v="0"/>
    <n v="-216653.03"/>
    <x v="4"/>
    <x v="10"/>
    <s v="Head Office France             FR07 0998"/>
    <n v="-216653.03"/>
    <s v=""/>
  </r>
  <r>
    <x v="0"/>
    <x v="12"/>
    <s v="5001000"/>
    <s v=""/>
    <m/>
    <s v="606072"/>
    <d v="2016-12-27T00:00:00"/>
    <n v="0"/>
    <n v="-177105.65"/>
    <x v="4"/>
    <x v="11"/>
    <s v="Head Office France             FR07 0998"/>
    <n v="-177105.65"/>
    <s v=""/>
  </r>
  <r>
    <x v="0"/>
    <x v="12"/>
    <s v="5200500"/>
    <s v=""/>
    <m/>
    <s v="2900001475"/>
    <d v="2019-01-21T00:00:00"/>
    <n v="0"/>
    <n v="3351.8"/>
    <x v="4"/>
    <x v="2"/>
    <s v="Head Office France             FR07 0998"/>
    <n v="3351.8"/>
    <s v="1698/2019"/>
  </r>
  <r>
    <x v="0"/>
    <x v="12"/>
    <s v="5200500"/>
    <s v=""/>
    <m/>
    <s v="2900001467"/>
    <d v="2019-01-21T00:00:00"/>
    <n v="0"/>
    <n v="74085.47"/>
    <x v="4"/>
    <x v="2"/>
    <s v="Head Office France             FR07 0998"/>
    <n v="74085.47"/>
    <s v="1690/2019"/>
  </r>
  <r>
    <x v="0"/>
    <x v="12"/>
    <s v="5200500"/>
    <s v=""/>
    <m/>
    <s v="2900001718"/>
    <d v="2019-01-22T00:00:00"/>
    <n v="0"/>
    <n v="303846.64"/>
    <x v="4"/>
    <x v="2"/>
    <s v="Head Office France             FR07 0998"/>
    <n v="303846.64"/>
    <s v="1707/2019"/>
  </r>
  <r>
    <x v="0"/>
    <x v="12"/>
    <s v="5200550"/>
    <s v=""/>
    <m/>
    <s v="1400000006"/>
    <d v="2019-01-02T00:00:00"/>
    <n v="0"/>
    <n v="829.37"/>
    <x v="4"/>
    <x v="2"/>
    <s v="Head Office France             FR07 0998"/>
    <n v="829.37"/>
    <s v="1803812"/>
  </r>
  <r>
    <x v="0"/>
    <x v="12"/>
    <s v="5200550"/>
    <s v=""/>
    <m/>
    <s v="1400000007"/>
    <d v="2019-01-02T00:00:00"/>
    <n v="0"/>
    <n v="889.37"/>
    <x v="4"/>
    <x v="2"/>
    <s v="Head Office France             FR07 0998"/>
    <n v="889.37"/>
    <s v="1803813"/>
  </r>
  <r>
    <x v="0"/>
    <x v="12"/>
    <s v="5200550"/>
    <s v=""/>
    <m/>
    <s v="1400000019"/>
    <d v="2019-01-03T00:00:00"/>
    <n v="0"/>
    <n v="343.16"/>
    <x v="4"/>
    <x v="2"/>
    <s v="Head Office France             FR07 0998"/>
    <n v="343.16"/>
    <s v="1813440"/>
  </r>
  <r>
    <x v="0"/>
    <x v="12"/>
    <s v="5200550"/>
    <s v=""/>
    <m/>
    <s v="1400000015"/>
    <d v="2019-01-03T00:00:00"/>
    <n v="0"/>
    <n v="522.5"/>
    <x v="4"/>
    <x v="2"/>
    <s v="Head Office France             FR07 0998"/>
    <n v="522.5"/>
    <s v="OI18033925"/>
  </r>
  <r>
    <x v="0"/>
    <x v="12"/>
    <s v="5200550"/>
    <s v=""/>
    <m/>
    <s v="1400000352"/>
    <d v="2019-01-30T00:00:00"/>
    <n v="0"/>
    <n v="49342"/>
    <x v="4"/>
    <x v="2"/>
    <s v="Head Office France             FR07 0998"/>
    <n v="49342"/>
    <s v="LNV003613"/>
  </r>
  <r>
    <x v="0"/>
    <x v="12"/>
    <s v="5200550"/>
    <s v=""/>
    <m/>
    <s v="1400000263"/>
    <d v="2019-01-28T00:00:00"/>
    <n v="0"/>
    <n v="818.31"/>
    <x v="4"/>
    <x v="2"/>
    <s v="Head Office France             FR07 0998"/>
    <n v="818.31"/>
    <s v="2350100875"/>
  </r>
  <r>
    <x v="0"/>
    <x v="12"/>
    <s v="5200550"/>
    <s v=""/>
    <m/>
    <s v="600479"/>
    <d v="2019-01-25T00:00:00"/>
    <n v="0"/>
    <n v="85757.81"/>
    <x v="4"/>
    <x v="2"/>
    <s v="Head Office France             FR07 0998"/>
    <n v="85757.81"/>
    <s v="TVA 12/2018"/>
  </r>
  <r>
    <x v="0"/>
    <x v="12"/>
    <s v="5200550"/>
    <s v=""/>
    <m/>
    <s v="1400000208"/>
    <d v="2019-01-22T00:00:00"/>
    <n v="0"/>
    <n v="700"/>
    <x v="4"/>
    <x v="2"/>
    <s v="Head Office France             FR07 0998"/>
    <n v="700"/>
    <s v="201811109"/>
  </r>
  <r>
    <x v="0"/>
    <x v="12"/>
    <s v="5200550"/>
    <s v=""/>
    <m/>
    <s v="600316"/>
    <d v="2019-01-21T00:00:00"/>
    <n v="0"/>
    <n v="69339.11"/>
    <x v="4"/>
    <x v="2"/>
    <s v="Head Office France             FR07 0998"/>
    <n v="69339.11"/>
    <s v="HO FRAIS DE SIEG"/>
  </r>
  <r>
    <x v="0"/>
    <x v="12"/>
    <s v="5200550"/>
    <s v=""/>
    <m/>
    <s v="600319"/>
    <d v="2019-01-10T00:00:00"/>
    <n v="0"/>
    <n v="50395.23"/>
    <x v="4"/>
    <x v="2"/>
    <s v="Head Office France             FR07 0998"/>
    <n v="50395.23"/>
    <s v="6360/2019"/>
  </r>
  <r>
    <x v="0"/>
    <x v="12"/>
    <s v="5300500"/>
    <s v=""/>
    <m/>
    <s v="1400000336"/>
    <d v="2019-01-29T00:00:00"/>
    <n v="0"/>
    <n v="-37661.47"/>
    <x v="4"/>
    <x v="2"/>
    <s v="Head Office France             FR07 0998"/>
    <n v="-37661.47"/>
    <s v="0321579"/>
  </r>
  <r>
    <x v="0"/>
    <x v="12"/>
    <s v="5300550"/>
    <s v=""/>
    <m/>
    <s v="600341"/>
    <d v="2019-01-23T00:00:00"/>
    <n v="0"/>
    <n v="-12920.6"/>
    <x v="4"/>
    <x v="2"/>
    <s v="Head Office France             FR07 0998"/>
    <n v="-12920.6"/>
    <s v="PROV INTRACO 01/"/>
  </r>
  <r>
    <x v="0"/>
    <x v="12"/>
    <s v="5300550"/>
    <s v=""/>
    <m/>
    <s v="600343"/>
    <d v="2019-01-23T00:00:00"/>
    <n v="0"/>
    <n v="-37661.47"/>
    <x v="4"/>
    <x v="2"/>
    <s v="Head Office France             FR07 0998"/>
    <n v="-37661.47"/>
    <s v="PROV INTRACO Q4"/>
  </r>
  <r>
    <x v="1"/>
    <x v="12"/>
    <s v=""/>
    <s v=""/>
    <m/>
    <s v=""/>
    <m/>
    <n v="250315.94"/>
    <n v="-189015.65"/>
    <x v="4"/>
    <x v="0"/>
    <s v=""/>
    <n v="61300.29"/>
    <s v=""/>
  </r>
  <r>
    <x v="0"/>
    <x v="13"/>
    <s v="5300500"/>
    <s v="1400000089"/>
    <d v="2019-01-15T00:00:00"/>
    <s v=""/>
    <m/>
    <n v="-11502.07"/>
    <n v="0"/>
    <x v="8"/>
    <x v="0"/>
    <s v="IP Polska Sp. z o.o.-European Papers6798"/>
    <n v="-11502.07"/>
    <s v="EP/1/00011/2019"/>
  </r>
  <r>
    <x v="0"/>
    <x v="13"/>
    <s v="5300550"/>
    <s v="600328"/>
    <d v="2019-01-10T00:00:00"/>
    <s v=""/>
    <m/>
    <n v="-3813.59"/>
    <n v="0"/>
    <x v="8"/>
    <x v="0"/>
    <s v="IP Polska Sp. z o.o.-European Papers6798"/>
    <n v="-3813.59"/>
    <s v="PROV NONIT IPP 1"/>
  </r>
  <r>
    <x v="0"/>
    <x v="13"/>
    <s v="5200500"/>
    <s v=""/>
    <m/>
    <s v="2900000010"/>
    <d v="2019-01-09T00:00:00"/>
    <n v="0"/>
    <n v="11502.07"/>
    <x v="4"/>
    <x v="2"/>
    <s v="IP Polska Sp. z o.o.-European Papers6798"/>
    <n v="11502.07"/>
    <s v=""/>
  </r>
  <r>
    <x v="0"/>
    <x v="13"/>
    <s v="5200550"/>
    <s v=""/>
    <m/>
    <s v="600096"/>
    <d v="2019-01-10T00:00:00"/>
    <n v="0"/>
    <n v="3813.59"/>
    <x v="4"/>
    <x v="2"/>
    <s v="IP Polska Sp. z o.o.-European Papers6798"/>
    <n v="3813.59"/>
    <s v=""/>
  </r>
  <r>
    <x v="1"/>
    <x v="13"/>
    <s v=""/>
    <s v=""/>
    <m/>
    <s v=""/>
    <m/>
    <n v="-15315.66"/>
    <n v="15315.66"/>
    <x v="4"/>
    <x v="0"/>
    <s v=""/>
    <n v="0"/>
    <s v=""/>
  </r>
  <r>
    <x v="0"/>
    <x v="14"/>
    <s v="5300500"/>
    <s v="1100000049"/>
    <d v="2019-01-30T00:00:00"/>
    <s v=""/>
    <m/>
    <n v="140852.91"/>
    <n v="0"/>
    <x v="8"/>
    <x v="0"/>
    <s v="IP Belgian Services Company         6799"/>
    <n v="140852.91"/>
    <s v="219052"/>
  </r>
  <r>
    <x v="0"/>
    <x v="14"/>
    <s v="5300500"/>
    <s v="1400000256"/>
    <d v="2019-01-25T00:00:00"/>
    <s v=""/>
    <m/>
    <n v="-140852.91"/>
    <n v="0"/>
    <x v="8"/>
    <x v="0"/>
    <s v="IP Belgian Services Company         6799"/>
    <n v="-140852.91"/>
    <s v="219051"/>
  </r>
  <r>
    <x v="0"/>
    <x v="14"/>
    <s v="5300500"/>
    <s v="1400000242"/>
    <d v="2019-01-23T00:00:00"/>
    <s v=""/>
    <m/>
    <n v="-7129.89"/>
    <n v="0"/>
    <x v="8"/>
    <x v="0"/>
    <s v="IP Belgian Services Company         6799"/>
    <n v="-7129.89"/>
    <s v="219031"/>
  </r>
  <r>
    <x v="0"/>
    <x v="14"/>
    <s v="5300500"/>
    <s v="1400000082"/>
    <d v="2019-01-10T00:00:00"/>
    <s v=""/>
    <m/>
    <n v="-75885.64"/>
    <n v="0"/>
    <x v="8"/>
    <x v="0"/>
    <s v="IP Belgian Services Company         6799"/>
    <n v="-75885.64"/>
    <s v="219005"/>
  </r>
  <r>
    <x v="0"/>
    <x v="14"/>
    <s v="5300550"/>
    <s v="600484"/>
    <d v="2019-01-30T00:00:00"/>
    <s v=""/>
    <m/>
    <n v="-19610.419999999998"/>
    <n v="0"/>
    <x v="8"/>
    <x v="0"/>
    <s v="IP Belgian Services Company         6799"/>
    <n v="-19610.419999999998"/>
    <s v="BSC REBILLING"/>
  </r>
  <r>
    <x v="0"/>
    <x v="14"/>
    <s v="5200500"/>
    <s v=""/>
    <m/>
    <s v="2900000030"/>
    <d v="2019-01-23T00:00:00"/>
    <n v="0"/>
    <n v="7129.89"/>
    <x v="4"/>
    <x v="2"/>
    <s v="IP Belgian Services Company         6799"/>
    <n v="7129.89"/>
    <s v=""/>
  </r>
  <r>
    <x v="0"/>
    <x v="14"/>
    <s v="5200500"/>
    <s v=""/>
    <m/>
    <s v="2900000004"/>
    <d v="2019-01-10T00:00:00"/>
    <n v="0"/>
    <n v="75885.64"/>
    <x v="4"/>
    <x v="2"/>
    <s v="IP Belgian Services Company         6799"/>
    <n v="75885.64"/>
    <s v=""/>
  </r>
  <r>
    <x v="0"/>
    <x v="14"/>
    <s v="5200550"/>
    <s v=""/>
    <m/>
    <s v="600159"/>
    <d v="2019-01-30T00:00:00"/>
    <n v="0"/>
    <n v="19610.419999999998"/>
    <x v="4"/>
    <x v="2"/>
    <s v="IP Belgian Services Company         6799"/>
    <n v="19610.419999999998"/>
    <s v=""/>
  </r>
  <r>
    <x v="1"/>
    <x v="14"/>
    <s v=""/>
    <s v=""/>
    <m/>
    <s v=""/>
    <m/>
    <n v="-102625.95"/>
    <n v="102625.95"/>
    <x v="4"/>
    <x v="0"/>
    <s v=""/>
    <n v="0"/>
    <s v=""/>
  </r>
  <r>
    <x v="0"/>
    <x v="15"/>
    <s v="5001000"/>
    <s v=""/>
    <m/>
    <s v="600004"/>
    <d v="2018-07-31T00:00:00"/>
    <n v="0"/>
    <n v="7424.04"/>
    <x v="4"/>
    <x v="6"/>
    <s v="IP Financing France (Hldg Co)  FR44 6902"/>
    <n v="7424.04"/>
    <s v=""/>
  </r>
  <r>
    <x v="0"/>
    <x v="15"/>
    <s v="5001000"/>
    <s v=""/>
    <m/>
    <s v="600004"/>
    <d v="2018-07-31T00:00:00"/>
    <n v="0"/>
    <n v="-7424.04"/>
    <x v="4"/>
    <x v="6"/>
    <s v="IP Financing France (Hldg Co)  FR44 6902"/>
    <n v="-7424.04"/>
    <s v=""/>
  </r>
  <r>
    <x v="1"/>
    <x v="15"/>
    <s v=""/>
    <s v=""/>
    <m/>
    <s v=""/>
    <m/>
    <n v="0"/>
    <n v="0"/>
    <x v="4"/>
    <x v="0"/>
    <s v=""/>
    <n v="0"/>
    <s v=""/>
  </r>
  <r>
    <x v="0"/>
    <x v="16"/>
    <s v="5300500"/>
    <s v="1400000093"/>
    <d v="2019-01-11T00:00:00"/>
    <s v=""/>
    <m/>
    <n v="-42099.97"/>
    <n v="0"/>
    <x v="8"/>
    <x v="0"/>
    <s v="IP Polska Sp. z o.o. - IT      PL10 7032"/>
    <n v="-42099.97"/>
    <s v="IT/1/00030/2019"/>
  </r>
  <r>
    <x v="0"/>
    <x v="16"/>
    <s v="5300550"/>
    <s v="605229"/>
    <d v="2007-10-25T00:00:00"/>
    <s v=""/>
    <m/>
    <n v="3524.39"/>
    <n v="0"/>
    <x v="3"/>
    <x v="0"/>
    <s v="IP Polska Sp. z o.o. - IT      PL10 7032"/>
    <n v="3524.39"/>
    <s v="REPRISE PROV"/>
  </r>
  <r>
    <x v="0"/>
    <x v="16"/>
    <s v="5300550"/>
    <s v="600370"/>
    <d v="2019-01-10T00:00:00"/>
    <s v=""/>
    <m/>
    <n v="-15638.15"/>
    <n v="0"/>
    <x v="8"/>
    <x v="0"/>
    <s v="IP Polska Sp. z o.o. - IT      PL10 7032"/>
    <n v="-15638.15"/>
    <s v="IP POLSKA IT 1"/>
  </r>
  <r>
    <x v="0"/>
    <x v="16"/>
    <s v="5200500"/>
    <s v=""/>
    <m/>
    <s v="2900000056"/>
    <d v="2019-01-11T00:00:00"/>
    <n v="0"/>
    <n v="42099.97"/>
    <x v="4"/>
    <x v="2"/>
    <s v="IP Polska Sp. z o.o. - IT      PL10 7032"/>
    <n v="42099.97"/>
    <s v=""/>
  </r>
  <r>
    <x v="0"/>
    <x v="16"/>
    <s v="5200550"/>
    <s v=""/>
    <m/>
    <s v="600108"/>
    <d v="2019-01-10T00:00:00"/>
    <n v="0"/>
    <n v="15638.15"/>
    <x v="4"/>
    <x v="2"/>
    <s v="IP Polska Sp. z o.o. - IT      PL10 7032"/>
    <n v="15638.15"/>
    <s v=""/>
  </r>
  <r>
    <x v="1"/>
    <x v="16"/>
    <s v=""/>
    <s v=""/>
    <m/>
    <s v=""/>
    <m/>
    <n v="-54213.73"/>
    <n v="57738.12"/>
    <x v="4"/>
    <x v="0"/>
    <s v=""/>
    <n v="3524.39"/>
    <s v=""/>
  </r>
  <r>
    <x v="0"/>
    <x v="17"/>
    <s v="5300500"/>
    <s v="1600006873"/>
    <d v="2018-11-26T00:00:00"/>
    <s v=""/>
    <m/>
    <n v="-13731.25"/>
    <n v="0"/>
    <x v="9"/>
    <x v="0"/>
    <s v="Containerboard                      8530"/>
    <n v="-13731.25"/>
    <s v="9005604319"/>
  </r>
  <r>
    <x v="0"/>
    <x v="17"/>
    <s v="5200500"/>
    <s v=""/>
    <m/>
    <s v="2802897210"/>
    <d v="2018-10-31T00:00:00"/>
    <n v="0"/>
    <n v="13731.25"/>
    <x v="4"/>
    <x v="6"/>
    <s v="Containerboard                      8530"/>
    <n v="13731.25"/>
    <s v=""/>
  </r>
  <r>
    <x v="1"/>
    <x v="17"/>
    <s v=""/>
    <s v=""/>
    <m/>
    <s v=""/>
    <m/>
    <n v="-13731.25"/>
    <n v="13731.25"/>
    <x v="4"/>
    <x v="0"/>
    <s v=""/>
    <n v="0"/>
    <s v=""/>
  </r>
  <r>
    <x v="0"/>
    <x v="18"/>
    <s v="5300600"/>
    <s v="655558"/>
    <d v="2004-08-24T00:00:00"/>
    <s v=""/>
    <m/>
    <n v="-1506.96"/>
    <n v="0"/>
    <x v="0"/>
    <x v="0"/>
    <s v="IP Foodservice EuropeLtd USGAAP Adj 8693"/>
    <n v="-1506.96"/>
    <s v=""/>
  </r>
  <r>
    <x v="0"/>
    <x v="18"/>
    <s v="5300600"/>
    <s v="1410080040"/>
    <d v="2004-08-01T00:00:00"/>
    <s v=""/>
    <m/>
    <n v="1506.96"/>
    <n v="0"/>
    <x v="0"/>
    <x v="0"/>
    <s v="IP Foodservice EuropeLtd USGAAP Adj 8693"/>
    <n v="1506.96"/>
    <s v=""/>
  </r>
  <r>
    <x v="1"/>
    <x v="18"/>
    <s v=""/>
    <s v=""/>
    <m/>
    <s v=""/>
    <m/>
    <n v="0"/>
    <n v="0"/>
    <x v="4"/>
    <x v="0"/>
    <s v=""/>
    <n v="0"/>
    <s v=""/>
  </r>
  <r>
    <x v="0"/>
    <x v="19"/>
    <s v="5001052"/>
    <s v="600002162"/>
    <d v="2019-01-21T00:00:00"/>
    <s v=""/>
    <m/>
    <n v="20744.75"/>
    <n v="0"/>
    <x v="8"/>
    <x v="0"/>
    <s v="IP (Europe) SARL - Treasury    LU03 8913"/>
    <n v="20744.75"/>
    <s v=""/>
  </r>
  <r>
    <x v="0"/>
    <x v="19"/>
    <s v="5001052"/>
    <s v="600002228"/>
    <d v="2019-01-22T00:00:00"/>
    <s v=""/>
    <m/>
    <n v="376034.06"/>
    <n v="0"/>
    <x v="8"/>
    <x v="0"/>
    <s v="IP (Europe) SARL - Treasury    LU03 8913"/>
    <n v="376034.06"/>
    <s v=""/>
  </r>
  <r>
    <x v="0"/>
    <x v="19"/>
    <s v="5001052"/>
    <s v="600002327"/>
    <d v="2019-01-23T00:00:00"/>
    <s v=""/>
    <m/>
    <n v="2822.7"/>
    <n v="0"/>
    <x v="8"/>
    <x v="0"/>
    <s v="IP (Europe) SARL - Treasury    LU03 8913"/>
    <n v="2822.7"/>
    <s v=""/>
  </r>
  <r>
    <x v="0"/>
    <x v="19"/>
    <s v="5001052"/>
    <s v="600002326"/>
    <d v="2019-01-23T00:00:00"/>
    <s v=""/>
    <m/>
    <n v="5808.47"/>
    <n v="0"/>
    <x v="8"/>
    <x v="0"/>
    <s v="IP (Europe) SARL - Treasury    LU03 8913"/>
    <n v="5808.47"/>
    <s v=""/>
  </r>
  <r>
    <x v="0"/>
    <x v="19"/>
    <s v="5001052"/>
    <s v="600002372"/>
    <d v="2019-01-24T00:00:00"/>
    <s v=""/>
    <m/>
    <n v="-1108958.72"/>
    <n v="0"/>
    <x v="8"/>
    <x v="0"/>
    <s v="IP (Europe) SARL - Treasury    LU03 8913"/>
    <n v="-1108958.72"/>
    <s v=""/>
  </r>
  <r>
    <x v="0"/>
    <x v="19"/>
    <s v="5001052"/>
    <s v="600002877"/>
    <d v="2019-01-25T00:00:00"/>
    <s v=""/>
    <m/>
    <n v="1776.89"/>
    <n v="0"/>
    <x v="8"/>
    <x v="0"/>
    <s v="IP (Europe) SARL - Treasury    LU03 8913"/>
    <n v="1776.89"/>
    <s v=""/>
  </r>
  <r>
    <x v="0"/>
    <x v="19"/>
    <s v="5001052"/>
    <s v="600002832"/>
    <d v="2019-01-25T00:00:00"/>
    <s v=""/>
    <m/>
    <n v="-286453.21000000002"/>
    <n v="0"/>
    <x v="8"/>
    <x v="0"/>
    <s v="IP (Europe) SARL - Treasury    LU03 8913"/>
    <n v="-286453.21000000002"/>
    <s v=""/>
  </r>
  <r>
    <x v="0"/>
    <x v="19"/>
    <s v="5001052"/>
    <s v="600002939"/>
    <d v="2019-01-28T00:00:00"/>
    <s v=""/>
    <m/>
    <n v="-109380.73"/>
    <n v="0"/>
    <x v="8"/>
    <x v="0"/>
    <s v="IP (Europe) SARL - Treasury    LU03 8913"/>
    <n v="-109380.73"/>
    <s v=""/>
  </r>
  <r>
    <x v="0"/>
    <x v="19"/>
    <s v="5001052"/>
    <s v="600003003"/>
    <d v="2019-01-29T00:00:00"/>
    <s v=""/>
    <m/>
    <n v="142698.48000000001"/>
    <n v="0"/>
    <x v="8"/>
    <x v="0"/>
    <s v="IP (Europe) SARL - Treasury    LU03 8913"/>
    <n v="142698.48000000001"/>
    <s v=""/>
  </r>
  <r>
    <x v="0"/>
    <x v="19"/>
    <s v="5001052"/>
    <s v="600003002"/>
    <d v="2019-01-29T00:00:00"/>
    <s v=""/>
    <m/>
    <n v="116977.9"/>
    <n v="0"/>
    <x v="8"/>
    <x v="0"/>
    <s v="IP (Europe) SARL - Treasury    LU03 8913"/>
    <n v="116977.9"/>
    <s v=""/>
  </r>
  <r>
    <x v="0"/>
    <x v="19"/>
    <s v="5001052"/>
    <s v="600003040"/>
    <d v="2019-01-30T00:00:00"/>
    <s v=""/>
    <m/>
    <n v="29852.79"/>
    <n v="0"/>
    <x v="8"/>
    <x v="0"/>
    <s v="IP (Europe) SARL - Treasury    LU03 8913"/>
    <n v="29852.79"/>
    <s v=""/>
  </r>
  <r>
    <x v="0"/>
    <x v="19"/>
    <s v="5001052"/>
    <s v="607831"/>
    <d v="2018-12-31T00:00:00"/>
    <s v=""/>
    <m/>
    <n v="-4477906.1900000004"/>
    <n v="0"/>
    <x v="9"/>
    <x v="0"/>
    <s v="IP (Europe) SARL - Treasury    LU03 8913"/>
    <n v="-4477906.1900000004"/>
    <s v=""/>
  </r>
  <r>
    <x v="0"/>
    <x v="19"/>
    <s v="5001052"/>
    <s v="600000039"/>
    <d v="2019-01-02T00:00:00"/>
    <s v=""/>
    <m/>
    <n v="280469.57"/>
    <n v="0"/>
    <x v="8"/>
    <x v="0"/>
    <s v="IP (Europe) SARL - Treasury    LU03 8913"/>
    <n v="280469.57"/>
    <s v=""/>
  </r>
  <r>
    <x v="0"/>
    <x v="19"/>
    <s v="5001052"/>
    <s v="600000176"/>
    <d v="2019-01-03T00:00:00"/>
    <s v=""/>
    <m/>
    <n v="299551.84999999998"/>
    <n v="0"/>
    <x v="8"/>
    <x v="0"/>
    <s v="IP (Europe) SARL - Treasury    LU03 8913"/>
    <n v="299551.84999999998"/>
    <s v=""/>
  </r>
  <r>
    <x v="0"/>
    <x v="19"/>
    <s v="5001052"/>
    <s v="600000175"/>
    <d v="2019-01-03T00:00:00"/>
    <s v=""/>
    <m/>
    <n v="-41.1"/>
    <n v="0"/>
    <x v="8"/>
    <x v="0"/>
    <s v="IP (Europe) SARL - Treasury    LU03 8913"/>
    <n v="-41.1"/>
    <s v=""/>
  </r>
  <r>
    <x v="0"/>
    <x v="19"/>
    <s v="5001052"/>
    <s v="600000487"/>
    <d v="2019-01-04T00:00:00"/>
    <s v=""/>
    <m/>
    <n v="-1485086.97"/>
    <n v="0"/>
    <x v="8"/>
    <x v="0"/>
    <s v="IP (Europe) SARL - Treasury    LU03 8913"/>
    <n v="-1485086.97"/>
    <s v=""/>
  </r>
  <r>
    <x v="0"/>
    <x v="19"/>
    <s v="5001052"/>
    <s v="600000656"/>
    <d v="2019-01-07T00:00:00"/>
    <s v=""/>
    <m/>
    <n v="2688.37"/>
    <n v="0"/>
    <x v="8"/>
    <x v="0"/>
    <s v="IP (Europe) SARL - Treasury    LU03 8913"/>
    <n v="2688.37"/>
    <s v=""/>
  </r>
  <r>
    <x v="0"/>
    <x v="19"/>
    <s v="5001052"/>
    <s v="600000655"/>
    <d v="2019-01-07T00:00:00"/>
    <s v=""/>
    <m/>
    <n v="42267.53"/>
    <n v="0"/>
    <x v="8"/>
    <x v="0"/>
    <s v="IP (Europe) SARL - Treasury    LU03 8913"/>
    <n v="42267.53"/>
    <s v=""/>
  </r>
  <r>
    <x v="0"/>
    <x v="19"/>
    <s v="5001052"/>
    <s v="600000711"/>
    <d v="2019-01-08T00:00:00"/>
    <s v=""/>
    <m/>
    <n v="-96155.79"/>
    <n v="0"/>
    <x v="8"/>
    <x v="0"/>
    <s v="IP (Europe) SARL - Treasury    LU03 8913"/>
    <n v="-96155.79"/>
    <s v=""/>
  </r>
  <r>
    <x v="0"/>
    <x v="19"/>
    <s v="5001052"/>
    <s v="600000762"/>
    <d v="2019-01-09T00:00:00"/>
    <s v=""/>
    <m/>
    <n v="-10"/>
    <n v="0"/>
    <x v="8"/>
    <x v="0"/>
    <s v="IP (Europe) SARL - Treasury    LU03 8913"/>
    <n v="-10"/>
    <s v=""/>
  </r>
  <r>
    <x v="0"/>
    <x v="19"/>
    <s v="5001052"/>
    <s v="600000773"/>
    <d v="2019-01-09T00:00:00"/>
    <s v=""/>
    <m/>
    <n v="40038.480000000003"/>
    <n v="0"/>
    <x v="8"/>
    <x v="0"/>
    <s v="IP (Europe) SARL - Treasury    LU03 8913"/>
    <n v="40038.480000000003"/>
    <s v=""/>
  </r>
  <r>
    <x v="0"/>
    <x v="19"/>
    <s v="5001052"/>
    <s v="600000772"/>
    <d v="2019-01-09T00:00:00"/>
    <s v=""/>
    <m/>
    <n v="53.06"/>
    <n v="0"/>
    <x v="8"/>
    <x v="0"/>
    <s v="IP (Europe) SARL - Treasury    LU03 8913"/>
    <n v="53.06"/>
    <s v=""/>
  </r>
  <r>
    <x v="0"/>
    <x v="19"/>
    <s v="5001052"/>
    <s v="600000842"/>
    <d v="2019-01-10T00:00:00"/>
    <s v=""/>
    <m/>
    <n v="786.24"/>
    <n v="0"/>
    <x v="8"/>
    <x v="0"/>
    <s v="IP (Europe) SARL - Treasury    LU03 8913"/>
    <n v="786.24"/>
    <s v=""/>
  </r>
  <r>
    <x v="0"/>
    <x v="19"/>
    <s v="5001052"/>
    <s v="600000841"/>
    <d v="2019-01-10T00:00:00"/>
    <s v=""/>
    <m/>
    <n v="201274.1"/>
    <n v="0"/>
    <x v="8"/>
    <x v="0"/>
    <s v="IP (Europe) SARL - Treasury    LU03 8913"/>
    <n v="201274.1"/>
    <s v=""/>
  </r>
  <r>
    <x v="0"/>
    <x v="19"/>
    <s v="5001052"/>
    <s v="600001401"/>
    <d v="2019-01-11T00:00:00"/>
    <s v=""/>
    <m/>
    <n v="786.24"/>
    <n v="0"/>
    <x v="8"/>
    <x v="0"/>
    <s v="IP (Europe) SARL - Treasury    LU03 8913"/>
    <n v="786.24"/>
    <s v=""/>
  </r>
  <r>
    <x v="0"/>
    <x v="19"/>
    <s v="5001052"/>
    <s v="600001365"/>
    <d v="2019-01-11T00:00:00"/>
    <s v=""/>
    <m/>
    <n v="-103372.68"/>
    <n v="0"/>
    <x v="8"/>
    <x v="0"/>
    <s v="IP (Europe) SARL - Treasury    LU03 8913"/>
    <n v="-103372.68"/>
    <s v=""/>
  </r>
  <r>
    <x v="0"/>
    <x v="19"/>
    <s v="5001052"/>
    <s v="600001454"/>
    <d v="2019-01-14T00:00:00"/>
    <s v=""/>
    <m/>
    <n v="181722.72"/>
    <n v="0"/>
    <x v="8"/>
    <x v="0"/>
    <s v="IP (Europe) SARL - Treasury    LU03 8913"/>
    <n v="181722.72"/>
    <s v=""/>
  </r>
  <r>
    <x v="0"/>
    <x v="19"/>
    <s v="5001052"/>
    <s v="600001497"/>
    <d v="2019-01-15T00:00:00"/>
    <s v=""/>
    <m/>
    <n v="362095.08"/>
    <n v="0"/>
    <x v="8"/>
    <x v="0"/>
    <s v="IP (Europe) SARL - Treasury    LU03 8913"/>
    <n v="362095.08"/>
    <s v=""/>
  </r>
  <r>
    <x v="0"/>
    <x v="19"/>
    <s v="5001052"/>
    <s v="600001574"/>
    <d v="2019-01-16T00:00:00"/>
    <s v=""/>
    <m/>
    <n v="133797.21"/>
    <n v="0"/>
    <x v="8"/>
    <x v="0"/>
    <s v="IP (Europe) SARL - Treasury    LU03 8913"/>
    <n v="133797.21"/>
    <s v=""/>
  </r>
  <r>
    <x v="0"/>
    <x v="19"/>
    <s v="5001052"/>
    <s v="600001650"/>
    <d v="2019-01-17T00:00:00"/>
    <s v=""/>
    <m/>
    <n v="2860.84"/>
    <n v="0"/>
    <x v="8"/>
    <x v="0"/>
    <s v="IP (Europe) SARL - Treasury    LU03 8913"/>
    <n v="2860.84"/>
    <s v=""/>
  </r>
  <r>
    <x v="0"/>
    <x v="19"/>
    <s v="5001052"/>
    <s v="600001649"/>
    <d v="2019-01-17T00:00:00"/>
    <s v=""/>
    <m/>
    <n v="41175.21"/>
    <n v="0"/>
    <x v="8"/>
    <x v="0"/>
    <s v="IP (Europe) SARL - Treasury    LU03 8913"/>
    <n v="41175.21"/>
    <s v=""/>
  </r>
  <r>
    <x v="0"/>
    <x v="19"/>
    <s v="5001052"/>
    <s v="600002055"/>
    <d v="2019-01-18T00:00:00"/>
    <s v=""/>
    <m/>
    <n v="-378694.55"/>
    <n v="0"/>
    <x v="8"/>
    <x v="0"/>
    <s v="IP (Europe) SARL - Treasury    LU03 8913"/>
    <n v="-378694.55"/>
    <s v=""/>
  </r>
  <r>
    <x v="0"/>
    <x v="19"/>
    <s v="5001052"/>
    <s v="600002161"/>
    <d v="2019-01-21T00:00:00"/>
    <s v=""/>
    <m/>
    <n v="362033.72"/>
    <n v="0"/>
    <x v="8"/>
    <x v="0"/>
    <s v="IP (Europe) SARL - Treasury    LU03 8913"/>
    <n v="362033.72"/>
    <s v=""/>
  </r>
  <r>
    <x v="0"/>
    <x v="19"/>
    <s v="5001052"/>
    <s v=""/>
    <m/>
    <s v="602847"/>
    <d v="2018-12-31T00:00:00"/>
    <n v="0"/>
    <n v="4477906.1900000004"/>
    <x v="4"/>
    <x v="6"/>
    <s v="IP (Europe) SARL - Treasury    LU03 8913"/>
    <n v="4477906.1900000004"/>
    <s v=""/>
  </r>
  <r>
    <x v="0"/>
    <x v="19"/>
    <s v="5001052"/>
    <s v=""/>
    <m/>
    <s v="600000016"/>
    <d v="2019-01-02T00:00:00"/>
    <n v="0"/>
    <n v="-280469.57"/>
    <x v="4"/>
    <x v="2"/>
    <s v="IP (Europe) SARL - Treasury    LU03 8913"/>
    <n v="-280469.57"/>
    <s v=""/>
  </r>
  <r>
    <x v="0"/>
    <x v="19"/>
    <s v="5001052"/>
    <s v=""/>
    <m/>
    <s v="600000125"/>
    <d v="2019-01-03T00:00:00"/>
    <n v="0"/>
    <n v="41.1"/>
    <x v="4"/>
    <x v="2"/>
    <s v="IP (Europe) SARL - Treasury    LU03 8913"/>
    <n v="41.1"/>
    <s v=""/>
  </r>
  <r>
    <x v="0"/>
    <x v="19"/>
    <s v="5001052"/>
    <s v=""/>
    <m/>
    <s v="600000101"/>
    <d v="2019-01-03T00:00:00"/>
    <n v="0"/>
    <n v="-299551.84999999998"/>
    <x v="4"/>
    <x v="2"/>
    <s v="IP (Europe) SARL - Treasury    LU03 8913"/>
    <n v="-299551.84999999998"/>
    <s v=""/>
  </r>
  <r>
    <x v="0"/>
    <x v="19"/>
    <s v="5001052"/>
    <s v=""/>
    <m/>
    <s v="600000200"/>
    <d v="2019-01-04T00:00:00"/>
    <n v="0"/>
    <n v="1485086.97"/>
    <x v="4"/>
    <x v="2"/>
    <s v="IP (Europe) SARL - Treasury    LU03 8913"/>
    <n v="1485086.97"/>
    <s v=""/>
  </r>
  <r>
    <x v="0"/>
    <x v="19"/>
    <s v="5001052"/>
    <s v=""/>
    <m/>
    <s v="600000248"/>
    <d v="2019-01-07T00:00:00"/>
    <n v="0"/>
    <n v="-42267.53"/>
    <x v="4"/>
    <x v="2"/>
    <s v="IP (Europe) SARL - Treasury    LU03 8913"/>
    <n v="-42267.53"/>
    <s v=""/>
  </r>
  <r>
    <x v="0"/>
    <x v="19"/>
    <s v="5001052"/>
    <s v=""/>
    <m/>
    <s v="600000252"/>
    <d v="2019-01-07T00:00:00"/>
    <n v="0"/>
    <n v="-2688.37"/>
    <x v="4"/>
    <x v="2"/>
    <s v="IP (Europe) SARL - Treasury    LU03 8913"/>
    <n v="-2688.37"/>
    <s v=""/>
  </r>
  <r>
    <x v="0"/>
    <x v="19"/>
    <s v="5001052"/>
    <s v=""/>
    <m/>
    <s v="600000305"/>
    <d v="2019-01-08T00:00:00"/>
    <n v="0"/>
    <n v="96155.79"/>
    <x v="4"/>
    <x v="2"/>
    <s v="IP (Europe) SARL - Treasury    LU03 8913"/>
    <n v="96155.79"/>
    <s v=""/>
  </r>
  <r>
    <x v="0"/>
    <x v="19"/>
    <s v="5001052"/>
    <s v=""/>
    <m/>
    <s v="600001266"/>
    <d v="2019-01-29T00:00:00"/>
    <n v="0"/>
    <n v="-142698.48000000001"/>
    <x v="4"/>
    <x v="2"/>
    <s v="IP (Europe) SARL - Treasury    LU03 8913"/>
    <n v="-142698.48000000001"/>
    <s v=""/>
  </r>
  <r>
    <x v="0"/>
    <x v="19"/>
    <s v="5001052"/>
    <s v=""/>
    <m/>
    <s v="600001267"/>
    <d v="2019-01-29T00:00:00"/>
    <n v="0"/>
    <n v="-116977.9"/>
    <x v="4"/>
    <x v="2"/>
    <s v="IP (Europe) SARL - Treasury    LU03 8913"/>
    <n v="-116977.9"/>
    <s v=""/>
  </r>
  <r>
    <x v="0"/>
    <x v="19"/>
    <s v="5001052"/>
    <s v=""/>
    <m/>
    <s v="600001228"/>
    <d v="2019-01-28T00:00:00"/>
    <n v="0"/>
    <n v="109380.73"/>
    <x v="4"/>
    <x v="2"/>
    <s v="IP (Europe) SARL - Treasury    LU03 8913"/>
    <n v="109380.73"/>
    <s v=""/>
  </r>
  <r>
    <x v="0"/>
    <x v="19"/>
    <s v="5001052"/>
    <s v=""/>
    <m/>
    <s v="600001126"/>
    <d v="2019-01-25T00:00:00"/>
    <n v="0"/>
    <n v="-1776.89"/>
    <x v="4"/>
    <x v="2"/>
    <s v="IP (Europe) SARL - Treasury    LU03 8913"/>
    <n v="-1776.89"/>
    <s v=""/>
  </r>
  <r>
    <x v="0"/>
    <x v="19"/>
    <s v="5001052"/>
    <s v=""/>
    <m/>
    <s v="600001141"/>
    <d v="2019-01-25T00:00:00"/>
    <n v="0"/>
    <n v="286453.21000000002"/>
    <x v="4"/>
    <x v="2"/>
    <s v="IP (Europe) SARL - Treasury    LU03 8913"/>
    <n v="286453.21000000002"/>
    <s v=""/>
  </r>
  <r>
    <x v="0"/>
    <x v="19"/>
    <s v="5001052"/>
    <s v=""/>
    <m/>
    <s v="600001046"/>
    <d v="2019-01-24T00:00:00"/>
    <n v="0"/>
    <n v="1108958.72"/>
    <x v="4"/>
    <x v="2"/>
    <s v="IP (Europe) SARL - Treasury    LU03 8913"/>
    <n v="1108958.72"/>
    <s v=""/>
  </r>
  <r>
    <x v="0"/>
    <x v="19"/>
    <s v="5001052"/>
    <s v=""/>
    <m/>
    <s v="600000905"/>
    <d v="2019-01-23T00:00:00"/>
    <n v="0"/>
    <n v="-5808.47"/>
    <x v="4"/>
    <x v="2"/>
    <s v="IP (Europe) SARL - Treasury    LU03 8913"/>
    <n v="-5808.47"/>
    <s v=""/>
  </r>
  <r>
    <x v="0"/>
    <x v="19"/>
    <s v="5001052"/>
    <s v=""/>
    <m/>
    <s v="600000906"/>
    <d v="2019-01-23T00:00:00"/>
    <n v="0"/>
    <n v="-2822.7"/>
    <x v="4"/>
    <x v="2"/>
    <s v="IP (Europe) SARL - Treasury    LU03 8913"/>
    <n v="-2822.7"/>
    <s v=""/>
  </r>
  <r>
    <x v="0"/>
    <x v="19"/>
    <s v="5001052"/>
    <s v=""/>
    <m/>
    <s v="600000829"/>
    <d v="2019-01-22T00:00:00"/>
    <n v="0"/>
    <n v="-376034.06"/>
    <x v="4"/>
    <x v="2"/>
    <s v="IP (Europe) SARL - Treasury    LU03 8913"/>
    <n v="-376034.06"/>
    <s v="14308CIGNA"/>
  </r>
  <r>
    <x v="0"/>
    <x v="19"/>
    <s v="5001052"/>
    <s v=""/>
    <m/>
    <s v="600000776"/>
    <d v="2019-01-21T00:00:00"/>
    <n v="0"/>
    <n v="-362033.72"/>
    <x v="4"/>
    <x v="2"/>
    <s v="IP (Europe) SARL - Treasury    LU03 8913"/>
    <n v="-362033.72"/>
    <s v="14309WEIC"/>
  </r>
  <r>
    <x v="0"/>
    <x v="19"/>
    <s v="5001052"/>
    <s v=""/>
    <m/>
    <s v="600000783"/>
    <d v="2019-01-21T00:00:00"/>
    <n v="0"/>
    <n v="-20744.75"/>
    <x v="4"/>
    <x v="2"/>
    <s v="IP (Europe) SARL - Treasury    LU03 8913"/>
    <n v="-20744.75"/>
    <s v=""/>
  </r>
  <r>
    <x v="0"/>
    <x v="19"/>
    <s v="5001052"/>
    <s v=""/>
    <m/>
    <s v="600000750"/>
    <d v="2019-01-18T00:00:00"/>
    <n v="0"/>
    <n v="378694.55"/>
    <x v="4"/>
    <x v="2"/>
    <s v="IP (Europe) SARL - Treasury    LU03 8913"/>
    <n v="378694.55"/>
    <s v=""/>
  </r>
  <r>
    <x v="0"/>
    <x v="19"/>
    <s v="5001052"/>
    <s v=""/>
    <m/>
    <s v="600000679"/>
    <d v="2019-01-17T00:00:00"/>
    <n v="0"/>
    <n v="-2860.84"/>
    <x v="4"/>
    <x v="2"/>
    <s v="IP (Europe) SARL - Treasury    LU03 8913"/>
    <n v="-2860.84"/>
    <s v=""/>
  </r>
  <r>
    <x v="0"/>
    <x v="19"/>
    <s v="5001052"/>
    <s v=""/>
    <m/>
    <s v="600000677"/>
    <d v="2019-01-17T00:00:00"/>
    <n v="0"/>
    <n v="-41175.21"/>
    <x v="4"/>
    <x v="2"/>
    <s v="IP (Europe) SARL - Treasury    LU03 8913"/>
    <n v="-41175.21"/>
    <s v=""/>
  </r>
  <r>
    <x v="0"/>
    <x v="19"/>
    <s v="5001052"/>
    <s v=""/>
    <m/>
    <s v="600000625"/>
    <d v="2019-01-16T00:00:00"/>
    <n v="0"/>
    <n v="-133797.21"/>
    <x v="4"/>
    <x v="2"/>
    <s v="IP (Europe) SARL - Treasury    LU03 8913"/>
    <n v="-133797.21"/>
    <s v=""/>
  </r>
  <r>
    <x v="0"/>
    <x v="19"/>
    <s v="5001052"/>
    <s v=""/>
    <m/>
    <s v="600000564"/>
    <d v="2019-01-15T00:00:00"/>
    <n v="0"/>
    <n v="-362095.08"/>
    <x v="4"/>
    <x v="2"/>
    <s v="IP (Europe) SARL - Treasury    LU03 8913"/>
    <n v="-362095.08"/>
    <s v=""/>
  </r>
  <r>
    <x v="0"/>
    <x v="19"/>
    <s v="5001052"/>
    <s v=""/>
    <m/>
    <s v="600000516"/>
    <d v="2019-01-14T00:00:00"/>
    <n v="0"/>
    <n v="-181722.72"/>
    <x v="4"/>
    <x v="2"/>
    <s v="IP (Europe) SARL - Treasury    LU03 8913"/>
    <n v="-181722.72"/>
    <s v=""/>
  </r>
  <r>
    <x v="0"/>
    <x v="19"/>
    <s v="5001052"/>
    <s v=""/>
    <m/>
    <s v="600000482"/>
    <d v="2019-01-11T00:00:00"/>
    <n v="0"/>
    <n v="-786.24"/>
    <x v="4"/>
    <x v="2"/>
    <s v="IP (Europe) SARL - Treasury    LU03 8913"/>
    <n v="-786.24"/>
    <s v=""/>
  </r>
  <r>
    <x v="0"/>
    <x v="19"/>
    <s v="5001052"/>
    <s v=""/>
    <m/>
    <s v="600000491"/>
    <d v="2019-01-11T00:00:00"/>
    <n v="0"/>
    <n v="103372.68"/>
    <x v="4"/>
    <x v="2"/>
    <s v="IP (Europe) SARL - Treasury    LU03 8913"/>
    <n v="103372.68"/>
    <s v=""/>
  </r>
  <r>
    <x v="0"/>
    <x v="19"/>
    <s v="5001052"/>
    <s v=""/>
    <m/>
    <s v="600000423"/>
    <d v="2019-01-10T00:00:00"/>
    <n v="0"/>
    <n v="-786.24"/>
    <x v="4"/>
    <x v="2"/>
    <s v="IP (Europe) SARL - Treasury    LU03 8913"/>
    <n v="-786.24"/>
    <s v=""/>
  </r>
  <r>
    <x v="0"/>
    <x v="19"/>
    <s v="5001052"/>
    <s v=""/>
    <m/>
    <s v="600000418"/>
    <d v="2019-01-10T00:00:00"/>
    <n v="0"/>
    <n v="-201274.1"/>
    <x v="4"/>
    <x v="2"/>
    <s v="IP (Europe) SARL - Treasury    LU03 8913"/>
    <n v="-201274.1"/>
    <s v=""/>
  </r>
  <r>
    <x v="0"/>
    <x v="19"/>
    <s v="5001052"/>
    <s v=""/>
    <m/>
    <s v="600000351"/>
    <d v="2019-01-09T00:00:00"/>
    <n v="0"/>
    <n v="10"/>
    <x v="4"/>
    <x v="2"/>
    <s v="IP (Europe) SARL - Treasury    LU03 8913"/>
    <n v="10"/>
    <s v=""/>
  </r>
  <r>
    <x v="0"/>
    <x v="19"/>
    <s v="5001052"/>
    <s v=""/>
    <m/>
    <s v="600000342"/>
    <d v="2019-01-09T00:00:00"/>
    <n v="0"/>
    <n v="-40038.480000000003"/>
    <x v="4"/>
    <x v="2"/>
    <s v="IP (Europe) SARL - Treasury    LU03 8913"/>
    <n v="-40038.480000000003"/>
    <s v=""/>
  </r>
  <r>
    <x v="0"/>
    <x v="19"/>
    <s v="5001052"/>
    <s v=""/>
    <m/>
    <s v="600000406"/>
    <d v="2019-01-09T00:00:00"/>
    <n v="0"/>
    <n v="-53.06"/>
    <x v="4"/>
    <x v="2"/>
    <s v="IP (Europe) SARL - Treasury    LU03 8913"/>
    <n v="-53.06"/>
    <s v=""/>
  </r>
  <r>
    <x v="1"/>
    <x v="19"/>
    <s v=""/>
    <s v=""/>
    <m/>
    <s v=""/>
    <m/>
    <n v="-5397743.6799999997"/>
    <n v="5427596.4699999997"/>
    <x v="4"/>
    <x v="0"/>
    <s v=""/>
    <n v="29852.79"/>
    <s v=""/>
  </r>
  <r>
    <x v="1"/>
    <x v="0"/>
    <s v=""/>
    <s v=""/>
    <m/>
    <s v=""/>
    <m/>
    <n v="-4836924.0199999996"/>
    <n v="4996481.2300000004"/>
    <x v="4"/>
    <x v="0"/>
    <s v=""/>
    <n v="159557.21"/>
    <s v=""/>
  </r>
  <r>
    <x v="1"/>
    <x v="0"/>
    <s v=""/>
    <s v=""/>
    <m/>
    <s v=""/>
    <m/>
    <n v="0"/>
    <n v="1369.76"/>
    <x v="4"/>
    <x v="0"/>
    <s v=""/>
    <n v="1369.76"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C13:D28" firstHeaderRow="1" firstDataRow="1" firstDataCol="1" rowPageCount="1" colPageCount="1"/>
  <pivotFields count="14">
    <pivotField axis="axisRow" showAll="0">
      <items count="5">
        <item x="1"/>
        <item x="0"/>
        <item x="2"/>
        <item m="1" x="3"/>
        <item t="default"/>
      </items>
    </pivotField>
    <pivotField axis="axisRow" showAll="0">
      <items count="35">
        <item x="0"/>
        <item x="1"/>
        <item x="2"/>
        <item x="3"/>
        <item x="4"/>
        <item x="5"/>
        <item x="6"/>
        <item x="8"/>
        <item m="1" x="22"/>
        <item x="13"/>
        <item x="14"/>
        <item x="16"/>
        <item x="17"/>
        <item x="18"/>
        <item x="19"/>
        <item x="9"/>
        <item x="10"/>
        <item x="11"/>
        <item x="12"/>
        <item x="20"/>
        <item m="1" x="33"/>
        <item m="1" x="25"/>
        <item m="1" x="28"/>
        <item m="1" x="24"/>
        <item m="1" x="27"/>
        <item m="1" x="29"/>
        <item m="1" x="26"/>
        <item m="1" x="21"/>
        <item m="1" x="23"/>
        <item m="1" x="30"/>
        <item m="1" x="32"/>
        <item m="1" x="31"/>
        <item x="15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17">
        <item h="1" x="0"/>
        <item h="1" x="1"/>
        <item h="1" x="3"/>
        <item h="1" x="4"/>
        <item h="1" x="5"/>
        <item h="1" x="8"/>
        <item h="1" x="7"/>
        <item h="1" m="1" x="13"/>
        <item h="1" x="9"/>
        <item x="11"/>
        <item x="10"/>
        <item x="6"/>
        <item h="1" x="12"/>
        <item h="1" m="1" x="14"/>
        <item h="1" m="1" x="15"/>
        <item x="2"/>
        <item t="default"/>
      </items>
    </pivotField>
    <pivotField showAll="0"/>
    <pivotField showAll="0"/>
    <pivotField showAll="0"/>
  </pivotFields>
  <rowFields count="2">
    <field x="0"/>
    <field x="1"/>
  </rowFields>
  <rowItems count="15">
    <i>
      <x v="1"/>
    </i>
    <i r="1">
      <x v="2"/>
    </i>
    <i r="1">
      <x v="4"/>
    </i>
    <i r="1">
      <x v="7"/>
    </i>
    <i r="1">
      <x v="9"/>
    </i>
    <i r="1">
      <x v="10"/>
    </i>
    <i r="1">
      <x v="11"/>
    </i>
    <i r="1">
      <x v="12"/>
    </i>
    <i r="1">
      <x v="14"/>
    </i>
    <i r="1">
      <x v="16"/>
    </i>
    <i r="1">
      <x v="17"/>
    </i>
    <i r="1">
      <x v="18"/>
    </i>
    <i r="1">
      <x v="32"/>
    </i>
    <i r="1">
      <x v="33"/>
    </i>
    <i t="grand">
      <x/>
    </i>
  </rowItems>
  <colItems count="1">
    <i/>
  </colItems>
  <pageFields count="1">
    <pageField fld="10" hier="-1"/>
  </pageFields>
  <dataFields count="1">
    <dataField name="Sum of PPC Balance(Doc)" fld="8" baseField="1" baseItem="9" numFmtId="164"/>
  </dataFields>
  <formats count="3"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outline="0" collapsedLevelsAreSubtotals="1" fieldPosition="0"/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3:B26" firstHeaderRow="1" firstDataRow="1" firstDataCol="1" rowPageCount="1" colPageCount="1"/>
  <pivotFields count="14">
    <pivotField axis="axisRow" showAll="0">
      <items count="5">
        <item x="1"/>
        <item x="0"/>
        <item x="2"/>
        <item m="1" x="3"/>
        <item t="default"/>
      </items>
    </pivotField>
    <pivotField axis="axisRow" showAll="0">
      <items count="35">
        <item x="0"/>
        <item x="1"/>
        <item x="2"/>
        <item x="3"/>
        <item x="4"/>
        <item x="5"/>
        <item x="6"/>
        <item x="8"/>
        <item m="1" x="22"/>
        <item x="13"/>
        <item x="14"/>
        <item x="16"/>
        <item x="17"/>
        <item x="18"/>
        <item x="19"/>
        <item x="9"/>
        <item x="10"/>
        <item x="11"/>
        <item x="12"/>
        <item x="20"/>
        <item m="1" x="33"/>
        <item m="1" x="25"/>
        <item m="1" x="28"/>
        <item m="1" x="24"/>
        <item m="1" x="27"/>
        <item m="1" x="29"/>
        <item m="1" x="26"/>
        <item m="1" x="21"/>
        <item m="1" x="23"/>
        <item m="1" x="30"/>
        <item m="1" x="32"/>
        <item m="1" x="31"/>
        <item x="15"/>
        <item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15">
        <item h="1" x="4"/>
        <item h="1" x="2"/>
        <item h="1" x="1"/>
        <item h="1" x="0"/>
        <item h="1" x="3"/>
        <item h="1" x="5"/>
        <item h="1" x="6"/>
        <item h="1" x="7"/>
        <item h="1" x="10"/>
        <item x="11"/>
        <item x="12"/>
        <item x="9"/>
        <item h="1" x="13"/>
        <item x="8"/>
        <item t="default"/>
      </items>
    </pivotField>
    <pivotField showAll="0"/>
    <pivotField showAll="0"/>
    <pivotField showAll="0"/>
    <pivotField showAll="0"/>
  </pivotFields>
  <rowFields count="2">
    <field x="0"/>
    <field x="1"/>
  </rowFields>
  <rowItems count="13">
    <i>
      <x v="1"/>
    </i>
    <i r="1">
      <x v="2"/>
    </i>
    <i r="1">
      <x v="4"/>
    </i>
    <i r="1">
      <x v="9"/>
    </i>
    <i r="1">
      <x v="10"/>
    </i>
    <i r="1">
      <x v="11"/>
    </i>
    <i r="1">
      <x v="12"/>
    </i>
    <i r="1">
      <x v="14"/>
    </i>
    <i r="1">
      <x v="16"/>
    </i>
    <i r="1">
      <x v="17"/>
    </i>
    <i r="1">
      <x v="18"/>
    </i>
    <i r="1">
      <x v="33"/>
    </i>
    <i t="grand">
      <x/>
    </i>
  </rowItems>
  <colItems count="1">
    <i/>
  </colItems>
  <pageFields count="1">
    <pageField fld="9" hier="-1"/>
  </pageFields>
  <dataFields count="1">
    <dataField name="Sum of PC Balance(Doc)" fld="7" baseField="0" baseItem="0" numFmtId="164"/>
  </dataFields>
  <formats count="7"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dataOnly="0" labelOnly="1" outline="0" fieldPosition="0">
        <references count="1">
          <reference field="9" count="0"/>
        </references>
      </pivotArea>
    </format>
    <format dxfId="22">
      <pivotArea dataOnly="0" labelOnly="1" outline="0" axis="axisValues" fieldPosition="0"/>
    </format>
    <format dxfId="21">
      <pivotArea dataOnly="0" labelOnly="1" outline="0" axis="axisValues" fieldPosition="0"/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7" name="Table7" displayName="Table7" ref="I13:J63" totalsRowShown="0">
  <autoFilter ref="I13:J63"/>
  <tableColumns count="2">
    <tableColumn id="1" name="PC"/>
    <tableColumn id="2" name="Sum of data" dataDxfId="17" dataCellStyle="Comma">
      <calculatedColumnFormula>SUMIFS(Data!$J:$J,Data!$B:$B,'Summary Interco'!$I$12,Data!$C:$C,'Summary Interco'!$I14,Data!$L:$L,"2016")
+SUMIFS(Data!$J:$J,Data!$B:$B,'Summary Interco'!$I$12,Data!$C:$C,'Summary Interco'!$I14,Data!$L:$L,"2017")
+SUMIFS(Data!$J:$J,Data!$B:$B,'Summary Interco'!$I$12,Data!$C:$C,'Summary Interco'!$I14,Data!$L:$L,"2018")
+SUMIFS(Data!$J:$J,Data!$B:$B,'Summary Interco'!$I$12,Data!$C:$C,'Summary Interco'!$I14,Data!$L:$L,"2019")</calculatedColumnFormula>
    </tableColumn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id="15" name="Table15" displayName="Table15" ref="L13:M63">
  <autoFilter ref="L13:M63"/>
  <tableColumns count="2">
    <tableColumn id="1" name="PC" totalsRowLabel="Total" dataDxfId="16" totalsRowDxfId="15"/>
    <tableColumn id="2" name="Difference" totalsRowFunction="sum" dataDxfId="14" totalsRowDxfId="13" dataCellStyle="Comma">
      <calculatedColumnFormula>Table6[[#This Row],[Sum of data]]+Table7[[#This Row],[Sum of data]]</calculatedColumnFormula>
    </tableColumn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6" name="Table6" displayName="Table6" ref="F13:G63" totalsRowShown="0">
  <autoFilter ref="F13:G63"/>
  <tableColumns count="2">
    <tableColumn id="1" name="PC"/>
    <tableColumn id="2" name="Sum of data" dataDxfId="12" dataCellStyle="Comma">
      <calculatedColumnFormula>SUMIFS(Data!$I:$I,Data!$B:$B,$D$4,Data!$C:$C,$F14,Data!$K:$K,"2016")+SUMIFS(Data!$I:$I,Data!$B:$B,'Summary Interco'!$F$12,Data!$C:$C,'Summary Interco'!$F14,Data!$K:$K,"2017")+SUMIFS(Data!$I:$I,Data!$B:$B,'Summary Interco'!$F$12,Data!$C:$C,'Summary Interco'!$F14,Data!$K:$K,"2018")</calculatedColumnFormula>
    </tableColumn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id="3" name="Table154" displayName="Table154" ref="R8:S57">
  <autoFilter ref="R8:S57"/>
  <tableColumns count="2">
    <tableColumn id="1" name="PC" totalsRowLabel="Total" dataDxfId="6" totalsRowDxfId="5"/>
    <tableColumn id="2" name="Difference" totalsRowFunction="sum" dataDxfId="4" totalsRowDxfId="3" dataCellStyle="Comma">
      <calculatedColumnFormula>'Summary Interco'!M14</calculatedColumnFormula>
    </tableColumn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1.xml"/><Relationship Id="rId12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2.xml"/><Relationship Id="rId5" Type="http://schemas.openxmlformats.org/officeDocument/2006/relationships/drawing" Target="../drawings/drawing1.xml"/><Relationship Id="rId10" Type="http://schemas.openxmlformats.org/officeDocument/2006/relationships/table" Target="../tables/table1.xml"/><Relationship Id="rId4" Type="http://schemas.openxmlformats.org/officeDocument/2006/relationships/customProperty" Target="../customProperty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81"/>
  <sheetViews>
    <sheetView showGridLines="0" zoomScale="80" zoomScaleNormal="80" workbookViewId="0">
      <selection activeCell="D35" sqref="D35"/>
    </sheetView>
  </sheetViews>
  <sheetFormatPr defaultRowHeight="12.75" x14ac:dyDescent="0.2"/>
  <cols>
    <col min="1" max="1" width="15.5703125" customWidth="1"/>
    <col min="2" max="2" width="25" customWidth="1"/>
    <col min="3" max="3" width="15.5703125" customWidth="1"/>
    <col min="4" max="4" width="26.28515625" customWidth="1"/>
    <col min="5" max="5" width="11.7109375" customWidth="1"/>
    <col min="7" max="7" width="15.7109375" customWidth="1"/>
    <col min="8" max="8" width="11.42578125" customWidth="1"/>
    <col min="9" max="9" width="6.140625" bestFit="1" customWidth="1"/>
    <col min="10" max="10" width="15.7109375" bestFit="1" customWidth="1"/>
    <col min="11" max="11" width="14.42578125" customWidth="1"/>
    <col min="12" max="12" width="8.5703125" bestFit="1" customWidth="1"/>
    <col min="13" max="13" width="13" bestFit="1" customWidth="1"/>
    <col min="16" max="16" width="5.5703125" bestFit="1" customWidth="1"/>
    <col min="17" max="17" width="6.140625" bestFit="1" customWidth="1"/>
    <col min="18" max="18" width="7.7109375" bestFit="1" customWidth="1"/>
    <col min="19" max="19" width="33.28515625" bestFit="1" customWidth="1"/>
  </cols>
  <sheetData>
    <row r="1" spans="1:22" ht="13.5" thickBot="1" x14ac:dyDescent="0.25"/>
    <row r="2" spans="1:22" ht="15.75" x14ac:dyDescent="0.2">
      <c r="A2" s="66" t="s">
        <v>117</v>
      </c>
      <c r="B2" s="52"/>
      <c r="C2" s="52"/>
      <c r="D2" s="52"/>
      <c r="E2" s="52"/>
      <c r="F2" s="52"/>
      <c r="G2" s="52"/>
      <c r="H2" s="53"/>
    </row>
    <row r="3" spans="1:22" ht="12.75" customHeight="1" x14ac:dyDescent="0.2">
      <c r="A3" s="67"/>
      <c r="B3" s="56"/>
      <c r="C3" s="68"/>
      <c r="D3" s="56"/>
      <c r="E3" s="67"/>
      <c r="F3" s="69" t="s">
        <v>118</v>
      </c>
      <c r="G3" s="70" t="s">
        <v>119</v>
      </c>
      <c r="H3" s="55"/>
    </row>
    <row r="4" spans="1:22" ht="15" customHeight="1" x14ac:dyDescent="0.2">
      <c r="A4" s="67"/>
      <c r="B4" s="145" t="s">
        <v>120</v>
      </c>
      <c r="C4" s="38" t="s">
        <v>121</v>
      </c>
      <c r="D4" s="39">
        <v>99</v>
      </c>
      <c r="E4" s="67"/>
      <c r="F4" s="67"/>
      <c r="G4" s="67"/>
      <c r="H4" s="55"/>
      <c r="J4" s="36"/>
      <c r="K4" s="41"/>
      <c r="L4" s="42"/>
      <c r="M4" s="43"/>
    </row>
    <row r="5" spans="1:22" ht="15.75" x14ac:dyDescent="0.2">
      <c r="A5" s="67"/>
      <c r="B5" s="146"/>
      <c r="C5" s="38" t="s">
        <v>122</v>
      </c>
      <c r="D5" s="40">
        <v>43496</v>
      </c>
      <c r="E5" s="67"/>
      <c r="F5" s="67"/>
      <c r="G5" s="67"/>
      <c r="H5" s="55"/>
      <c r="J5" s="37" t="s">
        <v>126</v>
      </c>
      <c r="K5" s="44" t="s">
        <v>125</v>
      </c>
      <c r="L5" s="147" t="str">
        <f>IF(AND(GETPIVOTDATA("PC Balance(Doc)",$B$15,"PC",$F$12)=G65,GETPIVOTDATA("PPC Balance(Doc)",$D$15,"PC",$F$12)=J65),"All good","Check PPC not listed")</f>
        <v>All good</v>
      </c>
      <c r="M5" s="148"/>
    </row>
    <row r="6" spans="1:22" ht="15.75" x14ac:dyDescent="0.2">
      <c r="A6" s="67"/>
      <c r="B6" s="71"/>
      <c r="C6" s="72"/>
      <c r="D6" s="67"/>
      <c r="E6" s="67"/>
      <c r="F6" s="69" t="s">
        <v>118</v>
      </c>
      <c r="G6" s="70" t="s">
        <v>123</v>
      </c>
      <c r="H6" s="55"/>
      <c r="J6" s="36"/>
      <c r="K6" s="45"/>
      <c r="L6" s="46"/>
      <c r="M6" s="47"/>
    </row>
    <row r="7" spans="1:22" ht="15.75" x14ac:dyDescent="0.2">
      <c r="A7" s="54"/>
      <c r="B7" s="54"/>
      <c r="C7" s="54"/>
      <c r="D7" s="54"/>
      <c r="E7" s="54"/>
      <c r="F7" s="54"/>
      <c r="G7" s="54"/>
      <c r="H7" s="55"/>
    </row>
    <row r="8" spans="1:22" ht="15.75" x14ac:dyDescent="0.2">
      <c r="A8" s="54"/>
      <c r="B8" s="54"/>
      <c r="C8" s="54"/>
      <c r="D8" s="54"/>
      <c r="E8" s="54"/>
      <c r="F8" s="83" t="s">
        <v>382</v>
      </c>
      <c r="G8" s="82"/>
      <c r="H8" s="55"/>
    </row>
    <row r="9" spans="1:22" ht="20.25" customHeight="1" thickBot="1" x14ac:dyDescent="0.25">
      <c r="A9" s="57"/>
      <c r="B9" s="57"/>
      <c r="C9" s="57"/>
      <c r="D9" s="57"/>
      <c r="E9" s="57"/>
      <c r="F9" s="57"/>
      <c r="G9" s="57"/>
      <c r="H9" s="58"/>
    </row>
    <row r="11" spans="1:22" x14ac:dyDescent="0.2">
      <c r="A11" s="9" t="s">
        <v>34</v>
      </c>
      <c r="B11" s="30" t="s">
        <v>40</v>
      </c>
      <c r="C11" s="9" t="s">
        <v>35</v>
      </c>
      <c r="D11" t="s">
        <v>40</v>
      </c>
    </row>
    <row r="12" spans="1:22" ht="15" x14ac:dyDescent="0.2">
      <c r="B12" s="30"/>
      <c r="F12" s="149" t="str">
        <f>Data!B9</f>
        <v>99</v>
      </c>
      <c r="G12" s="149"/>
      <c r="I12" s="149" t="str">
        <f>F12</f>
        <v>99</v>
      </c>
      <c r="J12" s="149"/>
      <c r="L12" s="150" t="str">
        <f>F12</f>
        <v>99</v>
      </c>
      <c r="M12" s="150"/>
      <c r="P12" s="74" t="s">
        <v>68</v>
      </c>
      <c r="Q12" s="74" t="s">
        <v>70</v>
      </c>
      <c r="R12" s="75" t="s">
        <v>69</v>
      </c>
      <c r="S12" s="75" t="s">
        <v>47</v>
      </c>
      <c r="U12">
        <v>995</v>
      </c>
      <c r="V12">
        <v>42165.47</v>
      </c>
    </row>
    <row r="13" spans="1:22" x14ac:dyDescent="0.2">
      <c r="A13" s="9" t="s">
        <v>38</v>
      </c>
      <c r="B13" s="30" t="s">
        <v>41</v>
      </c>
      <c r="C13" s="9" t="s">
        <v>38</v>
      </c>
      <c r="D13" t="s">
        <v>124</v>
      </c>
      <c r="F13" s="13" t="s">
        <v>68</v>
      </c>
      <c r="G13" s="13" t="s">
        <v>71</v>
      </c>
      <c r="I13" s="13" t="s">
        <v>68</v>
      </c>
      <c r="J13" s="13" t="s">
        <v>71</v>
      </c>
      <c r="L13" s="13" t="s">
        <v>68</v>
      </c>
      <c r="M13" s="16" t="s">
        <v>72</v>
      </c>
      <c r="P13">
        <v>995</v>
      </c>
      <c r="Q13" t="s">
        <v>16</v>
      </c>
      <c r="R13" t="s">
        <v>42</v>
      </c>
      <c r="S13" t="s">
        <v>48</v>
      </c>
      <c r="U13">
        <v>132</v>
      </c>
      <c r="V13">
        <v>1702.0099999999993</v>
      </c>
    </row>
    <row r="14" spans="1:22" x14ac:dyDescent="0.2">
      <c r="A14" s="10" t="s">
        <v>0</v>
      </c>
      <c r="B14" s="31">
        <v>-5009770.4100000011</v>
      </c>
      <c r="C14" s="10" t="s">
        <v>0</v>
      </c>
      <c r="D14" s="81">
        <v>5130042.5000000009</v>
      </c>
      <c r="F14">
        <v>995</v>
      </c>
      <c r="G14" s="25">
        <f>SUMIFS(Data!$I:$I,Data!$B:$B,$D$4,Data!$C:$C,$F14,Data!$K:$K,"2016")
+SUMIFS(Data!$I:$I,Data!$B:$B,'Summary Interco'!$F$12,Data!$C:$C,'Summary Interco'!$F14,Data!$K:$K,"2017")
+SUMIFS(Data!$I:$I,Data!$B:$B,'Summary Interco'!$F$12,Data!$C:$C,'Summary Interco'!$F14,Data!$K:$K,"2018")
+SUMIFS(Data!$I:$I,Data!$B:$B,'Summary Interco'!$F$12,Data!$C:$C,'Summary Interco'!$F14,Data!$K:$K,"2019")</f>
        <v>-43888.359999999993</v>
      </c>
      <c r="I14">
        <v>995</v>
      </c>
      <c r="J14" s="25">
        <f>SUMIFS(Data!$J:$J,Data!$B:$B,'Summary Interco'!$I$12,Data!$C:$C,'Summary Interco'!$I14,Data!$L:$L,"2016")
+SUMIFS(Data!$J:$J,Data!$B:$B,'Summary Interco'!$I$12,Data!$C:$C,'Summary Interco'!$I14,Data!$L:$L,"2017")
+SUMIFS(Data!$J:$J,Data!$B:$B,'Summary Interco'!$I$12,Data!$C:$C,'Summary Interco'!$I14,Data!$L:$L,"2018")
+SUMIFS(Data!$J:$J,Data!$B:$B,'Summary Interco'!$I$12,Data!$C:$C,'Summary Interco'!$I14,Data!$L:$L,"2019")</f>
        <v>43888.359999999964</v>
      </c>
      <c r="L14" s="14">
        <v>995</v>
      </c>
      <c r="M14" s="24">
        <f>Table6[[#This Row],[Sum of data]]+Table7[[#This Row],[Sum of data]]</f>
        <v>0</v>
      </c>
      <c r="P14">
        <v>132</v>
      </c>
      <c r="Q14" t="s">
        <v>5</v>
      </c>
      <c r="R14" t="s">
        <v>42</v>
      </c>
      <c r="S14" t="s">
        <v>49</v>
      </c>
      <c r="U14">
        <v>994</v>
      </c>
      <c r="V14">
        <v>18341.310000000001</v>
      </c>
    </row>
    <row r="15" spans="1:22" x14ac:dyDescent="0.2">
      <c r="A15" s="11" t="s">
        <v>4</v>
      </c>
      <c r="B15" s="31">
        <v>2918.54</v>
      </c>
      <c r="C15" s="11" t="s">
        <v>4</v>
      </c>
      <c r="D15" s="81">
        <v>-2918.54</v>
      </c>
      <c r="F15">
        <v>132</v>
      </c>
      <c r="G15" s="25">
        <f>SUMIFS(Data!$I:$I,Data!$B:$B,$D$4,Data!$C:$C,$F15,Data!$K:$K,"2016")
+SUMIFS(Data!$I:$I,Data!$B:$B,'Summary Interco'!$F$12,Data!$C:$C,'Summary Interco'!$F15,Data!$K:$K,"2017")
+SUMIFS(Data!$I:$I,Data!$B:$B,'Summary Interco'!$F$12,Data!$C:$C,'Summary Interco'!$F15,Data!$K:$K,"2018")+SUMIFS(Data!$I:$I,Data!$B:$B,'Summary Interco'!$F$12,Data!$C:$C,'Summary Interco'!$F15,Data!$K:$K,"2019")</f>
        <v>2918.54</v>
      </c>
      <c r="I15">
        <v>132</v>
      </c>
      <c r="J15" s="25">
        <f>SUMIFS(Data!$J:$J,Data!$B:$B,'Summary Interco'!$I$12,Data!$C:$C,'Summary Interco'!$I15,Data!$L:$L,"2016")
+SUMIFS(Data!$J:$J,Data!$B:$B,'Summary Interco'!$I$12,Data!$C:$C,'Summary Interco'!$I15,Data!$L:$L,"2017")
+SUMIFS(Data!$J:$J,Data!$B:$B,'Summary Interco'!$I$12,Data!$C:$C,'Summary Interco'!$I15,Data!$L:$L,"2018")
+SUMIFS(Data!$J:$J,Data!$B:$B,'Summary Interco'!$I$12,Data!$C:$C,'Summary Interco'!$I15,Data!$L:$L,"2019")</f>
        <v>-2918.54</v>
      </c>
      <c r="L15" s="15">
        <v>132</v>
      </c>
      <c r="M15" s="24">
        <f>Table6[[#This Row],[Sum of data]]+Table7[[#This Row],[Sum of data]]</f>
        <v>0</v>
      </c>
      <c r="P15">
        <v>994</v>
      </c>
      <c r="Q15" t="s">
        <v>14</v>
      </c>
      <c r="R15" t="s">
        <v>42</v>
      </c>
      <c r="S15" t="s">
        <v>50</v>
      </c>
      <c r="U15">
        <v>99</v>
      </c>
      <c r="V15">
        <v>0</v>
      </c>
    </row>
    <row r="16" spans="1:22" x14ac:dyDescent="0.2">
      <c r="A16" s="11" t="s">
        <v>2</v>
      </c>
      <c r="B16" s="31">
        <v>961897.75</v>
      </c>
      <c r="C16" s="11" t="s">
        <v>2</v>
      </c>
      <c r="D16" s="81">
        <v>-958134.11</v>
      </c>
      <c r="F16">
        <v>994</v>
      </c>
      <c r="G16" s="25">
        <f>SUMIFS(Data!$I:$I,Data!$B:$B,$D$4,Data!$C:$C,$F16,Data!$K:$K,"2016")
+SUMIFS(Data!$I:$I,Data!$B:$B,'Summary Interco'!$F$12,Data!$C:$C,'Summary Interco'!$F16,Data!$K:$K,"2017")
+SUMIFS(Data!$I:$I,Data!$B:$B,'Summary Interco'!$F$12,Data!$C:$C,'Summary Interco'!$F16,Data!$K:$K,"2018")
+SUMIFS(Data!$I:$I,Data!$B:$B,'Summary Interco'!$F$12,Data!$C:$C,'Summary Interco'!$F16,Data!$K:$K,"2019")</f>
        <v>-7896.25</v>
      </c>
      <c r="I16">
        <v>994</v>
      </c>
      <c r="J16" s="25">
        <f>SUMIFS(Data!$J:$J,Data!$B:$B,'Summary Interco'!$I$12,Data!$C:$C,'Summary Interco'!$I16,Data!$L:$L,"2016")
+SUMIFS(Data!$J:$J,Data!$B:$B,'Summary Interco'!$I$12,Data!$C:$C,'Summary Interco'!$I16,Data!$L:$L,"2017")
+SUMIFS(Data!$J:$J,Data!$B:$B,'Summary Interco'!$I$12,Data!$C:$C,'Summary Interco'!$I16,Data!$L:$L,"2018")
+SUMIFS(Data!$J:$J,Data!$B:$B,'Summary Interco'!$I$12,Data!$C:$C,'Summary Interco'!$I16,Data!$L:$L,"2019")</f>
        <v>7896.25</v>
      </c>
      <c r="L16" s="14">
        <v>994</v>
      </c>
      <c r="M16" s="24">
        <f>Table6[[#This Row],[Sum of data]]+Table7[[#This Row],[Sum of data]]</f>
        <v>0</v>
      </c>
      <c r="P16">
        <v>99</v>
      </c>
      <c r="Q16" t="s">
        <v>3</v>
      </c>
      <c r="R16" t="s">
        <v>42</v>
      </c>
      <c r="S16" t="s">
        <v>51</v>
      </c>
      <c r="U16">
        <v>143</v>
      </c>
      <c r="V16">
        <v>0</v>
      </c>
    </row>
    <row r="17" spans="1:22" x14ac:dyDescent="0.2">
      <c r="A17" s="11" t="s">
        <v>91</v>
      </c>
      <c r="B17" s="31">
        <v>-15315.66</v>
      </c>
      <c r="C17" s="11" t="s">
        <v>8</v>
      </c>
      <c r="D17" s="81">
        <v>0</v>
      </c>
      <c r="F17">
        <v>99</v>
      </c>
      <c r="G17" s="25">
        <f>SUMIFS(Data!$I:$I,Data!$B:$B,$D$4,Data!$C:$C,$F17,Data!$K:$K,"2016")+SUMIFS(Data!$I:$I,Data!$B:$B,'Summary Interco'!$F$12,Data!$C:$C,'Summary Interco'!$F17,Data!$K:$K,"2017")+SUMIFS(Data!$I:$I,Data!$B:$B,'Summary Interco'!$F$12,Data!$C:$C,'Summary Interco'!$F17,Data!$K:$K,"2018")+SUMIFS(Data!$I:$I,Data!$B:$B,'Summary Interco'!$F$12,Data!$C:$C,'Summary Interco'!$F17,Data!$K:$K,"2019")</f>
        <v>0</v>
      </c>
      <c r="I17">
        <v>99</v>
      </c>
      <c r="J17" s="25">
        <f>SUMIFS(Data!$J:$J,Data!$B:$B,'Summary Interco'!$I$12,Data!$C:$C,'Summary Interco'!$I17,Data!$L:$L,"2016")
+SUMIFS(Data!$J:$J,Data!$B:$B,'Summary Interco'!$I$12,Data!$C:$C,'Summary Interco'!$I17,Data!$L:$L,"2017")
+SUMIFS(Data!$J:$J,Data!$B:$B,'Summary Interco'!$I$12,Data!$C:$C,'Summary Interco'!$I17,Data!$L:$L,"2018")
+SUMIFS(Data!$J:$J,Data!$B:$B,'Summary Interco'!$I$12,Data!$C:$C,'Summary Interco'!$I17,Data!$L:$L,"2019")</f>
        <v>0</v>
      </c>
      <c r="L17" s="15">
        <v>99</v>
      </c>
      <c r="M17" s="24">
        <f>Table6[[#This Row],[Sum of data]]+Table7[[#This Row],[Sum of data]]</f>
        <v>0</v>
      </c>
      <c r="P17">
        <v>143</v>
      </c>
      <c r="Q17" t="s">
        <v>3</v>
      </c>
      <c r="R17" t="s">
        <v>42</v>
      </c>
      <c r="S17" t="s">
        <v>52</v>
      </c>
      <c r="U17">
        <v>998</v>
      </c>
      <c r="V17">
        <v>-439720.7</v>
      </c>
    </row>
    <row r="18" spans="1:22" x14ac:dyDescent="0.2">
      <c r="A18" s="11" t="s">
        <v>90</v>
      </c>
      <c r="B18" s="31">
        <v>-102625.94999999998</v>
      </c>
      <c r="C18" s="11" t="s">
        <v>91</v>
      </c>
      <c r="D18" s="81">
        <v>15315.66</v>
      </c>
      <c r="F18">
        <v>143</v>
      </c>
      <c r="G18" s="25">
        <f>SUMIFS(Data!$I:$I,Data!$B:$B,$D$4,Data!$C:$C,$F18,Data!$K:$K,"2016")+SUMIFS(Data!$I:$I,Data!$B:$B,'Summary Interco'!$F$12,Data!$C:$C,'Summary Interco'!$F18,Data!$K:$K,"2017")+SUMIFS(Data!$I:$I,Data!$B:$B,'Summary Interco'!$F$12,Data!$C:$C,'Summary Interco'!$F18,Data!$K:$K,"2018")+SUMIFS(Data!$I:$I,Data!$B:$B,'Summary Interco'!$F$12,Data!$C:$C,'Summary Interco'!$F18,Data!$K:$K,"2019")</f>
        <v>961897.75000000012</v>
      </c>
      <c r="I18">
        <v>143</v>
      </c>
      <c r="J18" s="25">
        <f>SUMIFS(Data!$J:$J,Data!$B:$B,'Summary Interco'!$I$12,Data!$C:$C,'Summary Interco'!$I18,Data!$L:$L,"2016")
+SUMIFS(Data!$J:$J,Data!$B:$B,'Summary Interco'!$I$12,Data!$C:$C,'Summary Interco'!$I18,Data!$L:$L,"2017")
+SUMIFS(Data!$J:$J,Data!$B:$B,'Summary Interco'!$I$12,Data!$C:$C,'Summary Interco'!$I18,Data!$L:$L,"2018")
+SUMIFS(Data!$J:$J,Data!$B:$B,'Summary Interco'!$I$12,Data!$C:$C,'Summary Interco'!$I18,Data!$L:$L,"2019")</f>
        <v>-958134.1100000001</v>
      </c>
      <c r="L18" s="14">
        <v>143</v>
      </c>
      <c r="M18" s="24">
        <f>Table6[[#This Row],[Sum of data]]+Table7[[#This Row],[Sum of data]]</f>
        <v>3763.640000000014</v>
      </c>
      <c r="P18">
        <v>998</v>
      </c>
      <c r="Q18" t="s">
        <v>3</v>
      </c>
      <c r="R18" t="s">
        <v>42</v>
      </c>
      <c r="S18" t="s">
        <v>53</v>
      </c>
      <c r="U18">
        <v>979</v>
      </c>
      <c r="V18">
        <v>0</v>
      </c>
    </row>
    <row r="19" spans="1:22" x14ac:dyDescent="0.2">
      <c r="A19" s="11" t="s">
        <v>22</v>
      </c>
      <c r="B19" s="31">
        <v>-57738.12</v>
      </c>
      <c r="C19" s="11" t="s">
        <v>90</v>
      </c>
      <c r="D19" s="81">
        <v>102625.95</v>
      </c>
      <c r="F19">
        <v>998</v>
      </c>
      <c r="G19" s="25">
        <f>SUMIFS(Data!$I:$I,Data!$B:$B,$D$4,Data!$C:$C,$F19,Data!$K:$K,"2016")+SUMIFS(Data!$I:$I,Data!$B:$B,'Summary Interco'!$F$12,Data!$C:$C,'Summary Interco'!$F19,Data!$K:$K,"2017")+SUMIFS(Data!$I:$I,Data!$B:$B,'Summary Interco'!$F$12,Data!$C:$C,'Summary Interco'!$F19,Data!$K:$K,"2018")+SUMIFS(Data!$I:$I,Data!$B:$B,'Summary Interco'!$F$12,Data!$C:$C,'Summary Interco'!$F19,Data!$K:$K,"2019")</f>
        <v>77469.549999999988</v>
      </c>
      <c r="I19">
        <v>998</v>
      </c>
      <c r="J19" s="25">
        <f>SUMIFS(Data!$J:$J,Data!$B:$B,'Summary Interco'!$I$12,Data!$C:$C,'Summary Interco'!$I19,Data!$L:$L,"2016")
+SUMIFS(Data!$J:$J,Data!$B:$B,'Summary Interco'!$I$12,Data!$C:$C,'Summary Interco'!$I19,Data!$L:$L,"2017")
+SUMIFS(Data!$J:$J,Data!$B:$B,'Summary Interco'!$I$12,Data!$C:$C,'Summary Interco'!$I19,Data!$L:$L,"2018")
+SUMIFS(Data!$J:$J,Data!$B:$B,'Summary Interco'!$I$12,Data!$C:$C,'Summary Interco'!$I19,Data!$L:$L,"2019")</f>
        <v>-16169.259999999893</v>
      </c>
      <c r="L19" s="15">
        <v>998</v>
      </c>
      <c r="M19" s="27">
        <f>Table6[[#This Row],[Sum of data]]+Table7[[#This Row],[Sum of data]]</f>
        <v>61300.290000000095</v>
      </c>
      <c r="P19">
        <v>979</v>
      </c>
      <c r="Q19" t="s">
        <v>12</v>
      </c>
      <c r="R19" t="s">
        <v>42</v>
      </c>
      <c r="S19" t="s">
        <v>54</v>
      </c>
      <c r="U19">
        <v>6351</v>
      </c>
      <c r="V19">
        <v>0</v>
      </c>
    </row>
    <row r="20" spans="1:22" x14ac:dyDescent="0.2">
      <c r="A20" s="11" t="s">
        <v>24</v>
      </c>
      <c r="B20" s="31">
        <v>-13731.25</v>
      </c>
      <c r="C20" s="11" t="s">
        <v>22</v>
      </c>
      <c r="D20" s="81">
        <v>57738.12</v>
      </c>
      <c r="F20">
        <v>979</v>
      </c>
      <c r="G20" s="25">
        <f>SUMIFS(Data!$I:$I,Data!$B:$B,$D$4,Data!$C:$C,$F20,Data!$K:$K,"2016")+SUMIFS(Data!$I:$I,Data!$B:$B,'Summary Interco'!$F$12,Data!$C:$C,'Summary Interco'!$F20,Data!$K:$K,"2017")+SUMIFS(Data!$I:$I,Data!$B:$B,'Summary Interco'!$F$12,Data!$C:$C,'Summary Interco'!$F20,Data!$K:$K,"2018")+SUMIFS(Data!$I:$I,Data!$B:$B,'Summary Interco'!$F$12,Data!$C:$C,'Summary Interco'!$F20,Data!$K:$K,"2019")</f>
        <v>0</v>
      </c>
      <c r="I20">
        <v>979</v>
      </c>
      <c r="J20" s="25">
        <f>SUMIFS(Data!$J:$J,Data!$B:$B,'Summary Interco'!$I$12,Data!$C:$C,'Summary Interco'!$I20,Data!$L:$L,"2016")
+SUMIFS(Data!$J:$J,Data!$B:$B,'Summary Interco'!$I$12,Data!$C:$C,'Summary Interco'!$I20,Data!$L:$L,"2017")
+SUMIFS(Data!$J:$J,Data!$B:$B,'Summary Interco'!$I$12,Data!$C:$C,'Summary Interco'!$I20,Data!$L:$L,"2018")
+SUMIFS(Data!$J:$J,Data!$B:$B,'Summary Interco'!$I$12,Data!$C:$C,'Summary Interco'!$I20,Data!$L:$L,"2019")</f>
        <v>0</v>
      </c>
      <c r="L20" s="14">
        <v>979</v>
      </c>
      <c r="M20" s="24">
        <f>Table6[[#This Row],[Sum of data]]+Table7[[#This Row],[Sum of data]]</f>
        <v>0</v>
      </c>
      <c r="P20">
        <v>6351</v>
      </c>
      <c r="Q20" t="s">
        <v>19</v>
      </c>
      <c r="R20" t="s">
        <v>42</v>
      </c>
      <c r="S20" t="s">
        <v>55</v>
      </c>
      <c r="U20">
        <v>7542</v>
      </c>
      <c r="V20">
        <v>0</v>
      </c>
    </row>
    <row r="21" spans="1:22" x14ac:dyDescent="0.2">
      <c r="A21" s="11" t="s">
        <v>25</v>
      </c>
      <c r="B21" s="31">
        <v>-5397743.6800000006</v>
      </c>
      <c r="C21" s="11" t="s">
        <v>24</v>
      </c>
      <c r="D21" s="81">
        <v>13731.25</v>
      </c>
      <c r="F21">
        <v>6351</v>
      </c>
      <c r="G21" s="25">
        <f>SUMIFS(Data!$I:$I,Data!$B:$B,$D$4,Data!$C:$C,$F21,Data!$K:$K,"2016")+SUMIFS(Data!$I:$I,Data!$B:$B,'Summary Interco'!$F$12,Data!$C:$C,'Summary Interco'!$F21,Data!$K:$K,"2017")+SUMIFS(Data!$I:$I,Data!$B:$B,'Summary Interco'!$F$12,Data!$C:$C,'Summary Interco'!$F21,Data!$K:$K,"2018")+SUMIFS(Data!$I:$I,Data!$B:$B,'Summary Interco'!$F$12,Data!$C:$C,'Summary Interco'!$F21,Data!$K:$K,"2019")</f>
        <v>0</v>
      </c>
      <c r="I21">
        <v>6351</v>
      </c>
      <c r="J21" s="25">
        <f>SUMIFS(Data!$J:$J,Data!$B:$B,'Summary Interco'!$I$12,Data!$C:$C,'Summary Interco'!$I21,Data!$L:$L,"2016")
+SUMIFS(Data!$J:$J,Data!$B:$B,'Summary Interco'!$I$12,Data!$C:$C,'Summary Interco'!$I21,Data!$L:$L,"2017")
+SUMIFS(Data!$J:$J,Data!$B:$B,'Summary Interco'!$I$12,Data!$C:$C,'Summary Interco'!$I21,Data!$L:$L,"2018")
+SUMIFS(Data!$J:$J,Data!$B:$B,'Summary Interco'!$I$12,Data!$C:$C,'Summary Interco'!$I21,Data!$L:$L,"2019")</f>
        <v>0</v>
      </c>
      <c r="L21" s="15">
        <v>6351</v>
      </c>
      <c r="M21" s="24">
        <f>Table6[[#This Row],[Sum of data]]+Table7[[#This Row],[Sum of data]]</f>
        <v>0</v>
      </c>
      <c r="P21">
        <v>7542</v>
      </c>
      <c r="Q21" t="s">
        <v>23</v>
      </c>
      <c r="R21" t="s">
        <v>42</v>
      </c>
      <c r="S21" t="s">
        <v>56</v>
      </c>
      <c r="U21">
        <v>8317</v>
      </c>
      <c r="V21">
        <v>0</v>
      </c>
    </row>
    <row r="22" spans="1:22" x14ac:dyDescent="0.2">
      <c r="A22" s="11" t="s">
        <v>13</v>
      </c>
      <c r="B22" s="31">
        <v>-7896.2499999999982</v>
      </c>
      <c r="C22" s="11" t="s">
        <v>25</v>
      </c>
      <c r="D22" s="81">
        <v>5427596.4700000007</v>
      </c>
      <c r="F22">
        <v>7542</v>
      </c>
      <c r="G22" s="25">
        <f>SUMIFS(Data!$I:$I,Data!$B:$B,$D$4,Data!$C:$C,$F22,Data!$K:$K,"2016")+SUMIFS(Data!$I:$I,Data!$B:$B,'Summary Interco'!$F$12,Data!$C:$C,'Summary Interco'!$F22,Data!$K:$K,"2017")+SUMIFS(Data!$I:$I,Data!$B:$B,'Summary Interco'!$F$12,Data!$C:$C,'Summary Interco'!$F22,Data!$K:$K,"2018")+SUMIFS(Data!$I:$I,Data!$B:$B,'Summary Interco'!$F$12,Data!$C:$C,'Summary Interco'!$F22,Data!$K:$K,"2019")</f>
        <v>0</v>
      </c>
      <c r="I22">
        <v>7542</v>
      </c>
      <c r="J22" s="25">
        <f>SUMIFS(Data!$J:$J,Data!$B:$B,'Summary Interco'!$I$12,Data!$C:$C,'Summary Interco'!$I22,Data!$L:$L,"2016")
+SUMIFS(Data!$J:$J,Data!$B:$B,'Summary Interco'!$I$12,Data!$C:$C,'Summary Interco'!$I22,Data!$L:$L,"2017")
+SUMIFS(Data!$J:$J,Data!$B:$B,'Summary Interco'!$I$12,Data!$C:$C,'Summary Interco'!$I22,Data!$L:$L,"2018")
+SUMIFS(Data!$J:$J,Data!$B:$B,'Summary Interco'!$I$12,Data!$C:$C,'Summary Interco'!$I22,Data!$L:$L,"2019")</f>
        <v>0</v>
      </c>
      <c r="L22" s="14">
        <v>7542</v>
      </c>
      <c r="M22" s="24">
        <f>Table6[[#This Row],[Sum of data]]+Table7[[#This Row],[Sum of data]]</f>
        <v>0</v>
      </c>
      <c r="P22">
        <v>8530</v>
      </c>
      <c r="Q22" t="s">
        <v>9</v>
      </c>
      <c r="R22" t="s">
        <v>43</v>
      </c>
      <c r="S22" t="s">
        <v>57</v>
      </c>
      <c r="U22">
        <v>8530</v>
      </c>
      <c r="V22">
        <v>160608.20000000007</v>
      </c>
    </row>
    <row r="23" spans="1:22" x14ac:dyDescent="0.2">
      <c r="A23" s="11" t="s">
        <v>15</v>
      </c>
      <c r="B23" s="31">
        <v>-43888.359999999979</v>
      </c>
      <c r="C23" s="11" t="s">
        <v>13</v>
      </c>
      <c r="D23" s="81">
        <v>7896.2500000000009</v>
      </c>
      <c r="F23">
        <v>8317</v>
      </c>
      <c r="G23" s="25">
        <f>SUMIFS(Data!$I:$I,Data!$B:$B,$D$4,Data!$C:$C,$F23,Data!$K:$K,"2016")+SUMIFS(Data!$I:$I,Data!$B:$B,'Summary Interco'!$F$12,Data!$C:$C,'Summary Interco'!$F23,Data!$K:$K,"2017")+SUMIFS(Data!$I:$I,Data!$B:$B,'Summary Interco'!$F$12,Data!$C:$C,'Summary Interco'!$F23,Data!$K:$K,"2018")+SUMIFS(Data!$I:$I,Data!$B:$B,'Summary Interco'!$F$12,Data!$C:$C,'Summary Interco'!$F23,Data!$K:$K,"2019")</f>
        <v>0</v>
      </c>
      <c r="I23">
        <v>8317</v>
      </c>
      <c r="J23" s="25">
        <f>SUMIFS(Data!$J:$J,Data!$B:$B,'Summary Interco'!$I$12,Data!$C:$C,'Summary Interco'!$I23,Data!$L:$L,"2016")
+SUMIFS(Data!$J:$J,Data!$B:$B,'Summary Interco'!$I$12,Data!$C:$C,'Summary Interco'!$I23,Data!$L:$L,"2017")
+SUMIFS(Data!$J:$J,Data!$B:$B,'Summary Interco'!$I$12,Data!$C:$C,'Summary Interco'!$I23,Data!$L:$L,"2018")
+SUMIFS(Data!$J:$J,Data!$B:$B,'Summary Interco'!$I$12,Data!$C:$C,'Summary Interco'!$I23,Data!$L:$L,"2019")</f>
        <v>0</v>
      </c>
      <c r="L23" s="15">
        <v>8317</v>
      </c>
      <c r="M23" s="24">
        <f>Table6[[#This Row],[Sum of data]]+Table7[[#This Row],[Sum of data]]</f>
        <v>0</v>
      </c>
      <c r="P23">
        <v>6799</v>
      </c>
      <c r="Q23" t="s">
        <v>21</v>
      </c>
      <c r="R23" t="s">
        <v>44</v>
      </c>
      <c r="S23" t="s">
        <v>58</v>
      </c>
      <c r="U23">
        <v>6799</v>
      </c>
      <c r="V23">
        <v>0</v>
      </c>
    </row>
    <row r="24" spans="1:22" x14ac:dyDescent="0.2">
      <c r="A24" s="11" t="s">
        <v>17</v>
      </c>
      <c r="B24" s="31">
        <v>77469.549999999959</v>
      </c>
      <c r="C24" s="11" t="s">
        <v>15</v>
      </c>
      <c r="D24" s="81">
        <v>43888.359999999993</v>
      </c>
      <c r="F24">
        <v>8530</v>
      </c>
      <c r="G24" s="25">
        <f>SUMIFS(Data!$I:$I,Data!$B:$B,$D$4,Data!$C:$C,$F24,Data!$K:$K,"2016")+SUMIFS(Data!$I:$I,Data!$B:$B,'Summary Interco'!$F$12,Data!$C:$C,'Summary Interco'!$F24,Data!$K:$K,"2017")+SUMIFS(Data!$I:$I,Data!$B:$B,'Summary Interco'!$F$12,Data!$C:$C,'Summary Interco'!$F24,Data!$K:$K,"2018")+SUMIFS(Data!$I:$I,Data!$B:$B,'Summary Interco'!$F$12,Data!$C:$C,'Summary Interco'!$F24,Data!$K:$K,"2019")</f>
        <v>-13731.25</v>
      </c>
      <c r="I24">
        <v>8530</v>
      </c>
      <c r="J24" s="25">
        <f>SUMIFS(Data!$J:$J,Data!$B:$B,'Summary Interco'!$I$12,Data!$C:$C,'Summary Interco'!$I24,Data!$L:$L,"2016")
+SUMIFS(Data!$J:$J,Data!$B:$B,'Summary Interco'!$I$12,Data!$C:$C,'Summary Interco'!$I24,Data!$L:$L,"2017")
+SUMIFS(Data!$J:$J,Data!$B:$B,'Summary Interco'!$I$12,Data!$C:$C,'Summary Interco'!$I24,Data!$L:$L,"2018")
+SUMIFS(Data!$J:$J,Data!$B:$B,'Summary Interco'!$I$12,Data!$C:$C,'Summary Interco'!$I24,Data!$L:$L,"2019")</f>
        <v>13731.25</v>
      </c>
      <c r="L24" s="14">
        <v>8530</v>
      </c>
      <c r="M24" s="24">
        <f>Table6[[#This Row],[Sum of data]]+Table7[[#This Row],[Sum of data]]</f>
        <v>0</v>
      </c>
      <c r="P24">
        <v>903</v>
      </c>
      <c r="Q24" t="s">
        <v>10</v>
      </c>
      <c r="R24" t="s">
        <v>43</v>
      </c>
      <c r="S24" t="s">
        <v>59</v>
      </c>
      <c r="U24">
        <v>903</v>
      </c>
      <c r="V24">
        <v>0</v>
      </c>
    </row>
    <row r="25" spans="1:22" x14ac:dyDescent="0.2">
      <c r="A25" s="11" t="s">
        <v>397</v>
      </c>
      <c r="B25" s="31">
        <v>-413116.97999999992</v>
      </c>
      <c r="C25" s="11" t="s">
        <v>17</v>
      </c>
      <c r="D25" s="81">
        <v>-16169.260000000038</v>
      </c>
      <c r="F25">
        <v>6799</v>
      </c>
      <c r="G25" s="25">
        <f>SUMIFS(Data!$I:$I,Data!$B:$B,$D$4,Data!$C:$C,$F25,Data!$K:$K,"2016")+SUMIFS(Data!$I:$I,Data!$B:$B,'Summary Interco'!$F$12,Data!$C:$C,'Summary Interco'!$F25,Data!$K:$K,"2017")+SUMIFS(Data!$I:$I,Data!$B:$B,'Summary Interco'!$F$12,Data!$C:$C,'Summary Interco'!$F25,Data!$K:$K,"2018")+SUMIFS(Data!$I:$I,Data!$B:$B,'Summary Interco'!$F$12,Data!$C:$C,'Summary Interco'!$F25,Data!$K:$K,"2019")</f>
        <v>-102625.95</v>
      </c>
      <c r="I25">
        <v>6799</v>
      </c>
      <c r="J25" s="25">
        <f>SUMIFS(Data!$J:$J,Data!$B:$B,'Summary Interco'!$I$12,Data!$C:$C,'Summary Interco'!$I25,Data!$L:$L,"2016")
+SUMIFS(Data!$J:$J,Data!$B:$B,'Summary Interco'!$I$12,Data!$C:$C,'Summary Interco'!$I25,Data!$L:$L,"2017")
+SUMIFS(Data!$J:$J,Data!$B:$B,'Summary Interco'!$I$12,Data!$C:$C,'Summary Interco'!$I25,Data!$L:$L,"2018")
+SUMIFS(Data!$J:$J,Data!$B:$B,'Summary Interco'!$I$12,Data!$C:$C,'Summary Interco'!$I25,Data!$L:$L,"2019")</f>
        <v>102625.95</v>
      </c>
      <c r="L25" s="15">
        <v>6799</v>
      </c>
      <c r="M25" s="24">
        <f>Table6[[#This Row],[Sum of data]]+Table7[[#This Row],[Sum of data]]</f>
        <v>0</v>
      </c>
      <c r="P25">
        <v>402</v>
      </c>
      <c r="Q25" t="s">
        <v>9</v>
      </c>
      <c r="R25" t="s">
        <v>43</v>
      </c>
      <c r="S25" t="s">
        <v>60</v>
      </c>
      <c r="U25">
        <v>402</v>
      </c>
      <c r="V25">
        <v>0</v>
      </c>
    </row>
    <row r="26" spans="1:22" x14ac:dyDescent="0.2">
      <c r="A26" s="10" t="s">
        <v>39</v>
      </c>
      <c r="B26" s="31">
        <v>-5009770.4100000011</v>
      </c>
      <c r="C26" s="11" t="s">
        <v>384</v>
      </c>
      <c r="D26" s="81">
        <v>0</v>
      </c>
      <c r="F26">
        <v>903</v>
      </c>
      <c r="G26" s="25">
        <f>SUMIFS(Data!$I:$I,Data!$B:$B,$D$4,Data!$C:$C,$F26,Data!$K:$K,"2016")+SUMIFS(Data!$I:$I,Data!$B:$B,'Summary Interco'!$F$12,Data!$C:$C,'Summary Interco'!$F26,Data!$K:$K,"2017")+SUMIFS(Data!$I:$I,Data!$B:$B,'Summary Interco'!$F$12,Data!$C:$C,'Summary Interco'!$F26,Data!$K:$K,"2018")+SUMIFS(Data!$I:$I,Data!$B:$B,'Summary Interco'!$F$12,Data!$C:$C,'Summary Interco'!$F26,Data!$K:$K,"2019")</f>
        <v>0</v>
      </c>
      <c r="I26">
        <v>903</v>
      </c>
      <c r="J26" s="25">
        <f>SUMIFS(Data!$J:$J,Data!$B:$B,'Summary Interco'!$I$12,Data!$C:$C,'Summary Interco'!$I26,Data!$L:$L,"2016")
+SUMIFS(Data!$J:$J,Data!$B:$B,'Summary Interco'!$I$12,Data!$C:$C,'Summary Interco'!$I26,Data!$L:$L,"2017")
+SUMIFS(Data!$J:$J,Data!$B:$B,'Summary Interco'!$I$12,Data!$C:$C,'Summary Interco'!$I26,Data!$L:$L,"2018")
+SUMIFS(Data!$J:$J,Data!$B:$B,'Summary Interco'!$I$12,Data!$C:$C,'Summary Interco'!$I26,Data!$L:$L,"2019")</f>
        <v>0</v>
      </c>
      <c r="L26" s="14">
        <v>903</v>
      </c>
      <c r="M26" s="24">
        <f>Table6[[#This Row],[Sum of data]]+Table7[[#This Row],[Sum of data]]</f>
        <v>0</v>
      </c>
      <c r="P26">
        <v>8913</v>
      </c>
      <c r="Q26" t="s">
        <v>26</v>
      </c>
      <c r="R26" t="s">
        <v>45</v>
      </c>
      <c r="S26" t="s">
        <v>61</v>
      </c>
      <c r="U26">
        <v>8913</v>
      </c>
      <c r="V26">
        <v>-124094.53999999911</v>
      </c>
    </row>
    <row r="27" spans="1:22" x14ac:dyDescent="0.2">
      <c r="C27" s="11" t="s">
        <v>397</v>
      </c>
      <c r="D27" s="81">
        <v>438472.34999999992</v>
      </c>
      <c r="F27">
        <v>402</v>
      </c>
      <c r="G27" s="25">
        <f>SUMIFS(Data!$I:$I,Data!$B:$B,$D$4,Data!$C:$C,$F27,Data!$K:$K,"2016")+SUMIFS(Data!$I:$I,Data!$B:$B,'Summary Interco'!$F$12,Data!$C:$C,'Summary Interco'!$F27,Data!$K:$K,"2017")+SUMIFS(Data!$I:$I,Data!$B:$B,'Summary Interco'!$F$12,Data!$C:$C,'Summary Interco'!$F27,Data!$K:$K,"2018")+SUMIFS(Data!$I:$I,Data!$B:$B,'Summary Interco'!$F$12,Data!$C:$C,'Summary Interco'!$F27,Data!$K:$K,"2019")</f>
        <v>0</v>
      </c>
      <c r="I27">
        <v>402</v>
      </c>
      <c r="J27" s="25">
        <f>SUMIFS(Data!$J:$J,Data!$B:$B,'Summary Interco'!$I$12,Data!$C:$C,'Summary Interco'!$I27,Data!$L:$L,"2016")
+SUMIFS(Data!$J:$J,Data!$B:$B,'Summary Interco'!$I$12,Data!$C:$C,'Summary Interco'!$I27,Data!$L:$L,"2017")
+SUMIFS(Data!$J:$J,Data!$B:$B,'Summary Interco'!$I$12,Data!$C:$C,'Summary Interco'!$I27,Data!$L:$L,"2018")
+SUMIFS(Data!$J:$J,Data!$B:$B,'Summary Interco'!$I$12,Data!$C:$C,'Summary Interco'!$I27,Data!$L:$L,"2019")</f>
        <v>0</v>
      </c>
      <c r="L27" s="15">
        <v>402</v>
      </c>
      <c r="M27" s="24">
        <f>Table6[[#This Row],[Sum of data]]+Table7[[#This Row],[Sum of data]]</f>
        <v>0</v>
      </c>
      <c r="P27">
        <v>7032</v>
      </c>
      <c r="Q27" t="s">
        <v>20</v>
      </c>
      <c r="R27" t="s">
        <v>46</v>
      </c>
      <c r="S27" t="s">
        <v>62</v>
      </c>
      <c r="U27">
        <v>7032</v>
      </c>
      <c r="V27">
        <v>0</v>
      </c>
    </row>
    <row r="28" spans="1:22" x14ac:dyDescent="0.2">
      <c r="C28" s="10" t="s">
        <v>39</v>
      </c>
      <c r="D28" s="81">
        <v>5130042.5000000009</v>
      </c>
      <c r="F28">
        <v>8913</v>
      </c>
      <c r="G28" s="25">
        <f>SUMIFS(Data!$I:$I,Data!$B:$B,$D$4,Data!$C:$C,$F28,Data!$K:$K,"2016")+SUMIFS(Data!$I:$I,Data!$B:$B,'Summary Interco'!$F$12,Data!$C:$C,'Summary Interco'!$F28,Data!$K:$K,"2017")+SUMIFS(Data!$I:$I,Data!$B:$B,'Summary Interco'!$F$12,Data!$C:$C,'Summary Interco'!$F28,Data!$K:$K,"2018")+SUMIFS(Data!$I:$I,Data!$B:$B,'Summary Interco'!$F$12,Data!$C:$C,'Summary Interco'!$F28,Data!$K:$K,"2019")</f>
        <v>-5397743.6799999997</v>
      </c>
      <c r="I28">
        <v>8913</v>
      </c>
      <c r="J28" s="25">
        <f>SUMIFS(Data!$J:$J,Data!$B:$B,'Summary Interco'!$I$12,Data!$C:$C,'Summary Interco'!$I28,Data!$L:$L,"2016")
+SUMIFS(Data!$J:$J,Data!$B:$B,'Summary Interco'!$I$12,Data!$C:$C,'Summary Interco'!$I28,Data!$L:$L,"2017")
+SUMIFS(Data!$J:$J,Data!$B:$B,'Summary Interco'!$I$12,Data!$C:$C,'Summary Interco'!$I28,Data!$L:$L,"2018")
+SUMIFS(Data!$J:$J,Data!$B:$B,'Summary Interco'!$I$12,Data!$C:$C,'Summary Interco'!$I28,Data!$L:$L,"2019")</f>
        <v>5427596.4699999997</v>
      </c>
      <c r="L28" s="14">
        <v>8913</v>
      </c>
      <c r="M28" s="24">
        <f>Table6[[#This Row],[Sum of data]]+Table7[[#This Row],[Sum of data]]</f>
        <v>29852.790000000037</v>
      </c>
      <c r="P28">
        <v>8639</v>
      </c>
      <c r="Q28" t="s">
        <v>20</v>
      </c>
      <c r="R28" t="s">
        <v>46</v>
      </c>
      <c r="S28" t="s">
        <v>63</v>
      </c>
    </row>
    <row r="29" spans="1:22" x14ac:dyDescent="0.2">
      <c r="F29">
        <v>7032</v>
      </c>
      <c r="G29" s="25">
        <f>SUMIFS(Data!$I:$I,Data!$B:$B,$D$4,Data!$C:$C,$F29,Data!$K:$K,"2016")+SUMIFS(Data!$I:$I,Data!$B:$B,'Summary Interco'!$F$12,Data!$C:$C,'Summary Interco'!$F29,Data!$K:$K,"2017")+SUMIFS(Data!$I:$I,Data!$B:$B,'Summary Interco'!$F$12,Data!$C:$C,'Summary Interco'!$F29,Data!$K:$K,"2018")+SUMIFS(Data!$I:$I,Data!$B:$B,'Summary Interco'!$F$12,Data!$C:$C,'Summary Interco'!$F29,Data!$K:$K,"2019")</f>
        <v>-57738.12</v>
      </c>
      <c r="I29">
        <v>7032</v>
      </c>
      <c r="J29" s="25">
        <f>SUMIFS(Data!$J:$J,Data!$B:$B,'Summary Interco'!$I$12,Data!$C:$C,'Summary Interco'!$I29,Data!$L:$L,"2016")
+SUMIFS(Data!$J:$J,Data!$B:$B,'Summary Interco'!$I$12,Data!$C:$C,'Summary Interco'!$I29,Data!$L:$L,"2017")
+SUMIFS(Data!$J:$J,Data!$B:$B,'Summary Interco'!$I$12,Data!$C:$C,'Summary Interco'!$I29,Data!$L:$L,"2018")
+SUMIFS(Data!$J:$J,Data!$B:$B,'Summary Interco'!$I$12,Data!$C:$C,'Summary Interco'!$I29,Data!$L:$L,"2019")</f>
        <v>57738.12</v>
      </c>
      <c r="L29" s="15">
        <v>7032</v>
      </c>
      <c r="M29" s="24">
        <f>Table6[[#This Row],[Sum of data]]+Table7[[#This Row],[Sum of data]]</f>
        <v>0</v>
      </c>
      <c r="P29">
        <v>8640</v>
      </c>
      <c r="Q29" t="s">
        <v>20</v>
      </c>
      <c r="R29" t="s">
        <v>46</v>
      </c>
      <c r="S29" t="s">
        <v>64</v>
      </c>
    </row>
    <row r="30" spans="1:22" x14ac:dyDescent="0.2">
      <c r="F30">
        <v>8639</v>
      </c>
      <c r="G30" s="25">
        <f>SUMIFS(Data!$I:$I,Data!$B:$B,$D$4,Data!$C:$C,$F30,Data!$K:$K,"2016")+SUMIFS(Data!$I:$I,Data!$B:$B,'Summary Interco'!$F$12,Data!$C:$C,'Summary Interco'!$F30,Data!$K:$K,"2017")+SUMIFS(Data!$I:$I,Data!$B:$B,'Summary Interco'!$F$12,Data!$C:$C,'Summary Interco'!$F30,Data!$K:$K,"2018")+SUMIFS(Data!$I:$I,Data!$B:$B,'Summary Interco'!$F$12,Data!$C:$C,'Summary Interco'!$F30,Data!$K:$K,"2019")</f>
        <v>0</v>
      </c>
      <c r="I30">
        <v>8639</v>
      </c>
      <c r="J30" s="25">
        <f>SUMIFS(Data!$J:$J,Data!$B:$B,'Summary Interco'!$I$12,Data!$C:$C,'Summary Interco'!$I30,Data!$L:$L,"2016")
+SUMIFS(Data!$J:$J,Data!$B:$B,'Summary Interco'!$I$12,Data!$C:$C,'Summary Interco'!$I30,Data!$L:$L,"2017")
+SUMIFS(Data!$J:$J,Data!$B:$B,'Summary Interco'!$I$12,Data!$C:$C,'Summary Interco'!$I30,Data!$L:$L,"2018")
+SUMIFS(Data!$J:$J,Data!$B:$B,'Summary Interco'!$I$12,Data!$C:$C,'Summary Interco'!$I30,Data!$L:$L,"2019")</f>
        <v>0</v>
      </c>
      <c r="L30" s="14">
        <v>8639</v>
      </c>
      <c r="M30" s="24">
        <f>Table6[[#This Row],[Sum of data]]+Table7[[#This Row],[Sum of data]]</f>
        <v>0</v>
      </c>
      <c r="P30">
        <v>6283</v>
      </c>
      <c r="Q30" t="s">
        <v>18</v>
      </c>
      <c r="R30" t="s">
        <v>44</v>
      </c>
      <c r="S30" t="s">
        <v>65</v>
      </c>
    </row>
    <row r="31" spans="1:22" x14ac:dyDescent="0.2">
      <c r="E31" s="12"/>
      <c r="F31">
        <v>8640</v>
      </c>
      <c r="G31" s="25">
        <f>SUMIFS(Data!$I:$I,Data!$B:$B,$D$4,Data!$C:$C,$F31,Data!$K:$K,"2016")+SUMIFS(Data!$I:$I,Data!$B:$B,'Summary Interco'!$F$12,Data!$C:$C,'Summary Interco'!$F31,Data!$K:$K,"2017")+SUMIFS(Data!$I:$I,Data!$B:$B,'Summary Interco'!$F$12,Data!$C:$C,'Summary Interco'!$F31,Data!$K:$K,"2018")+SUMIFS(Data!$I:$I,Data!$B:$B,'Summary Interco'!$F$12,Data!$C:$C,'Summary Interco'!$F31,Data!$K:$K,"2019")</f>
        <v>0</v>
      </c>
      <c r="I31">
        <v>8640</v>
      </c>
      <c r="J31" s="25">
        <f>SUMIFS(Data!$J:$J,Data!$B:$B,'Summary Interco'!$I$12,Data!$C:$C,'Summary Interco'!$I31,Data!$L:$L,"2016")
+SUMIFS(Data!$J:$J,Data!$B:$B,'Summary Interco'!$I$12,Data!$C:$C,'Summary Interco'!$I31,Data!$L:$L,"2017")
+SUMIFS(Data!$J:$J,Data!$B:$B,'Summary Interco'!$I$12,Data!$C:$C,'Summary Interco'!$I31,Data!$L:$L,"2018")
+SUMIFS(Data!$J:$J,Data!$B:$B,'Summary Interco'!$I$12,Data!$C:$C,'Summary Interco'!$I31,Data!$L:$L,"2019")</f>
        <v>0</v>
      </c>
      <c r="L31" s="15">
        <v>8640</v>
      </c>
      <c r="M31" s="24">
        <f>Table6[[#This Row],[Sum of data]]+Table7[[#This Row],[Sum of data]]</f>
        <v>0</v>
      </c>
      <c r="P31">
        <v>149</v>
      </c>
      <c r="Q31" t="s">
        <v>7</v>
      </c>
      <c r="R31" t="s">
        <v>42</v>
      </c>
      <c r="S31" t="s">
        <v>66</v>
      </c>
    </row>
    <row r="32" spans="1:22" x14ac:dyDescent="0.2">
      <c r="E32" s="12"/>
      <c r="F32">
        <v>6283</v>
      </c>
      <c r="G32" s="25">
        <f>SUMIFS(Data!$I:$I,Data!$B:$B,$D$4,Data!$C:$C,$F32,Data!$K:$K,"2016")+SUMIFS(Data!$I:$I,Data!$B:$B,'Summary Interco'!$F$12,Data!$C:$C,'Summary Interco'!$F32,Data!$K:$K,"2017")+SUMIFS(Data!$I:$I,Data!$B:$B,'Summary Interco'!$F$12,Data!$C:$C,'Summary Interco'!$F32,Data!$K:$K,"2018")+SUMIFS(Data!$I:$I,Data!$B:$B,'Summary Interco'!$F$12,Data!$C:$C,'Summary Interco'!$F32,Data!$K:$K,"2019")</f>
        <v>0</v>
      </c>
      <c r="I32">
        <v>6283</v>
      </c>
      <c r="J32" s="25">
        <f>SUMIFS(Data!$J:$J,Data!$B:$B,'Summary Interco'!$I$12,Data!$C:$C,'Summary Interco'!$I32,Data!$L:$L,"2016")
+SUMIFS(Data!$J:$J,Data!$B:$B,'Summary Interco'!$I$12,Data!$C:$C,'Summary Interco'!$I32,Data!$L:$L,"2017")
+SUMIFS(Data!$J:$J,Data!$B:$B,'Summary Interco'!$I$12,Data!$C:$C,'Summary Interco'!$I32,Data!$L:$L,"2018")
+SUMIFS(Data!$J:$J,Data!$B:$B,'Summary Interco'!$I$12,Data!$C:$C,'Summary Interco'!$I32,Data!$L:$L,"2019")</f>
        <v>0</v>
      </c>
      <c r="L32" s="14">
        <v>6283</v>
      </c>
      <c r="M32" s="24">
        <f>Table6[[#This Row],[Sum of data]]+Table7[[#This Row],[Sum of data]]</f>
        <v>0</v>
      </c>
      <c r="P32">
        <v>6798</v>
      </c>
      <c r="Q32" t="s">
        <v>20</v>
      </c>
      <c r="R32" t="s">
        <v>46</v>
      </c>
      <c r="S32" t="s">
        <v>67</v>
      </c>
    </row>
    <row r="33" spans="5:19" x14ac:dyDescent="0.2">
      <c r="E33" s="12"/>
      <c r="F33">
        <v>149</v>
      </c>
      <c r="G33" s="25">
        <f>SUMIFS(Data!$I:$I,Data!$B:$B,$D$4,Data!$C:$C,$F33,Data!$K:$K,"2016")+SUMIFS(Data!$I:$I,Data!$B:$B,'Summary Interco'!$F$12,Data!$C:$C,'Summary Interco'!$F33,Data!$K:$K,"2017")+SUMIFS(Data!$I:$I,Data!$B:$B,'Summary Interco'!$F$12,Data!$C:$C,'Summary Interco'!$F33,Data!$K:$K,"2018")+SUMIFS(Data!$I:$I,Data!$B:$B,'Summary Interco'!$F$12,Data!$C:$C,'Summary Interco'!$F33,Data!$K:$K,"2019")</f>
        <v>0</v>
      </c>
      <c r="I33">
        <v>149</v>
      </c>
      <c r="J33" s="25">
        <f>SUMIFS(Data!$J:$J,Data!$B:$B,'Summary Interco'!$I$12,Data!$C:$C,'Summary Interco'!$I33,Data!$L:$L,"2016")
+SUMIFS(Data!$J:$J,Data!$B:$B,'Summary Interco'!$I$12,Data!$C:$C,'Summary Interco'!$I33,Data!$L:$L,"2017")
+SUMIFS(Data!$J:$J,Data!$B:$B,'Summary Interco'!$I$12,Data!$C:$C,'Summary Interco'!$I33,Data!$L:$L,"2018")
+SUMIFS(Data!$J:$J,Data!$B:$B,'Summary Interco'!$I$12,Data!$C:$C,'Summary Interco'!$I33,Data!$L:$L,"2019")</f>
        <v>0</v>
      </c>
      <c r="L33" s="15">
        <v>149</v>
      </c>
      <c r="M33" s="24">
        <f>Table6[[#This Row],[Sum of data]]+Table7[[#This Row],[Sum of data]]</f>
        <v>0</v>
      </c>
      <c r="P33">
        <v>142</v>
      </c>
      <c r="Q33" t="s">
        <v>107</v>
      </c>
      <c r="R33" t="s">
        <v>42</v>
      </c>
      <c r="S33" t="s">
        <v>111</v>
      </c>
    </row>
    <row r="34" spans="5:19" x14ac:dyDescent="0.2">
      <c r="E34" s="12"/>
      <c r="F34">
        <v>6798</v>
      </c>
      <c r="G34" s="25">
        <f>SUMIFS(Data!$I:$I,Data!$B:$B,$D$4,Data!$C:$C,$F34,Data!$K:$K,"2016")+SUMIFS(Data!$I:$I,Data!$B:$B,'Summary Interco'!$F$12,Data!$C:$C,'Summary Interco'!$F34,Data!$K:$K,"2017")+SUMIFS(Data!$I:$I,Data!$B:$B,'Summary Interco'!$F$12,Data!$C:$C,'Summary Interco'!$F34,Data!$K:$K,"2018")+SUMIFS(Data!$I:$I,Data!$B:$B,'Summary Interco'!$F$12,Data!$C:$C,'Summary Interco'!$F34,Data!$K:$K,"2019")</f>
        <v>-15315.66</v>
      </c>
      <c r="I34">
        <v>6798</v>
      </c>
      <c r="J34" s="25">
        <f>SUMIFS(Data!$J:$J,Data!$B:$B,'Summary Interco'!$I$12,Data!$C:$C,'Summary Interco'!$I34,Data!$L:$L,"2016")
+SUMIFS(Data!$J:$J,Data!$B:$B,'Summary Interco'!$I$12,Data!$C:$C,'Summary Interco'!$I34,Data!$L:$L,"2017")
+SUMIFS(Data!$J:$J,Data!$B:$B,'Summary Interco'!$I$12,Data!$C:$C,'Summary Interco'!$I34,Data!$L:$L,"2018")
+SUMIFS(Data!$J:$J,Data!$B:$B,'Summary Interco'!$I$12,Data!$C:$C,'Summary Interco'!$I34,Data!$L:$L,"2019")</f>
        <v>15315.66</v>
      </c>
      <c r="L34" s="14">
        <v>6798</v>
      </c>
      <c r="M34" s="24">
        <f>Table6[[#This Row],[Sum of data]]+Table7[[#This Row],[Sum of data]]</f>
        <v>0</v>
      </c>
      <c r="P34">
        <v>210</v>
      </c>
      <c r="Q34" t="s">
        <v>108</v>
      </c>
      <c r="R34" t="s">
        <v>110</v>
      </c>
      <c r="S34" t="s">
        <v>112</v>
      </c>
    </row>
    <row r="35" spans="5:19" x14ac:dyDescent="0.2">
      <c r="E35" s="12"/>
      <c r="F35">
        <v>142</v>
      </c>
      <c r="G35" s="25">
        <f>SUMIFS(Data!$I:$I,Data!$B:$B,$D$4,Data!$C:$C,$F35,Data!$K:$K,"2016")+SUMIFS(Data!$I:$I,Data!$B:$B,'Summary Interco'!$F$12,Data!$C:$C,'Summary Interco'!$F35,Data!$K:$K,"2017")+SUMIFS(Data!$I:$I,Data!$B:$B,'Summary Interco'!$F$12,Data!$C:$C,'Summary Interco'!$F35,Data!$K:$K,"2018")+SUMIFS(Data!$I:$I,Data!$B:$B,'Summary Interco'!$F$12,Data!$C:$C,'Summary Interco'!$F35,Data!$K:$K,"2019")</f>
        <v>0</v>
      </c>
      <c r="I35">
        <v>142</v>
      </c>
      <c r="J35" s="25">
        <f>SUMIFS(Data!$J:$J,Data!$B:$B,'Summary Interco'!$I$12,Data!$C:$C,'Summary Interco'!$I35,Data!$L:$L,"2016")
+SUMIFS(Data!$J:$J,Data!$B:$B,'Summary Interco'!$I$12,Data!$C:$C,'Summary Interco'!$I35,Data!$L:$L,"2017")
+SUMIFS(Data!$J:$J,Data!$B:$B,'Summary Interco'!$I$12,Data!$C:$C,'Summary Interco'!$I35,Data!$L:$L,"2018")
+SUMIFS(Data!$J:$J,Data!$B:$B,'Summary Interco'!$I$12,Data!$C:$C,'Summary Interco'!$I35,Data!$L:$L,"2019")</f>
        <v>0</v>
      </c>
      <c r="L35">
        <v>142</v>
      </c>
      <c r="M35" s="24">
        <f>Table6[[#This Row],[Sum of data]]+Table7[[#This Row],[Sum of data]]</f>
        <v>0</v>
      </c>
      <c r="P35">
        <v>298</v>
      </c>
      <c r="Q35" t="s">
        <v>106</v>
      </c>
      <c r="R35" t="s">
        <v>42</v>
      </c>
      <c r="S35" t="s">
        <v>113</v>
      </c>
    </row>
    <row r="36" spans="5:19" x14ac:dyDescent="0.2">
      <c r="E36" s="12"/>
      <c r="F36">
        <v>210</v>
      </c>
      <c r="G36" s="25">
        <v>0</v>
      </c>
      <c r="I36">
        <v>210</v>
      </c>
      <c r="J36" s="25">
        <f>SUMIFS(Data!$J:$J,Data!$B:$B,'Summary Interco'!$I$12,Data!$C:$C,'Summary Interco'!$I36,Data!$L:$L,"2016")
+SUMIFS(Data!$J:$J,Data!$B:$B,'Summary Interco'!$I$12,Data!$C:$C,'Summary Interco'!$I36,Data!$L:$L,"2017")
+SUMIFS(Data!$J:$J,Data!$B:$B,'Summary Interco'!$I$12,Data!$C:$C,'Summary Interco'!$I36,Data!$L:$L,"2018")
+SUMIFS(Data!$J:$J,Data!$B:$B,'Summary Interco'!$I$12,Data!$C:$C,'Summary Interco'!$I36,Data!$L:$L,"2019")</f>
        <v>0</v>
      </c>
      <c r="L36">
        <v>210</v>
      </c>
      <c r="M36" s="24">
        <f>Table6[[#This Row],[Sum of data]]+Table7[[#This Row],[Sum of data]]</f>
        <v>0</v>
      </c>
      <c r="P36">
        <v>8963</v>
      </c>
      <c r="Q36" t="s">
        <v>105</v>
      </c>
      <c r="R36" t="s">
        <v>109</v>
      </c>
      <c r="S36" t="s">
        <v>114</v>
      </c>
    </row>
    <row r="37" spans="5:19" x14ac:dyDescent="0.2">
      <c r="E37" s="12"/>
      <c r="F37">
        <v>298</v>
      </c>
      <c r="G37" s="25">
        <f>SUMIFS(Data!$I:$I,Data!$B:$B,$D$4,Data!$C:$C,$F37,Data!$K:$K,"2016")+SUMIFS(Data!$I:$I,Data!$B:$B,'Summary Interco'!$F$12,Data!$C:$C,'Summary Interco'!$F37,Data!$K:$K,"2017")+SUMIFS(Data!$I:$I,Data!$B:$B,'Summary Interco'!$F$12,Data!$C:$C,'Summary Interco'!$F37,Data!$K:$K,"2018")+SUMIFS(Data!$I:$I,Data!$B:$B,'Summary Interco'!$F$12,Data!$C:$C,'Summary Interco'!$F37,Data!$K:$K,"2019")</f>
        <v>0</v>
      </c>
      <c r="I37">
        <v>298</v>
      </c>
      <c r="J37" s="25">
        <f>SUMIFS(Data!$J:$J,Data!$B:$B,'Summary Interco'!$I$12,Data!$C:$C,'Summary Interco'!$I37,Data!$L:$L,"2016")
+SUMIFS(Data!$J:$J,Data!$B:$B,'Summary Interco'!$I$12,Data!$C:$C,'Summary Interco'!$I37,Data!$L:$L,"2017")
+SUMIFS(Data!$J:$J,Data!$B:$B,'Summary Interco'!$I$12,Data!$C:$C,'Summary Interco'!$I37,Data!$L:$L,"2018")
+SUMIFS(Data!$J:$J,Data!$B:$B,'Summary Interco'!$I$12,Data!$C:$C,'Summary Interco'!$I37,Data!$L:$L,"2019")</f>
        <v>0</v>
      </c>
      <c r="L37">
        <v>298</v>
      </c>
      <c r="M37" s="24">
        <f>Table6[[#This Row],[Sum of data]]+Table7[[#This Row],[Sum of data]]</f>
        <v>0</v>
      </c>
      <c r="P37">
        <v>7266</v>
      </c>
      <c r="Q37" t="s">
        <v>3</v>
      </c>
      <c r="R37" t="s">
        <v>42</v>
      </c>
      <c r="S37" t="s">
        <v>115</v>
      </c>
    </row>
    <row r="38" spans="5:19" x14ac:dyDescent="0.2">
      <c r="E38" s="12"/>
      <c r="F38">
        <v>8963</v>
      </c>
      <c r="G38" s="25">
        <f>SUMIFS(Data!$I:$I,Data!$B:$B,$D$4,Data!$C:$C,$F38,Data!$K:$K,"2016")+SUMIFS(Data!$I:$I,Data!$B:$B,'Summary Interco'!$F$12,Data!$C:$C,'Summary Interco'!$F38,Data!$K:$K,"2017")+SUMIFS(Data!$I:$I,Data!$B:$B,'Summary Interco'!$F$12,Data!$C:$C,'Summary Interco'!$F38,Data!$K:$K,"2018")+SUMIFS(Data!$I:$I,Data!$B:$B,'Summary Interco'!$F$12,Data!$C:$C,'Summary Interco'!$F38,Data!$K:$K,"2019")</f>
        <v>0</v>
      </c>
      <c r="I38">
        <v>8963</v>
      </c>
      <c r="J38" s="25">
        <f>SUMIFS(Data!$J:$J,Data!$B:$B,'Summary Interco'!$I$12,Data!$C:$C,'Summary Interco'!$I38,Data!$L:$L,"2016")
+SUMIFS(Data!$J:$J,Data!$B:$B,'Summary Interco'!$I$12,Data!$C:$C,'Summary Interco'!$I38,Data!$L:$L,"2017")
+SUMIFS(Data!$J:$J,Data!$B:$B,'Summary Interco'!$I$12,Data!$C:$C,'Summary Interco'!$I38,Data!$L:$L,"2018")
+SUMIFS(Data!$J:$J,Data!$B:$B,'Summary Interco'!$I$12,Data!$C:$C,'Summary Interco'!$I38,Data!$L:$L,"2019")</f>
        <v>0</v>
      </c>
      <c r="L38">
        <v>8963</v>
      </c>
      <c r="M38" s="24">
        <f>Table6[[#This Row],[Sum of data]]+Table7[[#This Row],[Sum of data]]</f>
        <v>0</v>
      </c>
      <c r="P38">
        <v>8309</v>
      </c>
      <c r="Q38" t="s">
        <v>3</v>
      </c>
      <c r="R38" t="s">
        <v>42</v>
      </c>
      <c r="S38" t="s">
        <v>116</v>
      </c>
    </row>
    <row r="39" spans="5:19" x14ac:dyDescent="0.2">
      <c r="E39" s="12"/>
      <c r="F39">
        <v>7266</v>
      </c>
      <c r="G39" s="25">
        <f>SUMIFS(Data!$I:$I,Data!$B:$B,$D$4,Data!$C:$C,$F39,Data!$K:$K,"2016")+SUMIFS(Data!$I:$I,Data!$B:$B,'Summary Interco'!$F$12,Data!$C:$C,'Summary Interco'!$F39,Data!$K:$K,"2017")+SUMIFS(Data!$I:$I,Data!$B:$B,'Summary Interco'!$F$12,Data!$C:$C,'Summary Interco'!$F39,Data!$K:$K,"2018")+SUMIFS(Data!$I:$I,Data!$B:$B,'Summary Interco'!$F$12,Data!$C:$C,'Summary Interco'!$F39,Data!$K:$K,"2019")</f>
        <v>0</v>
      </c>
      <c r="I39">
        <v>7266</v>
      </c>
      <c r="J39" s="25">
        <f>SUMIFS(Data!$J:$J,Data!$B:$B,'Summary Interco'!$I$12,Data!$C:$C,'Summary Interco'!$I39,Data!$L:$L,"2016")
+SUMIFS(Data!$J:$J,Data!$B:$B,'Summary Interco'!$I$12,Data!$C:$C,'Summary Interco'!$I39,Data!$L:$L,"2017")
+SUMIFS(Data!$J:$J,Data!$B:$B,'Summary Interco'!$I$12,Data!$C:$C,'Summary Interco'!$I39,Data!$L:$L,"2018")
+SUMIFS(Data!$J:$J,Data!$B:$B,'Summary Interco'!$I$12,Data!$C:$C,'Summary Interco'!$I39,Data!$L:$L,"2019")</f>
        <v>0</v>
      </c>
      <c r="L39">
        <v>7266</v>
      </c>
      <c r="M39" s="24">
        <f>Table6[[#This Row],[Sum of data]]+Table7[[#This Row],[Sum of data]]</f>
        <v>0</v>
      </c>
      <c r="P39" s="73">
        <v>296</v>
      </c>
      <c r="Q39" s="73" t="s">
        <v>128</v>
      </c>
      <c r="R39" s="73" t="s">
        <v>139</v>
      </c>
      <c r="S39" t="s">
        <v>143</v>
      </c>
    </row>
    <row r="40" spans="5:19" x14ac:dyDescent="0.2">
      <c r="E40" s="12"/>
      <c r="F40">
        <v>8309</v>
      </c>
      <c r="G40" s="25">
        <f>SUMIFS(Data!$I:$I,Data!$B:$B,$D$4,Data!$C:$C,$F40,Data!$K:$K,"2016")+SUMIFS(Data!$I:$I,Data!$B:$B,'Summary Interco'!$F$12,Data!$C:$C,'Summary Interco'!$F40,Data!$K:$K,"2017")+SUMIFS(Data!$I:$I,Data!$B:$B,'Summary Interco'!$F$12,Data!$C:$C,'Summary Interco'!$F40,Data!$K:$K,"2018")+SUMIFS(Data!$I:$I,Data!$B:$B,'Summary Interco'!$F$12,Data!$C:$C,'Summary Interco'!$F40,Data!$K:$K,"2019")</f>
        <v>0</v>
      </c>
      <c r="I40">
        <v>8309</v>
      </c>
      <c r="J40" s="25">
        <f>SUMIFS(Data!$J:$J,Data!$B:$B,'Summary Interco'!$I$12,Data!$C:$C,'Summary Interco'!$I40,Data!$L:$L,"2016")
+SUMIFS(Data!$J:$J,Data!$B:$B,'Summary Interco'!$I$12,Data!$C:$C,'Summary Interco'!$I40,Data!$L:$L,"2017")
+SUMIFS(Data!$J:$J,Data!$B:$B,'Summary Interco'!$I$12,Data!$C:$C,'Summary Interco'!$I40,Data!$L:$L,"2018")
+SUMIFS(Data!$J:$J,Data!$B:$B,'Summary Interco'!$I$12,Data!$C:$C,'Summary Interco'!$I40,Data!$L:$L,"2019")</f>
        <v>0</v>
      </c>
      <c r="L40">
        <v>8309</v>
      </c>
      <c r="M40" s="24">
        <f>Table6[[#This Row],[Sum of data]]+Table7[[#This Row],[Sum of data]]</f>
        <v>0</v>
      </c>
      <c r="P40" s="73">
        <v>8303</v>
      </c>
      <c r="Q40" s="73" t="s">
        <v>106</v>
      </c>
      <c r="R40" s="73" t="s">
        <v>42</v>
      </c>
      <c r="S40" t="s">
        <v>144</v>
      </c>
    </row>
    <row r="41" spans="5:19" x14ac:dyDescent="0.2">
      <c r="E41" s="12"/>
      <c r="F41">
        <v>8693</v>
      </c>
      <c r="G41" s="25">
        <f>SUMIFS(Data!$I:$I,Data!$B:$B,$D$4,Data!$C:$C,$F41,Data!$K:$K,"2016")+SUMIFS(Data!$I:$I,Data!$B:$B,'Summary Interco'!$F$12,Data!$C:$C,'Summary Interco'!$F41,Data!$K:$K,"2017")+SUMIFS(Data!$I:$I,Data!$B:$B,'Summary Interco'!$F$12,Data!$C:$C,'Summary Interco'!$F41,Data!$K:$K,"2018")+SUMIFS(Data!$I:$I,Data!$B:$B,'Summary Interco'!$F$12,Data!$C:$C,'Summary Interco'!$F41,Data!$K:$K,"2019")</f>
        <v>0</v>
      </c>
      <c r="I41">
        <v>8693</v>
      </c>
      <c r="J41" s="25">
        <f>SUMIFS(Data!$J:$J,Data!$B:$B,'Summary Interco'!$I$12,Data!$C:$C,'Summary Interco'!$I41,Data!$L:$L,"2016")
+SUMIFS(Data!$J:$J,Data!$B:$B,'Summary Interco'!$I$12,Data!$C:$C,'Summary Interco'!$I41,Data!$L:$L,"2017")
+SUMIFS(Data!$J:$J,Data!$B:$B,'Summary Interco'!$I$12,Data!$C:$C,'Summary Interco'!$I41,Data!$L:$L,"2018")
+SUMIFS(Data!$J:$J,Data!$B:$B,'Summary Interco'!$I$12,Data!$C:$C,'Summary Interco'!$I41,Data!$L:$L,"2019")</f>
        <v>0</v>
      </c>
      <c r="L41">
        <v>8693</v>
      </c>
      <c r="M41" s="24">
        <f>Table6[[#This Row],[Sum of data]]+Table7[[#This Row],[Sum of data]]</f>
        <v>0</v>
      </c>
      <c r="P41" s="73">
        <v>7265</v>
      </c>
      <c r="Q41" s="73" t="s">
        <v>14</v>
      </c>
      <c r="R41" s="73" t="s">
        <v>42</v>
      </c>
      <c r="S41" t="s">
        <v>145</v>
      </c>
    </row>
    <row r="42" spans="5:19" x14ac:dyDescent="0.2">
      <c r="E42" s="12"/>
      <c r="F42">
        <v>443</v>
      </c>
      <c r="G42" s="25">
        <f>SUMIFS(Data!$I:$I,Data!$B:$B,$D$4,Data!$C:$C,$F42,Data!$K:$K,"2016")+SUMIFS(Data!$I:$I,Data!$B:$B,'Summary Interco'!$F$12,Data!$C:$C,'Summary Interco'!$F42,Data!$K:$K,"2017")+SUMIFS(Data!$I:$I,Data!$B:$B,'Summary Interco'!$F$12,Data!$C:$C,'Summary Interco'!$F42,Data!$K:$K,"2018")+SUMIFS(Data!$I:$I,Data!$B:$B,'Summary Interco'!$F$12,Data!$C:$C,'Summary Interco'!$F42,Data!$K:$K,"2019")</f>
        <v>0</v>
      </c>
      <c r="I42">
        <v>443</v>
      </c>
      <c r="J42" s="25">
        <f>SUMIFS(Data!$J:$J,Data!$B:$B,'Summary Interco'!$I$12,Data!$C:$C,'Summary Interco'!$I42,Data!$L:$L,"2016")
+SUMIFS(Data!$J:$J,Data!$B:$B,'Summary Interco'!$I$12,Data!$C:$C,'Summary Interco'!$I42,Data!$L:$L,"2017")
+SUMIFS(Data!$J:$J,Data!$B:$B,'Summary Interco'!$I$12,Data!$C:$C,'Summary Interco'!$I42,Data!$L:$L,"2018")
+SUMIFS(Data!$J:$J,Data!$B:$B,'Summary Interco'!$I$12,Data!$C:$C,'Summary Interco'!$I42,Data!$L:$L,"2019")</f>
        <v>0</v>
      </c>
      <c r="L42">
        <v>443</v>
      </c>
      <c r="M42" s="24">
        <f>Table6[[#This Row],[Sum of data]]+Table7[[#This Row],[Sum of data]]</f>
        <v>0</v>
      </c>
      <c r="P42" s="73">
        <v>8311</v>
      </c>
      <c r="Q42" s="73" t="s">
        <v>12</v>
      </c>
      <c r="R42" s="73" t="s">
        <v>42</v>
      </c>
      <c r="S42" t="s">
        <v>146</v>
      </c>
    </row>
    <row r="43" spans="5:19" ht="12" customHeight="1" x14ac:dyDescent="0.2">
      <c r="E43" s="12"/>
      <c r="F43">
        <v>449</v>
      </c>
      <c r="G43" s="25">
        <f>SUMIFS(Data!$I:$I,Data!$B:$B,$D$4,Data!$C:$C,$F43,Data!$K:$K,"2016")+SUMIFS(Data!$I:$I,Data!$B:$B,'Summary Interco'!$F$12,Data!$C:$C,'Summary Interco'!$F43,Data!$K:$K,"2017")+SUMIFS(Data!$I:$I,Data!$B:$B,'Summary Interco'!$F$12,Data!$C:$C,'Summary Interco'!$F43,Data!$K:$K,"2018")+SUMIFS(Data!$I:$I,Data!$B:$B,'Summary Interco'!$F$12,Data!$C:$C,'Summary Interco'!$F43,Data!$K:$K,"2019")</f>
        <v>0</v>
      </c>
      <c r="I43">
        <v>449</v>
      </c>
      <c r="J43" s="25">
        <f>SUMIFS(Data!$J:$J,Data!$B:$B,'Summary Interco'!$I$12,Data!$C:$C,'Summary Interco'!$I43,Data!$L:$L,"2016")
+SUMIFS(Data!$J:$J,Data!$B:$B,'Summary Interco'!$I$12,Data!$C:$C,'Summary Interco'!$I43,Data!$L:$L,"2017")
+SUMIFS(Data!$J:$J,Data!$B:$B,'Summary Interco'!$I$12,Data!$C:$C,'Summary Interco'!$I43,Data!$L:$L,"2018")
+SUMIFS(Data!$J:$J,Data!$B:$B,'Summary Interco'!$I$12,Data!$C:$C,'Summary Interco'!$I43,Data!$L:$L,"2019")</f>
        <v>0</v>
      </c>
      <c r="L43">
        <v>449</v>
      </c>
      <c r="M43" s="24">
        <f>Table6[[#This Row],[Sum of data]]+Table7[[#This Row],[Sum of data]]</f>
        <v>0</v>
      </c>
      <c r="P43" s="73">
        <v>999</v>
      </c>
      <c r="Q43" s="73" t="s">
        <v>129</v>
      </c>
      <c r="R43" s="73" t="s">
        <v>140</v>
      </c>
      <c r="S43" t="s">
        <v>147</v>
      </c>
    </row>
    <row r="44" spans="5:19" x14ac:dyDescent="0.2">
      <c r="E44" s="12"/>
      <c r="F44" s="12">
        <v>95</v>
      </c>
      <c r="G44" s="25">
        <f>SUMIFS(Data!$I:$I,Data!$B:$B,$D$4,Data!$C:$C,$F44,Data!$K:$K,"2016")+SUMIFS(Data!$I:$I,Data!$B:$B,'Summary Interco'!$F$12,Data!$C:$C,'Summary Interco'!$F44,Data!$K:$K,"2017")+SUMIFS(Data!$I:$I,Data!$B:$B,'Summary Interco'!$F$12,Data!$C:$C,'Summary Interco'!$F44,Data!$K:$K,"2018")+SUMIFS(Data!$I:$I,Data!$B:$B,'Summary Interco'!$F$12,Data!$C:$C,'Summary Interco'!$F44,Data!$K:$K,"2019")</f>
        <v>0</v>
      </c>
      <c r="I44" s="12">
        <v>95</v>
      </c>
      <c r="J44" s="25">
        <f>SUMIFS(Data!$J:$J,Data!$B:$B,'Summary Interco'!$I$12,Data!$C:$C,'Summary Interco'!$I44,Data!$L:$L,"2016")
+SUMIFS(Data!$J:$J,Data!$B:$B,'Summary Interco'!$I$12,Data!$C:$C,'Summary Interco'!$I44,Data!$L:$L,"2017")
+SUMIFS(Data!$J:$J,Data!$B:$B,'Summary Interco'!$I$12,Data!$C:$C,'Summary Interco'!$I44,Data!$L:$L,"2018")
+SUMIFS(Data!$J:$J,Data!$B:$B,'Summary Interco'!$I$12,Data!$C:$C,'Summary Interco'!$I44,Data!$L:$L,"2019")</f>
        <v>0</v>
      </c>
      <c r="L44" s="12">
        <v>95</v>
      </c>
      <c r="M44" s="24">
        <f>Table6[[#This Row],[Sum of data]]+Table7[[#This Row],[Sum of data]]</f>
        <v>0</v>
      </c>
      <c r="P44" s="73" t="s">
        <v>127</v>
      </c>
      <c r="Q44" s="73" t="s">
        <v>129</v>
      </c>
      <c r="R44" s="73" t="s">
        <v>140</v>
      </c>
      <c r="S44" t="s">
        <v>148</v>
      </c>
    </row>
    <row r="45" spans="5:19" x14ac:dyDescent="0.2">
      <c r="E45" s="12"/>
      <c r="F45" s="12">
        <v>296</v>
      </c>
      <c r="G45" s="25">
        <f>SUMIFS(Data!$I:$I,Data!$B:$B,$D$4,Data!$C:$C,$F45,Data!$K:$K,"2016")+SUMIFS(Data!$I:$I,Data!$B:$B,'Summary Interco'!$F$12,Data!$C:$C,'Summary Interco'!$F45,Data!$K:$K,"2017")+SUMIFS(Data!$I:$I,Data!$B:$B,'Summary Interco'!$F$12,Data!$C:$C,'Summary Interco'!$F45,Data!$K:$K,"2018")+SUMIFS(Data!$I:$I,Data!$B:$B,'Summary Interco'!$F$12,Data!$C:$C,'Summary Interco'!$F45,Data!$K:$K,"2019")</f>
        <v>0</v>
      </c>
      <c r="I45" s="12">
        <v>296</v>
      </c>
      <c r="J45" s="25">
        <f>SUMIFS(Data!$J:$J,Data!$B:$B,'Summary Interco'!$I$12,Data!$C:$C,'Summary Interco'!$I45,Data!$L:$L,"2016")
+SUMIFS(Data!$J:$J,Data!$B:$B,'Summary Interco'!$I$12,Data!$C:$C,'Summary Interco'!$I45,Data!$L:$L,"2017")
+SUMIFS(Data!$J:$J,Data!$B:$B,'Summary Interco'!$I$12,Data!$C:$C,'Summary Interco'!$I45,Data!$L:$L,"2018")
+SUMIFS(Data!$J:$J,Data!$B:$B,'Summary Interco'!$I$12,Data!$C:$C,'Summary Interco'!$I45,Data!$L:$L,"2019")</f>
        <v>0</v>
      </c>
      <c r="L45" s="12">
        <v>296</v>
      </c>
      <c r="M45" s="24">
        <f>Table6[[#This Row],[Sum of data]]+Table7[[#This Row],[Sum of data]]</f>
        <v>0</v>
      </c>
      <c r="P45" s="73">
        <v>8443</v>
      </c>
      <c r="Q45" s="73" t="s">
        <v>130</v>
      </c>
      <c r="R45" s="73" t="s">
        <v>140</v>
      </c>
      <c r="S45" t="s">
        <v>149</v>
      </c>
    </row>
    <row r="46" spans="5:19" x14ac:dyDescent="0.2">
      <c r="E46" s="12"/>
      <c r="F46" s="12">
        <v>535</v>
      </c>
      <c r="G46" s="25">
        <f>SUMIFS(Data!$I:$I,Data!$B:$B,$D$4,Data!$C:$C,$F46,Data!$K:$K,"2016")
+SUMIFS(Data!$I:$I,Data!$B:$B,'Summary Interco'!$F$12,Data!$C:$C,'Summary Interco'!$F46,Data!$K:$K,"2017")
+SUMIFS(Data!$I:$I,Data!$B:$B,'Summary Interco'!$F$12,Data!$C:$C,'Summary Interco'!$F46,Data!$K:$K,"2018")+
SUMIFS(Data!$I:$I,Data!$B:$B,'Summary Interco'!$F$12,Data!$C:$C,'Summary Interco'!$F46,Data!$K:$K,"2019")</f>
        <v>0</v>
      </c>
      <c r="I46" s="12">
        <v>535</v>
      </c>
      <c r="J46" s="25">
        <f>SUMIFS(Data!$J:$J,Data!$B:$B,'Summary Interco'!$I$12,Data!$C:$C,'Summary Interco'!$I46,Data!$L:$L,"2016")
+SUMIFS(Data!$J:$J,Data!$B:$B,'Summary Interco'!$I$12,Data!$C:$C,'Summary Interco'!$I46,Data!$L:$L,"2017")
+SUMIFS(Data!$J:$J,Data!$B:$B,'Summary Interco'!$I$12,Data!$C:$C,'Summary Interco'!$I46,Data!$L:$L,"2018")
+SUMIFS(Data!$J:$J,Data!$B:$B,'Summary Interco'!$I$12,Data!$C:$C,'Summary Interco'!$I46,Data!$L:$L,"2019")</f>
        <v>0</v>
      </c>
      <c r="L46" s="12">
        <v>535</v>
      </c>
      <c r="M46" s="24">
        <f>Table6[[#This Row],[Sum of data]]+Table7[[#This Row],[Sum of data]]</f>
        <v>0</v>
      </c>
      <c r="P46" s="73">
        <v>6344</v>
      </c>
      <c r="Q46" s="73" t="s">
        <v>131</v>
      </c>
      <c r="R46" s="73" t="s">
        <v>141</v>
      </c>
      <c r="S46" t="s">
        <v>150</v>
      </c>
    </row>
    <row r="47" spans="5:19" x14ac:dyDescent="0.2">
      <c r="E47" s="12"/>
      <c r="F47" s="12">
        <v>6272</v>
      </c>
      <c r="G47" s="25">
        <f>SUMIFS(Data!$I:$I,Data!$B:$B,$D$4,Data!$C:$C,$F47,Data!$K:$K,"2016")+SUMIFS(Data!$I:$I,Data!$B:$B,'Summary Interco'!$F$12,Data!$C:$C,'Summary Interco'!$F47,Data!$K:$K,"2017")+SUMIFS(Data!$I:$I,Data!$B:$B,'Summary Interco'!$F$12,Data!$C:$C,'Summary Interco'!$F47,Data!$K:$K,"2018")+SUMIFS(Data!$I:$I,Data!$B:$B,'Summary Interco'!$F$12,Data!$C:$C,'Summary Interco'!$F47,Data!$K:$K,"2019")</f>
        <v>0</v>
      </c>
      <c r="I47" s="12">
        <v>6272</v>
      </c>
      <c r="J47" s="25">
        <f>SUMIFS(Data!$J:$J,Data!$B:$B,'Summary Interco'!$I$12,Data!$C:$C,'Summary Interco'!$I47,Data!$L:$L,"2016")
+SUMIFS(Data!$J:$J,Data!$B:$B,'Summary Interco'!$I$12,Data!$C:$C,'Summary Interco'!$I47,Data!$L:$L,"2017")
+SUMIFS(Data!$J:$J,Data!$B:$B,'Summary Interco'!$I$12,Data!$C:$C,'Summary Interco'!$I47,Data!$L:$L,"2018")
+SUMIFS(Data!$J:$J,Data!$B:$B,'Summary Interco'!$I$12,Data!$C:$C,'Summary Interco'!$I47,Data!$L:$L,"2019")</f>
        <v>0</v>
      </c>
      <c r="L47" s="12">
        <v>6272</v>
      </c>
      <c r="M47" s="24">
        <f>Table6[[#This Row],[Sum of data]]+Table7[[#This Row],[Sum of data]]</f>
        <v>0</v>
      </c>
      <c r="P47" s="73">
        <v>7044</v>
      </c>
      <c r="Q47" s="73" t="s">
        <v>131</v>
      </c>
      <c r="R47" s="73" t="s">
        <v>141</v>
      </c>
      <c r="S47" t="s">
        <v>151</v>
      </c>
    </row>
    <row r="48" spans="5:19" x14ac:dyDescent="0.2">
      <c r="E48" s="12"/>
      <c r="F48" s="12">
        <v>6344</v>
      </c>
      <c r="G48" s="25">
        <f>SUMIFS(Data!$I:$I,Data!$B:$B,$D$4,Data!$C:$C,$F48,Data!$K:$K,"2016")+SUMIFS(Data!$I:$I,Data!$B:$B,'Summary Interco'!$F$12,Data!$C:$C,'Summary Interco'!$F48,Data!$K:$K,"2017")+SUMIFS(Data!$I:$I,Data!$B:$B,'Summary Interco'!$F$12,Data!$C:$C,'Summary Interco'!$F48,Data!$K:$K,"2018")+SUMIFS(Data!$I:$I,Data!$B:$B,'Summary Interco'!$F$12,Data!$C:$C,'Summary Interco'!$F48,Data!$K:$K,"2019")</f>
        <v>0</v>
      </c>
      <c r="I48" s="12">
        <v>6344</v>
      </c>
      <c r="J48" s="25">
        <f>SUMIFS(Data!$J:$J,Data!$B:$B,'Summary Interco'!$I$12,Data!$C:$C,'Summary Interco'!$I48,Data!$L:$L,"2016")
+SUMIFS(Data!$J:$J,Data!$B:$B,'Summary Interco'!$I$12,Data!$C:$C,'Summary Interco'!$I48,Data!$L:$L,"2017")
+SUMIFS(Data!$J:$J,Data!$B:$B,'Summary Interco'!$I$12,Data!$C:$C,'Summary Interco'!$I48,Data!$L:$L,"2018")
+SUMIFS(Data!$J:$J,Data!$B:$B,'Summary Interco'!$I$12,Data!$C:$C,'Summary Interco'!$I48,Data!$L:$L,"2019")</f>
        <v>0</v>
      </c>
      <c r="L48" s="12">
        <v>6344</v>
      </c>
      <c r="M48" s="24">
        <f>Table6[[#This Row],[Sum of data]]+Table7[[#This Row],[Sum of data]]</f>
        <v>0</v>
      </c>
      <c r="P48" s="73">
        <v>8328</v>
      </c>
      <c r="Q48" s="73" t="s">
        <v>131</v>
      </c>
      <c r="R48" s="73" t="s">
        <v>141</v>
      </c>
      <c r="S48" t="s">
        <v>151</v>
      </c>
    </row>
    <row r="49" spans="2:19" x14ac:dyDescent="0.2">
      <c r="E49" s="12"/>
      <c r="F49" s="12">
        <v>6901</v>
      </c>
      <c r="G49" s="25">
        <f>SUMIFS(Data!$I:$I,Data!$B:$B,$D$4,Data!$C:$C,$F49,Data!$K:$K,"2016")+SUMIFS(Data!$I:$I,Data!$B:$B,'Summary Interco'!$F$12,Data!$C:$C,'Summary Interco'!$F49,Data!$K:$K,"2017")+SUMIFS(Data!$I:$I,Data!$B:$B,'Summary Interco'!$F$12,Data!$C:$C,'Summary Interco'!$F49,Data!$K:$K,"2018")+SUMIFS(Data!$I:$I,Data!$B:$B,'Summary Interco'!$F$12,Data!$C:$C,'Summary Interco'!$F49,Data!$K:$K,"2019")</f>
        <v>0</v>
      </c>
      <c r="I49" s="12">
        <v>6901</v>
      </c>
      <c r="J49" s="25">
        <f>SUMIFS(Data!$J:$J,Data!$B:$B,'Summary Interco'!$I$12,Data!$C:$C,'Summary Interco'!$I49,Data!$L:$L,"2016")
+SUMIFS(Data!$J:$J,Data!$B:$B,'Summary Interco'!$I$12,Data!$C:$C,'Summary Interco'!$I49,Data!$L:$L,"2017")
+SUMIFS(Data!$J:$J,Data!$B:$B,'Summary Interco'!$I$12,Data!$C:$C,'Summary Interco'!$I49,Data!$L:$L,"2018")
+SUMIFS(Data!$J:$J,Data!$B:$B,'Summary Interco'!$I$12,Data!$C:$C,'Summary Interco'!$I49,Data!$L:$L,"2019")</f>
        <v>0</v>
      </c>
      <c r="L49" s="12">
        <v>6901</v>
      </c>
      <c r="M49" s="24">
        <f>Table6[[#This Row],[Sum of data]]+Table7[[#This Row],[Sum of data]]</f>
        <v>0</v>
      </c>
      <c r="P49" s="73">
        <v>535</v>
      </c>
      <c r="Q49" s="73" t="s">
        <v>132</v>
      </c>
      <c r="R49" s="73" t="s">
        <v>44</v>
      </c>
      <c r="S49" t="s">
        <v>152</v>
      </c>
    </row>
    <row r="50" spans="2:19" x14ac:dyDescent="0.2">
      <c r="E50" s="12"/>
      <c r="F50" s="12">
        <v>7044</v>
      </c>
      <c r="G50" s="25">
        <f>SUMIFS(Data!$I:$I,Data!$B:$B,$D$4,Data!$C:$C,$F50,Data!$K:$K,"2016")+SUMIFS(Data!$I:$I,Data!$B:$B,'Summary Interco'!$F$12,Data!$C:$C,'Summary Interco'!$F50,Data!$K:$K,"2017")+SUMIFS(Data!$I:$I,Data!$B:$B,'Summary Interco'!$F$12,Data!$C:$C,'Summary Interco'!$F50,Data!$K:$K,"2018")+SUMIFS(Data!$I:$I,Data!$B:$B,'Summary Interco'!$F$12,Data!$C:$C,'Summary Interco'!$F50,Data!$K:$K,"2019")</f>
        <v>0</v>
      </c>
      <c r="I50" s="12">
        <v>7044</v>
      </c>
      <c r="J50" s="25">
        <f>SUMIFS(Data!$J:$J,Data!$B:$B,'Summary Interco'!$I$12,Data!$C:$C,'Summary Interco'!$I50,Data!$L:$L,"2016")
+SUMIFS(Data!$J:$J,Data!$B:$B,'Summary Interco'!$I$12,Data!$C:$C,'Summary Interco'!$I50,Data!$L:$L,"2017")
+SUMIFS(Data!$J:$J,Data!$B:$B,'Summary Interco'!$I$12,Data!$C:$C,'Summary Interco'!$I50,Data!$L:$L,"2018")
+SUMIFS(Data!$J:$J,Data!$B:$B,'Summary Interco'!$I$12,Data!$C:$C,'Summary Interco'!$I50,Data!$L:$L,"2019")</f>
        <v>0</v>
      </c>
      <c r="L50" s="12">
        <v>7044</v>
      </c>
      <c r="M50" s="24">
        <f>Table6[[#This Row],[Sum of data]]+Table7[[#This Row],[Sum of data]]</f>
        <v>0</v>
      </c>
      <c r="P50" s="73">
        <v>8313</v>
      </c>
      <c r="Q50" s="73"/>
      <c r="R50" s="73" t="s">
        <v>42</v>
      </c>
      <c r="S50" t="s">
        <v>153</v>
      </c>
    </row>
    <row r="51" spans="2:19" x14ac:dyDescent="0.2">
      <c r="E51" s="12"/>
      <c r="F51" s="12">
        <v>7265</v>
      </c>
      <c r="G51" s="25">
        <f>SUMIFS(Data!$I:$I,Data!$B:$B,$D$4,Data!$C:$C,$F51,Data!$K:$K,"2016")+SUMIFS(Data!$I:$I,Data!$B:$B,'Summary Interco'!$F$12,Data!$C:$C,'Summary Interco'!$F51,Data!$K:$K,"2017")+SUMIFS(Data!$I:$I,Data!$B:$B,'Summary Interco'!$F$12,Data!$C:$C,'Summary Interco'!$F51,Data!$K:$K,"2018")+SUMIFS(Data!$I:$I,Data!$B:$B,'Summary Interco'!$F$12,Data!$C:$C,'Summary Interco'!$F51,Data!$K:$K,"2019")</f>
        <v>0</v>
      </c>
      <c r="I51" s="12">
        <v>7265</v>
      </c>
      <c r="J51" s="25">
        <f>SUMIFS(Data!$J:$J,Data!$B:$B,'Summary Interco'!$I$12,Data!$C:$C,'Summary Interco'!$I51,Data!$L:$L,"2016")
+SUMIFS(Data!$J:$J,Data!$B:$B,'Summary Interco'!$I$12,Data!$C:$C,'Summary Interco'!$I51,Data!$L:$L,"2017")
+SUMIFS(Data!$J:$J,Data!$B:$B,'Summary Interco'!$I$12,Data!$C:$C,'Summary Interco'!$I51,Data!$L:$L,"2018")
+SUMIFS(Data!$J:$J,Data!$B:$B,'Summary Interco'!$I$12,Data!$C:$C,'Summary Interco'!$I51,Data!$L:$L,"2019")</f>
        <v>0</v>
      </c>
      <c r="L51" s="12">
        <v>7265</v>
      </c>
      <c r="M51" s="24">
        <f>Table6[[#This Row],[Sum of data]]+Table7[[#This Row],[Sum of data]]</f>
        <v>0</v>
      </c>
      <c r="P51" s="73">
        <v>449</v>
      </c>
      <c r="Q51" s="73" t="s">
        <v>133</v>
      </c>
      <c r="R51" s="73" t="s">
        <v>42</v>
      </c>
      <c r="S51" t="s">
        <v>154</v>
      </c>
    </row>
    <row r="52" spans="2:19" x14ac:dyDescent="0.2">
      <c r="E52" s="12"/>
      <c r="F52" s="12">
        <v>8303</v>
      </c>
      <c r="G52" s="25">
        <f>SUMIFS(Data!$I:$I,Data!$B:$B,$D$4,Data!$C:$C,$F52,Data!$K:$K,"2016")+SUMIFS(Data!$I:$I,Data!$B:$B,'Summary Interco'!$F$12,Data!$C:$C,'Summary Interco'!$F52,Data!$K:$K,"2017")+SUMIFS(Data!$I:$I,Data!$B:$B,'Summary Interco'!$F$12,Data!$C:$C,'Summary Interco'!$F52,Data!$K:$K,"2018")+SUMIFS(Data!$I:$I,Data!$B:$B,'Summary Interco'!$F$12,Data!$C:$C,'Summary Interco'!$F52,Data!$K:$K,"2019")</f>
        <v>0</v>
      </c>
      <c r="I52" s="12">
        <v>8303</v>
      </c>
      <c r="J52" s="25">
        <f>SUMIFS(Data!$J:$J,Data!$B:$B,'Summary Interco'!$I$12,Data!$C:$C,'Summary Interco'!$I52,Data!$L:$L,"2016")
+SUMIFS(Data!$J:$J,Data!$B:$B,'Summary Interco'!$I$12,Data!$C:$C,'Summary Interco'!$I52,Data!$L:$L,"2017")
+SUMIFS(Data!$J:$J,Data!$B:$B,'Summary Interco'!$I$12,Data!$C:$C,'Summary Interco'!$I52,Data!$L:$L,"2018")
+SUMIFS(Data!$J:$J,Data!$B:$B,'Summary Interco'!$I$12,Data!$C:$C,'Summary Interco'!$I52,Data!$L:$L,"2019")</f>
        <v>0</v>
      </c>
      <c r="L52" s="12">
        <v>8303</v>
      </c>
      <c r="M52" s="24">
        <f>Table6[[#This Row],[Sum of data]]+Table7[[#This Row],[Sum of data]]</f>
        <v>0</v>
      </c>
      <c r="P52" s="73">
        <v>8675</v>
      </c>
      <c r="Q52" s="73" t="s">
        <v>133</v>
      </c>
      <c r="R52" s="73" t="s">
        <v>42</v>
      </c>
      <c r="S52" t="s">
        <v>155</v>
      </c>
    </row>
    <row r="53" spans="2:19" x14ac:dyDescent="0.2">
      <c r="E53" s="12"/>
      <c r="F53" s="12">
        <v>8311</v>
      </c>
      <c r="G53" s="25">
        <f>SUMIFS(Data!$I:$I,Data!$B:$B,$D$4,Data!$C:$C,$F53,Data!$K:$K,"2016")+SUMIFS(Data!$I:$I,Data!$B:$B,'Summary Interco'!$F$12,Data!$C:$C,'Summary Interco'!$F53,Data!$K:$K,"2017")+SUMIFS(Data!$I:$I,Data!$B:$B,'Summary Interco'!$F$12,Data!$C:$C,'Summary Interco'!$F53,Data!$K:$K,"2018")+SUMIFS(Data!$I:$I,Data!$B:$B,'Summary Interco'!$F$12,Data!$C:$C,'Summary Interco'!$F53,Data!$K:$K,"2019")</f>
        <v>0</v>
      </c>
      <c r="I53" s="12">
        <v>8311</v>
      </c>
      <c r="J53" s="25">
        <f>SUMIFS(Data!$J:$J,Data!$B:$B,'Summary Interco'!$I$12,Data!$C:$C,'Summary Interco'!$I53,Data!$L:$L,"2016")
+SUMIFS(Data!$J:$J,Data!$B:$B,'Summary Interco'!$I$12,Data!$C:$C,'Summary Interco'!$I53,Data!$L:$L,"2017")
+SUMIFS(Data!$J:$J,Data!$B:$B,'Summary Interco'!$I$12,Data!$C:$C,'Summary Interco'!$I53,Data!$L:$L,"2018")
+SUMIFS(Data!$J:$J,Data!$B:$B,'Summary Interco'!$I$12,Data!$C:$C,'Summary Interco'!$I53,Data!$L:$L,"2019")</f>
        <v>0</v>
      </c>
      <c r="L53" s="12">
        <v>8311</v>
      </c>
      <c r="M53" s="24">
        <f>Table6[[#This Row],[Sum of data]]+Table7[[#This Row],[Sum of data]]</f>
        <v>0</v>
      </c>
      <c r="P53" s="73">
        <v>8687</v>
      </c>
      <c r="Q53" s="73" t="s">
        <v>133</v>
      </c>
      <c r="R53" s="73" t="s">
        <v>42</v>
      </c>
      <c r="S53" t="s">
        <v>156</v>
      </c>
    </row>
    <row r="54" spans="2:19" x14ac:dyDescent="0.2">
      <c r="E54" s="12"/>
      <c r="F54" s="12">
        <v>8313</v>
      </c>
      <c r="G54" s="25">
        <f>SUMIFS(Data!$I:$I,Data!$B:$B,$D$4,Data!$C:$C,$F54,Data!$K:$K,"2016")+SUMIFS(Data!$I:$I,Data!$B:$B,'Summary Interco'!$F$12,Data!$C:$C,'Summary Interco'!$F54,Data!$K:$K,"2017")+SUMIFS(Data!$I:$I,Data!$B:$B,'Summary Interco'!$F$12,Data!$C:$C,'Summary Interco'!$F54,Data!$K:$K,"2018")+SUMIFS(Data!$I:$I,Data!$B:$B,'Summary Interco'!$F$12,Data!$C:$C,'Summary Interco'!$F54,Data!$K:$K,"2019")</f>
        <v>0</v>
      </c>
      <c r="I54" s="12">
        <v>8313</v>
      </c>
      <c r="J54" s="25">
        <f>SUMIFS(Data!$J:$J,Data!$B:$B,'Summary Interco'!$I$12,Data!$C:$C,'Summary Interco'!$I54,Data!$L:$L,"2016")
+SUMIFS(Data!$J:$J,Data!$B:$B,'Summary Interco'!$I$12,Data!$C:$C,'Summary Interco'!$I54,Data!$L:$L,"2017")
+SUMIFS(Data!$J:$J,Data!$B:$B,'Summary Interco'!$I$12,Data!$C:$C,'Summary Interco'!$I54,Data!$L:$L,"2018")
+SUMIFS(Data!$J:$J,Data!$B:$B,'Summary Interco'!$I$12,Data!$C:$C,'Summary Interco'!$I54,Data!$L:$L,"2019")</f>
        <v>0</v>
      </c>
      <c r="L54" s="12">
        <v>8313</v>
      </c>
      <c r="M54" s="24">
        <f>Table6[[#This Row],[Sum of data]]+Table7[[#This Row],[Sum of data]]</f>
        <v>0</v>
      </c>
      <c r="P54" s="73">
        <v>6272</v>
      </c>
      <c r="Q54" s="73" t="s">
        <v>134</v>
      </c>
      <c r="R54" s="73" t="s">
        <v>42</v>
      </c>
      <c r="S54" t="s">
        <v>157</v>
      </c>
    </row>
    <row r="55" spans="2:19" x14ac:dyDescent="0.2">
      <c r="E55" s="12"/>
      <c r="F55" s="12">
        <v>8328</v>
      </c>
      <c r="G55" s="25">
        <f>SUMIFS(Data!$I:$I,Data!$B:$B,$D$4,Data!$C:$C,$F55,Data!$K:$K,"2016")+SUMIFS(Data!$I:$I,Data!$B:$B,'Summary Interco'!$F$12,Data!$C:$C,'Summary Interco'!$F55,Data!$K:$K,"2017")+SUMIFS(Data!$I:$I,Data!$B:$B,'Summary Interco'!$F$12,Data!$C:$C,'Summary Interco'!$F55,Data!$K:$K,"2018")+SUMIFS(Data!$I:$I,Data!$B:$B,'Summary Interco'!$F$12,Data!$C:$C,'Summary Interco'!$F55,Data!$K:$K,"2019")</f>
        <v>0</v>
      </c>
      <c r="I55" s="12">
        <v>8328</v>
      </c>
      <c r="J55" s="25">
        <f>SUMIFS(Data!$J:$J,Data!$B:$B,'Summary Interco'!$I$12,Data!$C:$C,'Summary Interco'!$I55,Data!$L:$L,"2016")
+SUMIFS(Data!$J:$J,Data!$B:$B,'Summary Interco'!$I$12,Data!$C:$C,'Summary Interco'!$I55,Data!$L:$L,"2017")
+SUMIFS(Data!$J:$J,Data!$B:$B,'Summary Interco'!$I$12,Data!$C:$C,'Summary Interco'!$I55,Data!$L:$L,"2018")
+SUMIFS(Data!$J:$J,Data!$B:$B,'Summary Interco'!$I$12,Data!$C:$C,'Summary Interco'!$I55,Data!$L:$L,"2019")</f>
        <v>0</v>
      </c>
      <c r="L55" s="12">
        <v>8328</v>
      </c>
      <c r="M55" s="24">
        <f>Table6[[#This Row],[Sum of data]]+Table7[[#This Row],[Sum of data]]</f>
        <v>0</v>
      </c>
      <c r="P55" s="73">
        <v>8716</v>
      </c>
      <c r="Q55" s="73" t="s">
        <v>134</v>
      </c>
      <c r="R55" s="73" t="s">
        <v>42</v>
      </c>
      <c r="S55" t="s">
        <v>158</v>
      </c>
    </row>
    <row r="56" spans="2:19" x14ac:dyDescent="0.2">
      <c r="E56" s="12"/>
      <c r="F56" s="12">
        <v>8440</v>
      </c>
      <c r="G56" s="25">
        <f>SUMIFS(Data!$I:$I,Data!$B:$B,$D$4,Data!$C:$C,$F56,Data!$K:$K,"2016")+SUMIFS(Data!$I:$I,Data!$B:$B,'Summary Interco'!$F$12,Data!$C:$C,'Summary Interco'!$F56,Data!$K:$K,"2017")+SUMIFS(Data!$I:$I,Data!$B:$B,'Summary Interco'!$F$12,Data!$C:$C,'Summary Interco'!$F56,Data!$K:$K,"2018")+SUMIFS(Data!$I:$I,Data!$B:$B,'Summary Interco'!$F$12,Data!$C:$C,'Summary Interco'!$F56,Data!$K:$K,"2019")</f>
        <v>0</v>
      </c>
      <c r="I56" s="12">
        <v>8440</v>
      </c>
      <c r="J56" s="25">
        <f>SUMIFS(Data!$J:$J,Data!$B:$B,'Summary Interco'!$I$12,Data!$C:$C,'Summary Interco'!$I56,Data!$L:$L,"2016")
+SUMIFS(Data!$J:$J,Data!$B:$B,'Summary Interco'!$I$12,Data!$C:$C,'Summary Interco'!$I56,Data!$L:$L,"2017")
+SUMIFS(Data!$J:$J,Data!$B:$B,'Summary Interco'!$I$12,Data!$C:$C,'Summary Interco'!$I56,Data!$L:$L,"2018")
+SUMIFS(Data!$J:$J,Data!$B:$B,'Summary Interco'!$I$12,Data!$C:$C,'Summary Interco'!$I56,Data!$L:$L,"2019")</f>
        <v>0</v>
      </c>
      <c r="L56" s="12">
        <v>8440</v>
      </c>
      <c r="M56" s="24">
        <f>Table6[[#This Row],[Sum of data]]+Table7[[#This Row],[Sum of data]]</f>
        <v>0</v>
      </c>
      <c r="P56" s="73">
        <v>6901</v>
      </c>
      <c r="Q56" s="73" t="s">
        <v>135</v>
      </c>
      <c r="R56" s="73" t="s">
        <v>42</v>
      </c>
      <c r="S56" t="s">
        <v>159</v>
      </c>
    </row>
    <row r="57" spans="2:19" x14ac:dyDescent="0.2">
      <c r="B57" s="12"/>
      <c r="C57" s="12"/>
      <c r="D57" s="12"/>
      <c r="E57" s="12"/>
      <c r="F57" s="12">
        <v>8675</v>
      </c>
      <c r="G57" s="25">
        <f>SUMIFS(Data!$I:$I,Data!$B:$B,$D$4,Data!$C:$C,$F57,Data!$K:$K,"2016")+SUMIFS(Data!$I:$I,Data!$B:$B,'Summary Interco'!$F$12,Data!$C:$C,'Summary Interco'!$F57,Data!$K:$K,"2017")+SUMIFS(Data!$I:$I,Data!$B:$B,'Summary Interco'!$F$12,Data!$C:$C,'Summary Interco'!$F57,Data!$K:$K,"2018")+SUMIFS(Data!$I:$I,Data!$B:$B,'Summary Interco'!$F$12,Data!$C:$C,'Summary Interco'!$F57,Data!$K:$K,"2019")</f>
        <v>0</v>
      </c>
      <c r="I57" s="12">
        <v>8675</v>
      </c>
      <c r="J57" s="25">
        <f>SUMIFS(Data!$J:$J,Data!$B:$B,'Summary Interco'!$I$12,Data!$C:$C,'Summary Interco'!$I57,Data!$L:$L,"2016")
+SUMIFS(Data!$J:$J,Data!$B:$B,'Summary Interco'!$I$12,Data!$C:$C,'Summary Interco'!$I57,Data!$L:$L,"2017")
+SUMIFS(Data!$J:$J,Data!$B:$B,'Summary Interco'!$I$12,Data!$C:$C,'Summary Interco'!$I57,Data!$L:$L,"2018")
+SUMIFS(Data!$J:$J,Data!$B:$B,'Summary Interco'!$I$12,Data!$C:$C,'Summary Interco'!$I57,Data!$L:$L,"2019")</f>
        <v>0</v>
      </c>
      <c r="L57" s="12">
        <v>8675</v>
      </c>
      <c r="M57" s="24">
        <f>Table6[[#This Row],[Sum of data]]+Table7[[#This Row],[Sum of data]]</f>
        <v>0</v>
      </c>
      <c r="P57" s="73">
        <v>95</v>
      </c>
      <c r="Q57" s="73" t="s">
        <v>136</v>
      </c>
      <c r="R57" s="73" t="s">
        <v>142</v>
      </c>
      <c r="S57" t="s">
        <v>160</v>
      </c>
    </row>
    <row r="58" spans="2:19" x14ac:dyDescent="0.2">
      <c r="B58" s="12"/>
      <c r="C58" s="12"/>
      <c r="D58" s="12"/>
      <c r="E58" s="12"/>
      <c r="F58" s="12">
        <v>8687</v>
      </c>
      <c r="G58" s="25">
        <f>SUMIFS(Data!$I:$I,Data!$B:$B,$D$4,Data!$C:$C,$F58,Data!$K:$K,"2016")+SUMIFS(Data!$I:$I,Data!$B:$B,'Summary Interco'!$F$12,Data!$C:$C,'Summary Interco'!$F58,Data!$K:$K,"2017")+SUMIFS(Data!$I:$I,Data!$B:$B,'Summary Interco'!$F$12,Data!$C:$C,'Summary Interco'!$F58,Data!$K:$K,"2018")+SUMIFS(Data!$I:$I,Data!$B:$B,'Summary Interco'!$F$12,Data!$C:$C,'Summary Interco'!$F58,Data!$K:$K,"2019")</f>
        <v>0</v>
      </c>
      <c r="I58" s="12">
        <v>8687</v>
      </c>
      <c r="J58" s="25">
        <f>SUMIFS(Data!$J:$J,Data!$B:$B,'Summary Interco'!$I$12,Data!$C:$C,'Summary Interco'!$I58,Data!$L:$L,"2016")
+SUMIFS(Data!$J:$J,Data!$B:$B,'Summary Interco'!$I$12,Data!$C:$C,'Summary Interco'!$I58,Data!$L:$L,"2017")
+SUMIFS(Data!$J:$J,Data!$B:$B,'Summary Interco'!$I$12,Data!$C:$C,'Summary Interco'!$I58,Data!$L:$L,"2018")
+SUMIFS(Data!$J:$J,Data!$B:$B,'Summary Interco'!$I$12,Data!$C:$C,'Summary Interco'!$I58,Data!$L:$L,"2019")</f>
        <v>0</v>
      </c>
      <c r="L58" s="12">
        <v>8687</v>
      </c>
      <c r="M58" s="24">
        <f>Table6[[#This Row],[Sum of data]]+Table7[[#This Row],[Sum of data]]</f>
        <v>0</v>
      </c>
      <c r="P58" s="73">
        <v>443</v>
      </c>
      <c r="Q58" s="73" t="s">
        <v>137</v>
      </c>
      <c r="R58" s="73" t="s">
        <v>142</v>
      </c>
      <c r="S58" t="s">
        <v>161</v>
      </c>
    </row>
    <row r="59" spans="2:19" x14ac:dyDescent="0.2">
      <c r="B59" s="12"/>
      <c r="C59" s="12"/>
      <c r="D59" s="12"/>
      <c r="E59" s="12"/>
      <c r="F59" s="12">
        <v>8716</v>
      </c>
      <c r="G59" s="25">
        <f>SUMIFS(Data!$I:$I,Data!$B:$B,$D$4,Data!$C:$C,$F59,Data!$K:$K,"2016")+SUMIFS(Data!$I:$I,Data!$B:$B,'Summary Interco'!$F$12,Data!$C:$C,'Summary Interco'!$F59,Data!$K:$K,"2017")+SUMIFS(Data!$I:$I,Data!$B:$B,'Summary Interco'!$F$12,Data!$C:$C,'Summary Interco'!$F59,Data!$K:$K,"2018")+SUMIFS(Data!$I:$I,Data!$B:$B,'Summary Interco'!$F$12,Data!$C:$C,'Summary Interco'!$F59,Data!$K:$K,"2019")</f>
        <v>0</v>
      </c>
      <c r="I59" s="12">
        <v>8716</v>
      </c>
      <c r="J59" s="25">
        <f>SUMIFS(Data!$J:$J,Data!$B:$B,'Summary Interco'!$I$12,Data!$C:$C,'Summary Interco'!$I59,Data!$L:$L,"2016")
+SUMIFS(Data!$J:$J,Data!$B:$B,'Summary Interco'!$I$12,Data!$C:$C,'Summary Interco'!$I59,Data!$L:$L,"2017")
+SUMIFS(Data!$J:$J,Data!$B:$B,'Summary Interco'!$I$12,Data!$C:$C,'Summary Interco'!$I59,Data!$L:$L,"2018")
+SUMIFS(Data!$J:$J,Data!$B:$B,'Summary Interco'!$I$12,Data!$C:$C,'Summary Interco'!$I59,Data!$L:$L,"2019")</f>
        <v>0</v>
      </c>
      <c r="L59" s="12">
        <v>8716</v>
      </c>
      <c r="M59" s="24">
        <f>Table6[[#This Row],[Sum of data]]+Table7[[#This Row],[Sum of data]]</f>
        <v>0</v>
      </c>
      <c r="P59" s="73">
        <v>8693</v>
      </c>
      <c r="Q59" s="73" t="s">
        <v>138</v>
      </c>
      <c r="R59" s="73" t="s">
        <v>110</v>
      </c>
      <c r="S59" t="s">
        <v>162</v>
      </c>
    </row>
    <row r="60" spans="2:19" x14ac:dyDescent="0.2">
      <c r="B60" s="12"/>
      <c r="C60" s="12"/>
      <c r="D60" s="12"/>
      <c r="E60" s="12"/>
      <c r="F60" s="32">
        <v>999</v>
      </c>
      <c r="G60" s="25">
        <f>SUMIFS(Data!$I:$I,Data!$B:$B,$D$4,Data!$C:$C,$F60,Data!$K:$K,"2016")+SUMIFS(Data!$I:$I,Data!$B:$B,'Summary Interco'!$F$12,Data!$C:$C,'Summary Interco'!$F60,Data!$K:$K,"2017")+SUMIFS(Data!$I:$I,Data!$B:$B,'Summary Interco'!$F$12,Data!$C:$C,'Summary Interco'!$F60,Data!$K:$K,"2018")+SUMIFS(Data!$I:$I,Data!$B:$B,'Summary Interco'!$F$12,Data!$C:$C,'Summary Interco'!$F60,Data!$K:$K,"2019")</f>
        <v>0</v>
      </c>
      <c r="I60" s="32">
        <v>999</v>
      </c>
      <c r="J60" s="25">
        <f>SUMIFS(Data!$J:$J,Data!$B:$B,'Summary Interco'!$I$12,Data!$C:$C,'Summary Interco'!$I60,Data!$L:$L,"2016")
+SUMIFS(Data!$J:$J,Data!$B:$B,'Summary Interco'!$I$12,Data!$C:$C,'Summary Interco'!$I60,Data!$L:$L,"2017")
+SUMIFS(Data!$J:$J,Data!$B:$B,'Summary Interco'!$I$12,Data!$C:$C,'Summary Interco'!$I60,Data!$L:$L,"2018")
+SUMIFS(Data!$J:$J,Data!$B:$B,'Summary Interco'!$I$12,Data!$C:$C,'Summary Interco'!$I60,Data!$L:$L,"2019")</f>
        <v>0</v>
      </c>
      <c r="L60" s="12">
        <v>999</v>
      </c>
      <c r="M60" s="34">
        <f>Table6[[#This Row],[Sum of data]]+Table7[[#This Row],[Sum of data]]</f>
        <v>0</v>
      </c>
      <c r="P60" s="73">
        <v>8440</v>
      </c>
      <c r="Q60" s="73" t="s">
        <v>136</v>
      </c>
      <c r="R60" s="73" t="s">
        <v>142</v>
      </c>
      <c r="S60" t="s">
        <v>163</v>
      </c>
    </row>
    <row r="61" spans="2:19" x14ac:dyDescent="0.2">
      <c r="B61" s="12"/>
      <c r="C61" s="12"/>
      <c r="D61" s="12"/>
      <c r="E61" s="12"/>
      <c r="F61" s="32">
        <v>8443</v>
      </c>
      <c r="G61" s="25">
        <f>SUMIFS(Data!$I:$I,Data!$B:$B,$D$4,Data!$C:$C,$F61,Data!$K:$K,"2016")+SUMIFS(Data!$I:$I,Data!$B:$B,'Summary Interco'!$F$12,Data!$C:$C,'Summary Interco'!$F61,Data!$K:$K,"2017")+SUMIFS(Data!$I:$I,Data!$B:$B,'Summary Interco'!$F$12,Data!$C:$C,'Summary Interco'!$F61,Data!$K:$K,"2018")+SUMIFS(Data!$I:$I,Data!$B:$B,'Summary Interco'!$F$12,Data!$C:$C,'Summary Interco'!$F61,Data!$K:$K,"2019")</f>
        <v>0</v>
      </c>
      <c r="I61" s="32">
        <v>8443</v>
      </c>
      <c r="J61" s="25">
        <f>SUMIFS(Data!$J:$J,Data!$B:$B,'Summary Interco'!$I$12,Data!$C:$C,'Summary Interco'!$I61,Data!$L:$L,"2016")
+SUMIFS(Data!$J:$J,Data!$B:$B,'Summary Interco'!$I$12,Data!$C:$C,'Summary Interco'!$I61,Data!$L:$L,"2017")
+SUMIFS(Data!$J:$J,Data!$B:$B,'Summary Interco'!$I$12,Data!$C:$C,'Summary Interco'!$I61,Data!$L:$L,"2018")
+SUMIFS(Data!$J:$J,Data!$B:$B,'Summary Interco'!$I$12,Data!$C:$C,'Summary Interco'!$I61,Data!$L:$L,"2019")</f>
        <v>0</v>
      </c>
      <c r="L61" s="12">
        <v>8443</v>
      </c>
      <c r="M61" s="34">
        <f>Table6[[#This Row],[Sum of data]]+Table7[[#This Row],[Sum of data]]</f>
        <v>0</v>
      </c>
      <c r="P61">
        <v>8317</v>
      </c>
      <c r="Q61" t="s">
        <v>23</v>
      </c>
      <c r="R61" s="13" t="s">
        <v>42</v>
      </c>
      <c r="S61" t="s">
        <v>168</v>
      </c>
    </row>
    <row r="62" spans="2:19" x14ac:dyDescent="0.2">
      <c r="B62" s="12"/>
      <c r="C62" s="12"/>
      <c r="D62" s="12"/>
      <c r="E62" s="12"/>
      <c r="F62" s="33" t="s">
        <v>127</v>
      </c>
      <c r="G62" s="25">
        <f>SUMIFS(Data!$I:$I,Data!$B:$B,$D$4,Data!$C:$C,$F62,Data!$K:$K,"2016")+SUMIFS(Data!$I:$I,Data!$B:$B,'Summary Interco'!$F$12,Data!$C:$C,'Summary Interco'!$F62,Data!$K:$K,"2017")+SUMIFS(Data!$I:$I,Data!$B:$B,'Summary Interco'!$F$12,Data!$C:$C,'Summary Interco'!$F62,Data!$K:$K,"2018")+SUMIFS(Data!$I:$I,Data!$B:$B,'Summary Interco'!$F$12,Data!$C:$C,'Summary Interco'!$F62,Data!$K:$K,"2019")</f>
        <v>0</v>
      </c>
      <c r="I62" s="33" t="s">
        <v>127</v>
      </c>
      <c r="J62" s="25">
        <f>SUMIFS(Data!$J:$J,Data!$B:$B,'Summary Interco'!$I$12,Data!$C:$C,'Summary Interco'!$I62,Data!$L:$L,"2016")
+SUMIFS(Data!$J:$J,Data!$B:$B,'Summary Interco'!$I$12,Data!$C:$C,'Summary Interco'!$I62,Data!$L:$L,"2017")
+SUMIFS(Data!$J:$J,Data!$B:$B,'Summary Interco'!$I$12,Data!$C:$C,'Summary Interco'!$I62,Data!$L:$L,"2018")
+SUMIFS(Data!$J:$J,Data!$B:$B,'Summary Interco'!$I$12,Data!$C:$C,'Summary Interco'!$I62,Data!$L:$L,"2019")</f>
        <v>0</v>
      </c>
      <c r="L62" s="35" t="s">
        <v>127</v>
      </c>
      <c r="M62" s="34">
        <f>Table6[[#This Row],[Sum of data]]+Table7[[#This Row],[Sum of data]]</f>
        <v>0</v>
      </c>
      <c r="P62" s="88" t="s">
        <v>397</v>
      </c>
      <c r="Q62" t="s">
        <v>399</v>
      </c>
      <c r="R62" t="s">
        <v>139</v>
      </c>
      <c r="S62" t="s">
        <v>400</v>
      </c>
    </row>
    <row r="63" spans="2:19" x14ac:dyDescent="0.2">
      <c r="B63" s="12"/>
      <c r="C63" s="12"/>
      <c r="D63" s="12"/>
      <c r="E63" s="12"/>
      <c r="F63" s="33">
        <v>287</v>
      </c>
      <c r="G63" s="87">
        <f>SUMIFS(Data!$I:$I,Data!$B:$B,$D$4,Data!$C:$C,$F63,Data!$K:$K,"2016")+SUMIFS(Data!$I:$I,Data!$B:$B,'Summary Interco'!$F$12,Data!$C:$C,'Summary Interco'!$F63,Data!$K:$K,"2017")+SUMIFS(Data!$I:$I,Data!$B:$B,'Summary Interco'!$F$12,Data!$C:$C,'Summary Interco'!$F63,Data!$K:$K,"2018")+SUMIFS(Data!$I:$I,Data!$B:$B,'Summary Interco'!$F$12,Data!$C:$C,'Summary Interco'!$F63,Data!$K:$K,"2019")</f>
        <v>-413116.97999999992</v>
      </c>
      <c r="H63" s="13"/>
      <c r="I63" s="33">
        <v>287</v>
      </c>
      <c r="J63" s="87">
        <f>SUMIFS(Data!$J:$J,Data!$B:$B,'Summary Interco'!$I$12,Data!$C:$C,'Summary Interco'!$I63,Data!$L:$L,"2016")
+SUMIFS(Data!$J:$J,Data!$B:$B,'Summary Interco'!$I$12,Data!$C:$C,'Summary Interco'!$I63,Data!$L:$L,"2017")
+SUMIFS(Data!$J:$J,Data!$B:$B,'Summary Interco'!$I$12,Data!$C:$C,'Summary Interco'!$I63,Data!$L:$L,"2018")
+SUMIFS(Data!$J:$J,Data!$B:$B,'Summary Interco'!$I$12,Data!$C:$C,'Summary Interco'!$I63,Data!$L:$L,"2019")</f>
        <v>438472.35</v>
      </c>
      <c r="L63" s="32">
        <v>287</v>
      </c>
      <c r="M63" s="86">
        <f>Table6[[#This Row],[Sum of data]]+Table7[[#This Row],[Sum of data]]</f>
        <v>25355.370000000054</v>
      </c>
    </row>
    <row r="64" spans="2:19" x14ac:dyDescent="0.2">
      <c r="B64" s="12"/>
      <c r="C64" s="12"/>
      <c r="D64" s="12"/>
      <c r="E64" s="12"/>
    </row>
    <row r="65" spans="2:13" ht="13.5" thickBot="1" x14ac:dyDescent="0.25">
      <c r="B65" s="12"/>
      <c r="C65" s="12"/>
      <c r="D65" s="12"/>
      <c r="E65" s="12"/>
      <c r="G65" s="23">
        <f>SUM(G14:G63)</f>
        <v>-5009770.4099999992</v>
      </c>
      <c r="H65" s="29"/>
      <c r="J65" s="23">
        <f>SUM(J14:J63)</f>
        <v>5130042.4999999991</v>
      </c>
      <c r="M65" s="22">
        <f>G65+J65</f>
        <v>120272.08999999985</v>
      </c>
    </row>
    <row r="66" spans="2:13" ht="13.5" thickTop="1" x14ac:dyDescent="0.2">
      <c r="B66" s="12"/>
      <c r="C66" s="12"/>
      <c r="D66" s="12"/>
      <c r="E66" s="12"/>
    </row>
    <row r="67" spans="2:13" x14ac:dyDescent="0.2">
      <c r="B67" s="12"/>
      <c r="C67" s="12"/>
      <c r="D67" s="12"/>
      <c r="E67" s="12"/>
    </row>
    <row r="68" spans="2:13" x14ac:dyDescent="0.2">
      <c r="B68" s="12"/>
      <c r="C68" s="12"/>
      <c r="D68" s="12"/>
      <c r="E68" s="12"/>
    </row>
    <row r="69" spans="2:13" x14ac:dyDescent="0.2">
      <c r="B69" s="12"/>
      <c r="C69" s="12"/>
      <c r="D69" s="12"/>
      <c r="E69" s="12"/>
    </row>
    <row r="70" spans="2:13" x14ac:dyDescent="0.2">
      <c r="B70" s="12"/>
      <c r="C70" s="12"/>
      <c r="D70" s="12"/>
      <c r="E70" s="12"/>
    </row>
    <row r="71" spans="2:13" x14ac:dyDescent="0.2">
      <c r="B71" s="12"/>
      <c r="C71" s="12"/>
      <c r="D71" s="12"/>
      <c r="E71" s="12"/>
    </row>
    <row r="72" spans="2:13" x14ac:dyDescent="0.2">
      <c r="B72" s="12"/>
      <c r="C72" s="12"/>
      <c r="D72" s="12"/>
      <c r="E72" s="12"/>
    </row>
    <row r="73" spans="2:13" x14ac:dyDescent="0.2">
      <c r="B73" s="12"/>
      <c r="C73" s="12"/>
      <c r="D73" s="12"/>
      <c r="E73" s="12"/>
    </row>
    <row r="74" spans="2:13" x14ac:dyDescent="0.2">
      <c r="B74" s="12"/>
      <c r="C74" s="12"/>
      <c r="D74" s="12"/>
      <c r="E74" s="12"/>
    </row>
    <row r="75" spans="2:13" x14ac:dyDescent="0.2">
      <c r="B75" s="12"/>
      <c r="C75" s="12"/>
      <c r="D75" s="12"/>
      <c r="E75" s="12"/>
    </row>
    <row r="76" spans="2:13" x14ac:dyDescent="0.2">
      <c r="B76" s="12"/>
      <c r="C76" s="12"/>
      <c r="D76" s="12"/>
      <c r="E76" s="12"/>
    </row>
    <row r="77" spans="2:13" x14ac:dyDescent="0.2">
      <c r="B77" s="12"/>
      <c r="C77" s="12"/>
      <c r="D77" s="12"/>
      <c r="E77" s="12"/>
    </row>
    <row r="78" spans="2:13" x14ac:dyDescent="0.2">
      <c r="B78" s="12"/>
      <c r="C78" s="12"/>
      <c r="D78" s="12"/>
      <c r="E78" s="12"/>
    </row>
    <row r="79" spans="2:13" x14ac:dyDescent="0.2">
      <c r="B79" s="12"/>
      <c r="C79" s="12"/>
      <c r="D79" s="12"/>
      <c r="E79" s="12"/>
    </row>
    <row r="80" spans="2:13" x14ac:dyDescent="0.2">
      <c r="B80" s="12"/>
      <c r="C80" s="12"/>
      <c r="D80" s="12"/>
      <c r="E80" s="12"/>
    </row>
    <row r="81" spans="2:5" x14ac:dyDescent="0.2">
      <c r="B81" s="12"/>
      <c r="C81" s="12"/>
      <c r="D81" s="12"/>
      <c r="E81" s="12"/>
    </row>
    <row r="82" spans="2:5" x14ac:dyDescent="0.2">
      <c r="B82" s="12"/>
      <c r="C82" s="12"/>
      <c r="D82" s="12"/>
      <c r="E82" s="12"/>
    </row>
    <row r="83" spans="2:5" x14ac:dyDescent="0.2">
      <c r="B83" s="12"/>
      <c r="C83" s="12"/>
      <c r="D83" s="12"/>
      <c r="E83" s="12"/>
    </row>
    <row r="84" spans="2:5" x14ac:dyDescent="0.2">
      <c r="B84" s="12"/>
      <c r="C84" s="12"/>
      <c r="D84" s="12"/>
      <c r="E84" s="12"/>
    </row>
    <row r="85" spans="2:5" x14ac:dyDescent="0.2">
      <c r="B85" s="12"/>
      <c r="C85" s="12"/>
      <c r="D85" s="12"/>
      <c r="E85" s="12"/>
    </row>
    <row r="86" spans="2:5" x14ac:dyDescent="0.2">
      <c r="B86" s="12"/>
      <c r="C86" s="12"/>
      <c r="D86" s="12"/>
      <c r="E86" s="12"/>
    </row>
    <row r="87" spans="2:5" x14ac:dyDescent="0.2">
      <c r="B87" s="12"/>
      <c r="C87" s="12"/>
      <c r="D87" s="12"/>
      <c r="E87" s="12"/>
    </row>
    <row r="88" spans="2:5" x14ac:dyDescent="0.2">
      <c r="B88" s="12"/>
      <c r="C88" s="12"/>
      <c r="D88" s="12"/>
      <c r="E88" s="12"/>
    </row>
    <row r="89" spans="2:5" x14ac:dyDescent="0.2">
      <c r="B89" s="12"/>
      <c r="C89" s="12"/>
      <c r="D89" s="12"/>
      <c r="E89" s="12"/>
    </row>
    <row r="90" spans="2:5" x14ac:dyDescent="0.2">
      <c r="B90" s="12"/>
      <c r="C90" s="12"/>
      <c r="D90" s="12"/>
      <c r="E90" s="12"/>
    </row>
    <row r="91" spans="2:5" x14ac:dyDescent="0.2">
      <c r="B91" s="12"/>
      <c r="C91" s="12"/>
      <c r="D91" s="12"/>
      <c r="E91" s="12"/>
    </row>
    <row r="92" spans="2:5" x14ac:dyDescent="0.2">
      <c r="B92" s="12"/>
      <c r="C92" s="12"/>
      <c r="D92" s="12"/>
      <c r="E92" s="12"/>
    </row>
    <row r="93" spans="2:5" x14ac:dyDescent="0.2">
      <c r="B93" s="12"/>
      <c r="C93" s="12"/>
      <c r="D93" s="12"/>
      <c r="E93" s="12"/>
    </row>
    <row r="94" spans="2:5" x14ac:dyDescent="0.2">
      <c r="B94" s="12"/>
      <c r="C94" s="12"/>
      <c r="D94" s="12"/>
      <c r="E94" s="12"/>
    </row>
    <row r="95" spans="2:5" x14ac:dyDescent="0.2">
      <c r="B95" s="12"/>
      <c r="C95" s="12"/>
      <c r="D95" s="12"/>
      <c r="E95" s="12"/>
    </row>
    <row r="96" spans="2:5" x14ac:dyDescent="0.2">
      <c r="B96" s="12"/>
      <c r="C96" s="12"/>
      <c r="D96" s="12"/>
      <c r="E96" s="12"/>
    </row>
    <row r="97" spans="2:5" x14ac:dyDescent="0.2">
      <c r="B97" s="12"/>
      <c r="C97" s="12"/>
      <c r="D97" s="12"/>
      <c r="E97" s="12"/>
    </row>
    <row r="98" spans="2:5" x14ac:dyDescent="0.2">
      <c r="B98" s="12"/>
      <c r="C98" s="12"/>
      <c r="D98" s="12"/>
      <c r="E98" s="12"/>
    </row>
    <row r="99" spans="2:5" x14ac:dyDescent="0.2">
      <c r="B99" s="12"/>
      <c r="C99" s="12"/>
      <c r="D99" s="12"/>
      <c r="E99" s="12"/>
    </row>
    <row r="100" spans="2:5" x14ac:dyDescent="0.2">
      <c r="B100" s="12"/>
      <c r="C100" s="12"/>
      <c r="D100" s="12"/>
      <c r="E100" s="12"/>
    </row>
    <row r="101" spans="2:5" x14ac:dyDescent="0.2">
      <c r="B101" s="12"/>
      <c r="C101" s="12"/>
      <c r="D101" s="12"/>
      <c r="E101" s="12"/>
    </row>
    <row r="102" spans="2:5" x14ac:dyDescent="0.2">
      <c r="B102" s="12"/>
      <c r="C102" s="12"/>
      <c r="D102" s="12"/>
      <c r="E102" s="12"/>
    </row>
    <row r="103" spans="2:5" x14ac:dyDescent="0.2">
      <c r="B103" s="12"/>
      <c r="C103" s="12"/>
      <c r="D103" s="12"/>
      <c r="E103" s="12"/>
    </row>
    <row r="104" spans="2:5" x14ac:dyDescent="0.2">
      <c r="B104" s="12"/>
      <c r="C104" s="12"/>
      <c r="D104" s="12"/>
      <c r="E104" s="12"/>
    </row>
    <row r="105" spans="2:5" x14ac:dyDescent="0.2">
      <c r="B105" s="12"/>
      <c r="C105" s="12"/>
      <c r="D105" s="12"/>
      <c r="E105" s="12"/>
    </row>
    <row r="106" spans="2:5" x14ac:dyDescent="0.2">
      <c r="B106" s="12"/>
      <c r="C106" s="12"/>
      <c r="D106" s="12"/>
      <c r="E106" s="12"/>
    </row>
    <row r="107" spans="2:5" x14ac:dyDescent="0.2">
      <c r="B107" s="12"/>
      <c r="C107" s="12"/>
      <c r="D107" s="12"/>
      <c r="E107" s="12"/>
    </row>
    <row r="108" spans="2:5" x14ac:dyDescent="0.2">
      <c r="B108" s="12"/>
      <c r="C108" s="12"/>
      <c r="D108" s="12"/>
      <c r="E108" s="12"/>
    </row>
    <row r="109" spans="2:5" x14ac:dyDescent="0.2">
      <c r="B109" s="12"/>
      <c r="C109" s="12"/>
      <c r="D109" s="12"/>
      <c r="E109" s="12"/>
    </row>
    <row r="110" spans="2:5" x14ac:dyDescent="0.2">
      <c r="B110" s="12"/>
      <c r="C110" s="12"/>
      <c r="D110" s="12"/>
      <c r="E110" s="12"/>
    </row>
    <row r="111" spans="2:5" x14ac:dyDescent="0.2">
      <c r="B111" s="12"/>
      <c r="C111" s="12"/>
      <c r="D111" s="12"/>
      <c r="E111" s="12"/>
    </row>
    <row r="112" spans="2:5" x14ac:dyDescent="0.2">
      <c r="B112" s="12"/>
      <c r="C112" s="12"/>
      <c r="D112" s="12"/>
      <c r="E112" s="12"/>
    </row>
    <row r="113" spans="2:5" x14ac:dyDescent="0.2">
      <c r="B113" s="12"/>
      <c r="C113" s="12"/>
      <c r="D113" s="12"/>
      <c r="E113" s="12"/>
    </row>
    <row r="114" spans="2:5" x14ac:dyDescent="0.2">
      <c r="B114" s="12"/>
      <c r="C114" s="12"/>
      <c r="D114" s="12"/>
      <c r="E114" s="12"/>
    </row>
    <row r="115" spans="2:5" x14ac:dyDescent="0.2">
      <c r="B115" s="12"/>
      <c r="C115" s="12"/>
      <c r="D115" s="12"/>
      <c r="E115" s="12"/>
    </row>
    <row r="116" spans="2:5" x14ac:dyDescent="0.2">
      <c r="B116" s="12"/>
      <c r="C116" s="12"/>
      <c r="D116" s="12"/>
      <c r="E116" s="12"/>
    </row>
    <row r="117" spans="2:5" x14ac:dyDescent="0.2">
      <c r="B117" s="12"/>
      <c r="C117" s="12"/>
      <c r="D117" s="12"/>
      <c r="E117" s="12"/>
    </row>
    <row r="118" spans="2:5" x14ac:dyDescent="0.2">
      <c r="B118" s="12"/>
      <c r="C118" s="12"/>
      <c r="D118" s="12"/>
      <c r="E118" s="12"/>
    </row>
    <row r="119" spans="2:5" x14ac:dyDescent="0.2">
      <c r="B119" s="12"/>
      <c r="C119" s="12"/>
      <c r="D119" s="12"/>
      <c r="E119" s="12"/>
    </row>
    <row r="120" spans="2:5" x14ac:dyDescent="0.2">
      <c r="B120" s="12"/>
      <c r="C120" s="12"/>
      <c r="D120" s="12"/>
      <c r="E120" s="12"/>
    </row>
    <row r="121" spans="2:5" x14ac:dyDescent="0.2">
      <c r="B121" s="12"/>
      <c r="C121" s="12"/>
      <c r="D121" s="12"/>
      <c r="E121" s="12"/>
    </row>
    <row r="122" spans="2:5" x14ac:dyDescent="0.2">
      <c r="B122" s="12"/>
      <c r="C122" s="12"/>
      <c r="D122" s="12"/>
      <c r="E122" s="12"/>
    </row>
    <row r="123" spans="2:5" x14ac:dyDescent="0.2">
      <c r="B123" s="12"/>
      <c r="C123" s="12"/>
      <c r="D123" s="12"/>
      <c r="E123" s="12"/>
    </row>
    <row r="124" spans="2:5" x14ac:dyDescent="0.2">
      <c r="B124" s="12"/>
      <c r="C124" s="12"/>
      <c r="D124" s="12"/>
      <c r="E124" s="12"/>
    </row>
    <row r="125" spans="2:5" x14ac:dyDescent="0.2">
      <c r="B125" s="12"/>
      <c r="C125" s="12"/>
      <c r="D125" s="12"/>
      <c r="E125" s="12"/>
    </row>
    <row r="126" spans="2:5" x14ac:dyDescent="0.2">
      <c r="B126" s="12"/>
      <c r="C126" s="12"/>
      <c r="D126" s="12"/>
      <c r="E126" s="12"/>
    </row>
    <row r="127" spans="2:5" x14ac:dyDescent="0.2">
      <c r="B127" s="12"/>
      <c r="C127" s="12"/>
      <c r="D127" s="12"/>
      <c r="E127" s="12"/>
    </row>
    <row r="128" spans="2:5" x14ac:dyDescent="0.2">
      <c r="B128" s="12"/>
      <c r="C128" s="12"/>
      <c r="D128" s="12"/>
      <c r="E128" s="12"/>
    </row>
    <row r="129" spans="2:5" x14ac:dyDescent="0.2">
      <c r="B129" s="12"/>
      <c r="C129" s="12"/>
      <c r="D129" s="12"/>
      <c r="E129" s="12"/>
    </row>
    <row r="130" spans="2:5" x14ac:dyDescent="0.2">
      <c r="B130" s="12"/>
      <c r="C130" s="12"/>
      <c r="D130" s="12"/>
      <c r="E130" s="12"/>
    </row>
    <row r="131" spans="2:5" x14ac:dyDescent="0.2">
      <c r="B131" s="12"/>
      <c r="C131" s="12"/>
      <c r="D131" s="12"/>
      <c r="E131" s="12"/>
    </row>
    <row r="132" spans="2:5" x14ac:dyDescent="0.2">
      <c r="B132" s="12"/>
      <c r="C132" s="12"/>
      <c r="D132" s="12"/>
      <c r="E132" s="12"/>
    </row>
    <row r="133" spans="2:5" x14ac:dyDescent="0.2">
      <c r="B133" s="12"/>
      <c r="C133" s="12"/>
      <c r="D133" s="12"/>
      <c r="E133" s="12"/>
    </row>
    <row r="134" spans="2:5" x14ac:dyDescent="0.2">
      <c r="B134" s="12"/>
      <c r="C134" s="12"/>
      <c r="D134" s="12"/>
      <c r="E134" s="12"/>
    </row>
    <row r="135" spans="2:5" x14ac:dyDescent="0.2">
      <c r="B135" s="12"/>
      <c r="C135" s="12"/>
      <c r="D135" s="12"/>
      <c r="E135" s="12"/>
    </row>
    <row r="136" spans="2:5" x14ac:dyDescent="0.2">
      <c r="B136" s="12"/>
      <c r="C136" s="12"/>
      <c r="D136" s="12"/>
      <c r="E136" s="12"/>
    </row>
    <row r="137" spans="2:5" x14ac:dyDescent="0.2">
      <c r="B137" s="12"/>
      <c r="C137" s="12"/>
      <c r="D137" s="12"/>
      <c r="E137" s="12"/>
    </row>
    <row r="138" spans="2:5" x14ac:dyDescent="0.2">
      <c r="B138" s="12"/>
      <c r="C138" s="12"/>
      <c r="D138" s="12"/>
      <c r="E138" s="12"/>
    </row>
    <row r="139" spans="2:5" x14ac:dyDescent="0.2">
      <c r="B139" s="12"/>
      <c r="C139" s="12"/>
      <c r="D139" s="12"/>
      <c r="E139" s="12"/>
    </row>
    <row r="140" spans="2:5" x14ac:dyDescent="0.2">
      <c r="B140" s="12"/>
      <c r="C140" s="12"/>
      <c r="D140" s="12"/>
      <c r="E140" s="12"/>
    </row>
    <row r="141" spans="2:5" x14ac:dyDescent="0.2">
      <c r="B141" s="12"/>
      <c r="C141" s="12"/>
      <c r="D141" s="12"/>
      <c r="E141" s="12"/>
    </row>
    <row r="142" spans="2:5" x14ac:dyDescent="0.2">
      <c r="B142" s="12"/>
      <c r="C142" s="12"/>
      <c r="D142" s="12"/>
      <c r="E142" s="12"/>
    </row>
    <row r="143" spans="2:5" x14ac:dyDescent="0.2">
      <c r="B143" s="12"/>
      <c r="C143" s="12"/>
      <c r="D143" s="12"/>
      <c r="E143" s="12"/>
    </row>
    <row r="144" spans="2:5" x14ac:dyDescent="0.2">
      <c r="B144" s="12"/>
      <c r="C144" s="12"/>
      <c r="D144" s="12"/>
      <c r="E144" s="12"/>
    </row>
    <row r="145" spans="2:5" x14ac:dyDescent="0.2">
      <c r="B145" s="12"/>
      <c r="C145" s="12"/>
      <c r="D145" s="12"/>
      <c r="E145" s="12"/>
    </row>
    <row r="146" spans="2:5" x14ac:dyDescent="0.2">
      <c r="B146" s="12"/>
      <c r="C146" s="12"/>
      <c r="D146" s="12"/>
      <c r="E146" s="12"/>
    </row>
    <row r="147" spans="2:5" x14ac:dyDescent="0.2">
      <c r="B147" s="12"/>
      <c r="C147" s="12"/>
      <c r="D147" s="12"/>
      <c r="E147" s="12"/>
    </row>
    <row r="148" spans="2:5" x14ac:dyDescent="0.2">
      <c r="B148" s="12"/>
      <c r="C148" s="12"/>
      <c r="D148" s="12"/>
      <c r="E148" s="12"/>
    </row>
    <row r="149" spans="2:5" x14ac:dyDescent="0.2">
      <c r="B149" s="12"/>
      <c r="C149" s="12"/>
      <c r="D149" s="12"/>
      <c r="E149" s="12"/>
    </row>
    <row r="150" spans="2:5" x14ac:dyDescent="0.2">
      <c r="B150" s="12"/>
      <c r="C150" s="12"/>
      <c r="D150" s="12"/>
      <c r="E150" s="12"/>
    </row>
    <row r="151" spans="2:5" x14ac:dyDescent="0.2">
      <c r="B151" s="12"/>
      <c r="C151" s="12"/>
      <c r="D151" s="12"/>
      <c r="E151" s="12"/>
    </row>
    <row r="152" spans="2:5" x14ac:dyDescent="0.2">
      <c r="B152" s="12"/>
      <c r="C152" s="12"/>
      <c r="D152" s="12"/>
      <c r="E152" s="12"/>
    </row>
    <row r="153" spans="2:5" x14ac:dyDescent="0.2">
      <c r="B153" s="12"/>
      <c r="C153" s="12"/>
      <c r="D153" s="12"/>
      <c r="E153" s="12"/>
    </row>
    <row r="154" spans="2:5" x14ac:dyDescent="0.2">
      <c r="B154" s="12"/>
      <c r="C154" s="12"/>
      <c r="D154" s="12"/>
      <c r="E154" s="12"/>
    </row>
    <row r="155" spans="2:5" x14ac:dyDescent="0.2">
      <c r="B155" s="12"/>
      <c r="C155" s="12"/>
      <c r="D155" s="12"/>
      <c r="E155" s="12"/>
    </row>
    <row r="156" spans="2:5" x14ac:dyDescent="0.2">
      <c r="B156" s="12"/>
      <c r="C156" s="12"/>
      <c r="D156" s="12"/>
      <c r="E156" s="12"/>
    </row>
    <row r="157" spans="2:5" x14ac:dyDescent="0.2">
      <c r="B157" s="12"/>
      <c r="C157" s="12"/>
      <c r="D157" s="12"/>
      <c r="E157" s="12"/>
    </row>
    <row r="158" spans="2:5" x14ac:dyDescent="0.2">
      <c r="B158" s="12"/>
      <c r="C158" s="12"/>
      <c r="D158" s="12"/>
      <c r="E158" s="12"/>
    </row>
    <row r="159" spans="2:5" x14ac:dyDescent="0.2">
      <c r="B159" s="12"/>
      <c r="C159" s="12"/>
      <c r="D159" s="12"/>
      <c r="E159" s="12"/>
    </row>
    <row r="160" spans="2:5" x14ac:dyDescent="0.2">
      <c r="B160" s="12"/>
      <c r="C160" s="12"/>
      <c r="D160" s="12"/>
      <c r="E160" s="12"/>
    </row>
    <row r="161" spans="2:5" x14ac:dyDescent="0.2">
      <c r="B161" s="12"/>
      <c r="C161" s="12"/>
      <c r="D161" s="12"/>
      <c r="E161" s="12"/>
    </row>
    <row r="162" spans="2:5" x14ac:dyDescent="0.2">
      <c r="B162" s="12"/>
      <c r="C162" s="12"/>
      <c r="D162" s="12"/>
      <c r="E162" s="12"/>
    </row>
    <row r="163" spans="2:5" x14ac:dyDescent="0.2">
      <c r="B163" s="12"/>
      <c r="C163" s="12"/>
      <c r="D163" s="12"/>
      <c r="E163" s="12"/>
    </row>
    <row r="164" spans="2:5" x14ac:dyDescent="0.2">
      <c r="B164" s="12"/>
      <c r="C164" s="12"/>
      <c r="D164" s="12"/>
      <c r="E164" s="12"/>
    </row>
    <row r="165" spans="2:5" x14ac:dyDescent="0.2">
      <c r="B165" s="12"/>
      <c r="C165" s="12"/>
      <c r="D165" s="12"/>
      <c r="E165" s="12"/>
    </row>
    <row r="166" spans="2:5" x14ac:dyDescent="0.2">
      <c r="B166" s="12"/>
      <c r="C166" s="12"/>
      <c r="D166" s="12"/>
      <c r="E166" s="12"/>
    </row>
    <row r="167" spans="2:5" x14ac:dyDescent="0.2">
      <c r="B167" s="12"/>
      <c r="C167" s="12"/>
      <c r="D167" s="12"/>
      <c r="E167" s="12"/>
    </row>
    <row r="168" spans="2:5" x14ac:dyDescent="0.2">
      <c r="B168" s="12"/>
      <c r="C168" s="12"/>
      <c r="D168" s="12"/>
      <c r="E168" s="12"/>
    </row>
    <row r="169" spans="2:5" x14ac:dyDescent="0.2">
      <c r="B169" s="12"/>
      <c r="C169" s="12"/>
      <c r="D169" s="12"/>
      <c r="E169" s="12"/>
    </row>
    <row r="170" spans="2:5" x14ac:dyDescent="0.2">
      <c r="B170" s="12"/>
      <c r="C170" s="12"/>
      <c r="D170" s="12"/>
      <c r="E170" s="12"/>
    </row>
    <row r="171" spans="2:5" x14ac:dyDescent="0.2">
      <c r="B171" s="12"/>
      <c r="C171" s="12"/>
      <c r="D171" s="12"/>
      <c r="E171" s="12"/>
    </row>
    <row r="172" spans="2:5" x14ac:dyDescent="0.2">
      <c r="B172" s="12"/>
      <c r="C172" s="12"/>
      <c r="D172" s="12"/>
      <c r="E172" s="12"/>
    </row>
    <row r="173" spans="2:5" x14ac:dyDescent="0.2">
      <c r="B173" s="12"/>
      <c r="C173" s="12"/>
      <c r="D173" s="12"/>
      <c r="E173" s="12"/>
    </row>
    <row r="174" spans="2:5" x14ac:dyDescent="0.2">
      <c r="B174" s="12"/>
      <c r="C174" s="12"/>
      <c r="D174" s="12"/>
      <c r="E174" s="12"/>
    </row>
    <row r="175" spans="2:5" x14ac:dyDescent="0.2">
      <c r="B175" s="12"/>
      <c r="C175" s="12"/>
      <c r="D175" s="12"/>
      <c r="E175" s="12"/>
    </row>
    <row r="176" spans="2:5" x14ac:dyDescent="0.2">
      <c r="B176" s="12"/>
      <c r="C176" s="12"/>
      <c r="D176" s="12"/>
      <c r="E176" s="12"/>
    </row>
    <row r="177" spans="2:5" x14ac:dyDescent="0.2">
      <c r="B177" s="12"/>
      <c r="C177" s="12"/>
      <c r="D177" s="12"/>
      <c r="E177" s="12"/>
    </row>
    <row r="178" spans="2:5" x14ac:dyDescent="0.2">
      <c r="B178" s="12"/>
      <c r="C178" s="12"/>
      <c r="D178" s="12"/>
      <c r="E178" s="12"/>
    </row>
    <row r="179" spans="2:5" x14ac:dyDescent="0.2">
      <c r="B179" s="12"/>
      <c r="C179" s="12"/>
      <c r="D179" s="12"/>
      <c r="E179" s="12"/>
    </row>
    <row r="180" spans="2:5" x14ac:dyDescent="0.2">
      <c r="B180" s="12"/>
      <c r="C180" s="12"/>
      <c r="D180" s="12"/>
      <c r="E180" s="12"/>
    </row>
    <row r="181" spans="2:5" x14ac:dyDescent="0.2">
      <c r="B181" s="12"/>
      <c r="C181" s="12"/>
      <c r="D181" s="12"/>
      <c r="E181" s="12"/>
    </row>
    <row r="182" spans="2:5" x14ac:dyDescent="0.2">
      <c r="B182" s="12"/>
      <c r="C182" s="12"/>
      <c r="D182" s="12"/>
      <c r="E182" s="12"/>
    </row>
    <row r="183" spans="2:5" x14ac:dyDescent="0.2">
      <c r="B183" s="12"/>
      <c r="C183" s="12"/>
      <c r="D183" s="12"/>
      <c r="E183" s="12"/>
    </row>
    <row r="184" spans="2:5" x14ac:dyDescent="0.2">
      <c r="B184" s="12"/>
      <c r="C184" s="12"/>
      <c r="D184" s="12"/>
      <c r="E184" s="12"/>
    </row>
    <row r="185" spans="2:5" x14ac:dyDescent="0.2">
      <c r="B185" s="12"/>
      <c r="C185" s="12"/>
      <c r="D185" s="12"/>
      <c r="E185" s="12"/>
    </row>
    <row r="186" spans="2:5" x14ac:dyDescent="0.2">
      <c r="B186" s="12"/>
      <c r="C186" s="12"/>
      <c r="D186" s="12"/>
      <c r="E186" s="12"/>
    </row>
    <row r="187" spans="2:5" x14ac:dyDescent="0.2">
      <c r="B187" s="12"/>
      <c r="C187" s="12"/>
      <c r="D187" s="12"/>
      <c r="E187" s="12"/>
    </row>
    <row r="188" spans="2:5" x14ac:dyDescent="0.2">
      <c r="B188" s="12"/>
      <c r="C188" s="12"/>
      <c r="D188" s="12"/>
      <c r="E188" s="12"/>
    </row>
    <row r="189" spans="2:5" x14ac:dyDescent="0.2">
      <c r="B189" s="12"/>
      <c r="C189" s="12"/>
      <c r="D189" s="12"/>
      <c r="E189" s="12"/>
    </row>
    <row r="190" spans="2:5" x14ac:dyDescent="0.2">
      <c r="B190" s="12"/>
      <c r="C190" s="12"/>
      <c r="D190" s="12"/>
      <c r="E190" s="12"/>
    </row>
    <row r="191" spans="2:5" x14ac:dyDescent="0.2">
      <c r="B191" s="12"/>
      <c r="C191" s="12"/>
      <c r="D191" s="12"/>
      <c r="E191" s="12"/>
    </row>
    <row r="192" spans="2:5" x14ac:dyDescent="0.2">
      <c r="B192" s="12"/>
      <c r="C192" s="12"/>
      <c r="D192" s="12"/>
      <c r="E192" s="12"/>
    </row>
    <row r="193" spans="2:5" x14ac:dyDescent="0.2">
      <c r="B193" s="12"/>
      <c r="C193" s="12"/>
      <c r="D193" s="12"/>
      <c r="E193" s="12"/>
    </row>
    <row r="194" spans="2:5" x14ac:dyDescent="0.2">
      <c r="B194" s="12"/>
      <c r="C194" s="12"/>
      <c r="D194" s="12"/>
      <c r="E194" s="12"/>
    </row>
    <row r="195" spans="2:5" x14ac:dyDescent="0.2">
      <c r="B195" s="12"/>
      <c r="C195" s="12"/>
      <c r="D195" s="12"/>
      <c r="E195" s="12"/>
    </row>
    <row r="196" spans="2:5" x14ac:dyDescent="0.2">
      <c r="B196" s="12"/>
      <c r="C196" s="12"/>
      <c r="D196" s="12"/>
      <c r="E196" s="12"/>
    </row>
    <row r="197" spans="2:5" x14ac:dyDescent="0.2">
      <c r="B197" s="12"/>
      <c r="C197" s="12"/>
      <c r="D197" s="12"/>
      <c r="E197" s="12"/>
    </row>
    <row r="198" spans="2:5" x14ac:dyDescent="0.2">
      <c r="B198" s="12"/>
      <c r="C198" s="12"/>
      <c r="D198" s="12"/>
      <c r="E198" s="12"/>
    </row>
    <row r="199" spans="2:5" x14ac:dyDescent="0.2">
      <c r="B199" s="12"/>
      <c r="C199" s="12"/>
      <c r="D199" s="12"/>
      <c r="E199" s="12"/>
    </row>
    <row r="200" spans="2:5" x14ac:dyDescent="0.2">
      <c r="B200" s="12"/>
      <c r="C200" s="12"/>
      <c r="D200" s="12"/>
      <c r="E200" s="12"/>
    </row>
    <row r="201" spans="2:5" x14ac:dyDescent="0.2">
      <c r="B201" s="12"/>
      <c r="C201" s="12"/>
      <c r="D201" s="12"/>
      <c r="E201" s="12"/>
    </row>
    <row r="202" spans="2:5" x14ac:dyDescent="0.2">
      <c r="B202" s="12"/>
      <c r="C202" s="12"/>
      <c r="D202" s="12"/>
      <c r="E202" s="12"/>
    </row>
    <row r="203" spans="2:5" x14ac:dyDescent="0.2">
      <c r="B203" s="12"/>
      <c r="C203" s="12"/>
      <c r="D203" s="12"/>
      <c r="E203" s="12"/>
    </row>
    <row r="204" spans="2:5" x14ac:dyDescent="0.2">
      <c r="B204" s="12"/>
      <c r="C204" s="12"/>
      <c r="D204" s="12"/>
      <c r="E204" s="12"/>
    </row>
    <row r="205" spans="2:5" x14ac:dyDescent="0.2">
      <c r="B205" s="12"/>
      <c r="C205" s="12"/>
      <c r="D205" s="12"/>
      <c r="E205" s="12"/>
    </row>
    <row r="206" spans="2:5" x14ac:dyDescent="0.2">
      <c r="B206" s="12"/>
      <c r="C206" s="12"/>
      <c r="D206" s="12"/>
      <c r="E206" s="12"/>
    </row>
    <row r="207" spans="2:5" x14ac:dyDescent="0.2">
      <c r="B207" s="12"/>
      <c r="C207" s="12"/>
      <c r="D207" s="12"/>
      <c r="E207" s="12"/>
    </row>
    <row r="208" spans="2:5" x14ac:dyDescent="0.2">
      <c r="B208" s="12"/>
      <c r="C208" s="12"/>
      <c r="D208" s="12"/>
      <c r="E208" s="12"/>
    </row>
    <row r="209" spans="2:5" x14ac:dyDescent="0.2">
      <c r="B209" s="12"/>
      <c r="C209" s="12"/>
      <c r="D209" s="12"/>
      <c r="E209" s="12"/>
    </row>
    <row r="210" spans="2:5" x14ac:dyDescent="0.2">
      <c r="B210" s="12"/>
      <c r="C210" s="12"/>
      <c r="D210" s="12"/>
      <c r="E210" s="12"/>
    </row>
    <row r="211" spans="2:5" x14ac:dyDescent="0.2">
      <c r="B211" s="12"/>
      <c r="C211" s="12"/>
      <c r="D211" s="12"/>
      <c r="E211" s="12"/>
    </row>
    <row r="212" spans="2:5" x14ac:dyDescent="0.2">
      <c r="B212" s="12"/>
      <c r="C212" s="12"/>
      <c r="D212" s="12"/>
      <c r="E212" s="12"/>
    </row>
    <row r="213" spans="2:5" x14ac:dyDescent="0.2">
      <c r="B213" s="12"/>
      <c r="C213" s="12"/>
      <c r="D213" s="12"/>
      <c r="E213" s="12"/>
    </row>
    <row r="214" spans="2:5" x14ac:dyDescent="0.2">
      <c r="B214" s="12"/>
      <c r="C214" s="12"/>
      <c r="D214" s="12"/>
      <c r="E214" s="12"/>
    </row>
    <row r="215" spans="2:5" x14ac:dyDescent="0.2">
      <c r="B215" s="12"/>
      <c r="C215" s="12"/>
      <c r="D215" s="12"/>
      <c r="E215" s="12"/>
    </row>
    <row r="216" spans="2:5" x14ac:dyDescent="0.2">
      <c r="B216" s="12"/>
      <c r="C216" s="12"/>
      <c r="D216" s="12"/>
      <c r="E216" s="12"/>
    </row>
    <row r="217" spans="2:5" x14ac:dyDescent="0.2">
      <c r="B217" s="12"/>
      <c r="C217" s="12"/>
      <c r="D217" s="12"/>
      <c r="E217" s="12"/>
    </row>
    <row r="218" spans="2:5" x14ac:dyDescent="0.2">
      <c r="B218" s="12"/>
      <c r="C218" s="12"/>
      <c r="D218" s="12"/>
      <c r="E218" s="12"/>
    </row>
    <row r="219" spans="2:5" x14ac:dyDescent="0.2">
      <c r="B219" s="12"/>
      <c r="C219" s="12"/>
      <c r="D219" s="12"/>
      <c r="E219" s="12"/>
    </row>
    <row r="220" spans="2:5" x14ac:dyDescent="0.2">
      <c r="B220" s="12"/>
      <c r="C220" s="12"/>
      <c r="D220" s="12"/>
      <c r="E220" s="12"/>
    </row>
    <row r="221" spans="2:5" x14ac:dyDescent="0.2">
      <c r="B221" s="12"/>
      <c r="C221" s="12"/>
      <c r="D221" s="12"/>
      <c r="E221" s="12"/>
    </row>
    <row r="222" spans="2:5" x14ac:dyDescent="0.2">
      <c r="B222" s="12"/>
      <c r="C222" s="12"/>
      <c r="D222" s="12"/>
      <c r="E222" s="12"/>
    </row>
    <row r="223" spans="2:5" x14ac:dyDescent="0.2">
      <c r="B223" s="12"/>
      <c r="C223" s="12"/>
      <c r="D223" s="12"/>
      <c r="E223" s="12"/>
    </row>
    <row r="224" spans="2:5" x14ac:dyDescent="0.2">
      <c r="B224" s="12"/>
      <c r="C224" s="12"/>
      <c r="D224" s="12"/>
      <c r="E224" s="12"/>
    </row>
    <row r="225" spans="2:5" x14ac:dyDescent="0.2">
      <c r="B225" s="12"/>
      <c r="C225" s="12"/>
      <c r="D225" s="12"/>
      <c r="E225" s="12"/>
    </row>
    <row r="226" spans="2:5" x14ac:dyDescent="0.2">
      <c r="B226" s="12"/>
      <c r="C226" s="12"/>
      <c r="D226" s="12"/>
      <c r="E226" s="12"/>
    </row>
    <row r="227" spans="2:5" x14ac:dyDescent="0.2">
      <c r="B227" s="12"/>
      <c r="C227" s="12"/>
      <c r="D227" s="12"/>
      <c r="E227" s="12"/>
    </row>
    <row r="228" spans="2:5" x14ac:dyDescent="0.2">
      <c r="B228" s="12"/>
      <c r="C228" s="12"/>
      <c r="D228" s="12"/>
      <c r="E228" s="12"/>
    </row>
    <row r="229" spans="2:5" x14ac:dyDescent="0.2">
      <c r="B229" s="12"/>
      <c r="C229" s="12"/>
      <c r="D229" s="12"/>
      <c r="E229" s="12"/>
    </row>
    <row r="230" spans="2:5" x14ac:dyDescent="0.2">
      <c r="B230" s="12"/>
      <c r="C230" s="12"/>
      <c r="D230" s="12"/>
      <c r="E230" s="12"/>
    </row>
    <row r="231" spans="2:5" x14ac:dyDescent="0.2">
      <c r="B231" s="12"/>
      <c r="C231" s="12"/>
      <c r="D231" s="12"/>
      <c r="E231" s="12"/>
    </row>
    <row r="232" spans="2:5" x14ac:dyDescent="0.2">
      <c r="B232" s="12"/>
      <c r="C232" s="12"/>
      <c r="D232" s="12"/>
      <c r="E232" s="12"/>
    </row>
    <row r="233" spans="2:5" x14ac:dyDescent="0.2">
      <c r="B233" s="12"/>
      <c r="C233" s="12"/>
      <c r="D233" s="12"/>
      <c r="E233" s="12"/>
    </row>
    <row r="234" spans="2:5" x14ac:dyDescent="0.2">
      <c r="B234" s="12"/>
      <c r="C234" s="12"/>
      <c r="D234" s="12"/>
      <c r="E234" s="12"/>
    </row>
    <row r="235" spans="2:5" x14ac:dyDescent="0.2">
      <c r="B235" s="12"/>
      <c r="C235" s="12"/>
      <c r="D235" s="12"/>
      <c r="E235" s="12"/>
    </row>
    <row r="236" spans="2:5" x14ac:dyDescent="0.2">
      <c r="B236" s="12"/>
      <c r="C236" s="12"/>
      <c r="D236" s="12"/>
      <c r="E236" s="12"/>
    </row>
    <row r="237" spans="2:5" x14ac:dyDescent="0.2">
      <c r="B237" s="12"/>
      <c r="C237" s="12"/>
      <c r="D237" s="12"/>
      <c r="E237" s="12"/>
    </row>
    <row r="238" spans="2:5" x14ac:dyDescent="0.2">
      <c r="B238" s="12"/>
      <c r="C238" s="12"/>
      <c r="D238" s="12"/>
      <c r="E238" s="12"/>
    </row>
    <row r="239" spans="2:5" x14ac:dyDescent="0.2">
      <c r="B239" s="12"/>
      <c r="C239" s="12"/>
      <c r="D239" s="12"/>
      <c r="E239" s="12"/>
    </row>
    <row r="240" spans="2:5" x14ac:dyDescent="0.2">
      <c r="B240" s="12"/>
      <c r="C240" s="12"/>
      <c r="D240" s="12"/>
      <c r="E240" s="12"/>
    </row>
    <row r="241" spans="2:5" x14ac:dyDescent="0.2">
      <c r="B241" s="12"/>
      <c r="C241" s="12"/>
      <c r="D241" s="12"/>
      <c r="E241" s="12"/>
    </row>
    <row r="242" spans="2:5" x14ac:dyDescent="0.2">
      <c r="B242" s="12"/>
      <c r="C242" s="12"/>
      <c r="D242" s="12"/>
      <c r="E242" s="12"/>
    </row>
    <row r="243" spans="2:5" x14ac:dyDescent="0.2">
      <c r="B243" s="12"/>
      <c r="C243" s="12"/>
      <c r="D243" s="12"/>
      <c r="E243" s="12"/>
    </row>
    <row r="244" spans="2:5" x14ac:dyDescent="0.2">
      <c r="B244" s="12"/>
      <c r="C244" s="12"/>
      <c r="D244" s="12"/>
      <c r="E244" s="12"/>
    </row>
    <row r="245" spans="2:5" x14ac:dyDescent="0.2">
      <c r="B245" s="12"/>
      <c r="C245" s="12"/>
      <c r="D245" s="12"/>
      <c r="E245" s="12"/>
    </row>
    <row r="246" spans="2:5" x14ac:dyDescent="0.2">
      <c r="B246" s="12"/>
      <c r="C246" s="12"/>
      <c r="D246" s="12"/>
      <c r="E246" s="12"/>
    </row>
    <row r="247" spans="2:5" x14ac:dyDescent="0.2">
      <c r="B247" s="12"/>
      <c r="C247" s="12"/>
      <c r="D247" s="12"/>
      <c r="E247" s="12"/>
    </row>
    <row r="248" spans="2:5" x14ac:dyDescent="0.2">
      <c r="B248" s="12"/>
      <c r="C248" s="12"/>
      <c r="D248" s="12"/>
      <c r="E248" s="12"/>
    </row>
    <row r="249" spans="2:5" x14ac:dyDescent="0.2">
      <c r="B249" s="12"/>
      <c r="C249" s="12"/>
      <c r="D249" s="12"/>
      <c r="E249" s="12"/>
    </row>
    <row r="250" spans="2:5" x14ac:dyDescent="0.2">
      <c r="B250" s="12"/>
      <c r="C250" s="12"/>
      <c r="D250" s="12"/>
      <c r="E250" s="12"/>
    </row>
    <row r="251" spans="2:5" x14ac:dyDescent="0.2">
      <c r="B251" s="12"/>
      <c r="C251" s="12"/>
      <c r="D251" s="12"/>
      <c r="E251" s="12"/>
    </row>
    <row r="252" spans="2:5" x14ac:dyDescent="0.2">
      <c r="B252" s="12"/>
      <c r="C252" s="12"/>
      <c r="D252" s="12"/>
      <c r="E252" s="12"/>
    </row>
    <row r="253" spans="2:5" x14ac:dyDescent="0.2">
      <c r="B253" s="12"/>
      <c r="C253" s="12"/>
      <c r="D253" s="12"/>
      <c r="E253" s="12"/>
    </row>
    <row r="254" spans="2:5" x14ac:dyDescent="0.2">
      <c r="B254" s="12"/>
      <c r="C254" s="12"/>
      <c r="D254" s="12"/>
      <c r="E254" s="12"/>
    </row>
    <row r="255" spans="2:5" x14ac:dyDescent="0.2">
      <c r="B255" s="12"/>
      <c r="C255" s="12"/>
      <c r="D255" s="12"/>
      <c r="E255" s="12"/>
    </row>
    <row r="256" spans="2:5" x14ac:dyDescent="0.2">
      <c r="B256" s="12"/>
      <c r="C256" s="12"/>
      <c r="D256" s="12"/>
      <c r="E256" s="12"/>
    </row>
    <row r="257" spans="2:5" x14ac:dyDescent="0.2">
      <c r="B257" s="12"/>
      <c r="C257" s="12"/>
      <c r="D257" s="12"/>
      <c r="E257" s="12"/>
    </row>
    <row r="258" spans="2:5" x14ac:dyDescent="0.2">
      <c r="B258" s="12"/>
      <c r="C258" s="12"/>
      <c r="D258" s="12"/>
      <c r="E258" s="12"/>
    </row>
    <row r="259" spans="2:5" x14ac:dyDescent="0.2">
      <c r="B259" s="12"/>
      <c r="C259" s="12"/>
      <c r="D259" s="12"/>
      <c r="E259" s="12"/>
    </row>
    <row r="260" spans="2:5" x14ac:dyDescent="0.2">
      <c r="B260" s="12"/>
      <c r="C260" s="12"/>
      <c r="D260" s="12"/>
      <c r="E260" s="12"/>
    </row>
    <row r="261" spans="2:5" x14ac:dyDescent="0.2">
      <c r="B261" s="12"/>
      <c r="C261" s="12"/>
      <c r="D261" s="12"/>
      <c r="E261" s="12"/>
    </row>
    <row r="262" spans="2:5" x14ac:dyDescent="0.2">
      <c r="B262" s="12"/>
      <c r="C262" s="12"/>
      <c r="D262" s="12"/>
      <c r="E262" s="12"/>
    </row>
    <row r="263" spans="2:5" x14ac:dyDescent="0.2">
      <c r="B263" s="12"/>
      <c r="C263" s="12"/>
      <c r="D263" s="12"/>
      <c r="E263" s="12"/>
    </row>
    <row r="264" spans="2:5" x14ac:dyDescent="0.2">
      <c r="B264" s="12"/>
      <c r="C264" s="12"/>
      <c r="D264" s="12"/>
      <c r="E264" s="12"/>
    </row>
    <row r="265" spans="2:5" x14ac:dyDescent="0.2">
      <c r="B265" s="12"/>
      <c r="C265" s="12"/>
      <c r="D265" s="12"/>
      <c r="E265" s="12"/>
    </row>
    <row r="266" spans="2:5" x14ac:dyDescent="0.2">
      <c r="B266" s="12"/>
      <c r="C266" s="12"/>
      <c r="D266" s="12"/>
      <c r="E266" s="12"/>
    </row>
    <row r="267" spans="2:5" x14ac:dyDescent="0.2">
      <c r="B267" s="12"/>
      <c r="C267" s="12"/>
      <c r="D267" s="12"/>
      <c r="E267" s="12"/>
    </row>
    <row r="268" spans="2:5" x14ac:dyDescent="0.2">
      <c r="B268" s="12"/>
      <c r="C268" s="12"/>
      <c r="D268" s="12"/>
      <c r="E268" s="12"/>
    </row>
    <row r="269" spans="2:5" x14ac:dyDescent="0.2">
      <c r="B269" s="12"/>
      <c r="C269" s="12"/>
      <c r="D269" s="12"/>
      <c r="E269" s="12"/>
    </row>
    <row r="270" spans="2:5" x14ac:dyDescent="0.2">
      <c r="B270" s="12"/>
      <c r="C270" s="12"/>
      <c r="D270" s="12"/>
      <c r="E270" s="12"/>
    </row>
    <row r="271" spans="2:5" x14ac:dyDescent="0.2">
      <c r="B271" s="12"/>
      <c r="C271" s="12"/>
      <c r="D271" s="12"/>
      <c r="E271" s="12"/>
    </row>
    <row r="272" spans="2:5" x14ac:dyDescent="0.2">
      <c r="B272" s="12"/>
      <c r="C272" s="12"/>
      <c r="D272" s="12"/>
      <c r="E272" s="12"/>
    </row>
    <row r="273" spans="2:5" x14ac:dyDescent="0.2">
      <c r="B273" s="12"/>
      <c r="C273" s="12"/>
      <c r="D273" s="12"/>
      <c r="E273" s="12"/>
    </row>
    <row r="274" spans="2:5" x14ac:dyDescent="0.2">
      <c r="B274" s="12"/>
      <c r="C274" s="12"/>
      <c r="D274" s="12"/>
      <c r="E274" s="12"/>
    </row>
    <row r="275" spans="2:5" x14ac:dyDescent="0.2">
      <c r="B275" s="12"/>
      <c r="C275" s="12"/>
      <c r="D275" s="12"/>
      <c r="E275" s="12"/>
    </row>
    <row r="276" spans="2:5" x14ac:dyDescent="0.2">
      <c r="B276" s="12"/>
      <c r="C276" s="12"/>
      <c r="D276" s="12"/>
      <c r="E276" s="12"/>
    </row>
    <row r="277" spans="2:5" x14ac:dyDescent="0.2">
      <c r="B277" s="12"/>
      <c r="C277" s="12"/>
      <c r="D277" s="12"/>
      <c r="E277" s="12"/>
    </row>
    <row r="278" spans="2:5" x14ac:dyDescent="0.2">
      <c r="B278" s="12"/>
      <c r="C278" s="12"/>
      <c r="D278" s="12"/>
      <c r="E278" s="12"/>
    </row>
    <row r="279" spans="2:5" x14ac:dyDescent="0.2">
      <c r="B279" s="12"/>
      <c r="C279" s="12"/>
      <c r="D279" s="12"/>
      <c r="E279" s="12"/>
    </row>
    <row r="280" spans="2:5" x14ac:dyDescent="0.2">
      <c r="B280" s="12"/>
      <c r="C280" s="12"/>
      <c r="D280" s="12"/>
      <c r="E280" s="12"/>
    </row>
    <row r="281" spans="2:5" x14ac:dyDescent="0.2">
      <c r="B281" s="12"/>
      <c r="C281" s="12"/>
      <c r="D281" s="12"/>
      <c r="E281" s="12"/>
    </row>
    <row r="282" spans="2:5" x14ac:dyDescent="0.2">
      <c r="B282" s="12"/>
      <c r="C282" s="12"/>
      <c r="D282" s="12"/>
      <c r="E282" s="12"/>
    </row>
    <row r="283" spans="2:5" x14ac:dyDescent="0.2">
      <c r="B283" s="12"/>
      <c r="C283" s="12"/>
      <c r="D283" s="12"/>
      <c r="E283" s="12"/>
    </row>
    <row r="284" spans="2:5" x14ac:dyDescent="0.2">
      <c r="B284" s="12"/>
      <c r="C284" s="12"/>
      <c r="D284" s="12"/>
      <c r="E284" s="12"/>
    </row>
    <row r="285" spans="2:5" x14ac:dyDescent="0.2">
      <c r="B285" s="12"/>
      <c r="C285" s="12"/>
      <c r="D285" s="12"/>
      <c r="E285" s="12"/>
    </row>
    <row r="286" spans="2:5" x14ac:dyDescent="0.2">
      <c r="B286" s="12"/>
      <c r="C286" s="12"/>
      <c r="D286" s="12"/>
      <c r="E286" s="12"/>
    </row>
    <row r="287" spans="2:5" x14ac:dyDescent="0.2">
      <c r="B287" s="12"/>
      <c r="C287" s="12"/>
      <c r="D287" s="12"/>
      <c r="E287" s="12"/>
    </row>
    <row r="288" spans="2:5" x14ac:dyDescent="0.2">
      <c r="B288" s="12"/>
      <c r="C288" s="12"/>
      <c r="D288" s="12"/>
      <c r="E288" s="12"/>
    </row>
    <row r="289" spans="2:5" x14ac:dyDescent="0.2">
      <c r="B289" s="12"/>
      <c r="C289" s="12"/>
      <c r="D289" s="12"/>
      <c r="E289" s="12"/>
    </row>
    <row r="290" spans="2:5" x14ac:dyDescent="0.2">
      <c r="B290" s="12"/>
      <c r="C290" s="12"/>
      <c r="D290" s="12"/>
      <c r="E290" s="12"/>
    </row>
    <row r="291" spans="2:5" x14ac:dyDescent="0.2">
      <c r="B291" s="12"/>
      <c r="C291" s="12"/>
      <c r="D291" s="12"/>
      <c r="E291" s="12"/>
    </row>
    <row r="292" spans="2:5" x14ac:dyDescent="0.2">
      <c r="B292" s="12"/>
      <c r="C292" s="12"/>
      <c r="D292" s="12"/>
      <c r="E292" s="12"/>
    </row>
    <row r="293" spans="2:5" x14ac:dyDescent="0.2">
      <c r="B293" s="12"/>
      <c r="C293" s="12"/>
      <c r="D293" s="12"/>
      <c r="E293" s="12"/>
    </row>
    <row r="294" spans="2:5" x14ac:dyDescent="0.2">
      <c r="B294" s="12"/>
      <c r="C294" s="12"/>
      <c r="D294" s="12"/>
      <c r="E294" s="12"/>
    </row>
    <row r="295" spans="2:5" x14ac:dyDescent="0.2">
      <c r="B295" s="12"/>
      <c r="C295" s="12"/>
      <c r="D295" s="12"/>
      <c r="E295" s="12"/>
    </row>
    <row r="296" spans="2:5" x14ac:dyDescent="0.2">
      <c r="B296" s="12"/>
      <c r="C296" s="12"/>
      <c r="D296" s="12"/>
      <c r="E296" s="12"/>
    </row>
    <row r="297" spans="2:5" x14ac:dyDescent="0.2">
      <c r="B297" s="12"/>
      <c r="C297" s="12"/>
      <c r="D297" s="12"/>
      <c r="E297" s="12"/>
    </row>
    <row r="298" spans="2:5" x14ac:dyDescent="0.2">
      <c r="B298" s="12"/>
      <c r="C298" s="12"/>
      <c r="D298" s="12"/>
      <c r="E298" s="12"/>
    </row>
    <row r="299" spans="2:5" x14ac:dyDescent="0.2">
      <c r="B299" s="12"/>
      <c r="C299" s="12"/>
      <c r="D299" s="12"/>
      <c r="E299" s="12"/>
    </row>
    <row r="300" spans="2:5" x14ac:dyDescent="0.2">
      <c r="B300" s="12"/>
      <c r="C300" s="12"/>
      <c r="D300" s="12"/>
      <c r="E300" s="12"/>
    </row>
    <row r="301" spans="2:5" x14ac:dyDescent="0.2">
      <c r="B301" s="12"/>
      <c r="C301" s="12"/>
      <c r="D301" s="12"/>
      <c r="E301" s="12"/>
    </row>
    <row r="302" spans="2:5" x14ac:dyDescent="0.2">
      <c r="B302" s="12"/>
      <c r="C302" s="12"/>
      <c r="D302" s="12"/>
      <c r="E302" s="12"/>
    </row>
    <row r="303" spans="2:5" x14ac:dyDescent="0.2">
      <c r="B303" s="12"/>
      <c r="C303" s="12"/>
      <c r="D303" s="12"/>
      <c r="E303" s="12"/>
    </row>
    <row r="304" spans="2:5" x14ac:dyDescent="0.2">
      <c r="B304" s="12"/>
      <c r="C304" s="12"/>
      <c r="D304" s="12"/>
      <c r="E304" s="12"/>
    </row>
    <row r="305" spans="2:5" x14ac:dyDescent="0.2">
      <c r="B305" s="12"/>
      <c r="C305" s="12"/>
      <c r="D305" s="12"/>
      <c r="E305" s="12"/>
    </row>
    <row r="306" spans="2:5" x14ac:dyDescent="0.2">
      <c r="B306" s="12"/>
      <c r="C306" s="12"/>
      <c r="D306" s="12"/>
      <c r="E306" s="12"/>
    </row>
    <row r="307" spans="2:5" x14ac:dyDescent="0.2">
      <c r="B307" s="12"/>
      <c r="C307" s="12"/>
      <c r="D307" s="12"/>
      <c r="E307" s="12"/>
    </row>
    <row r="308" spans="2:5" x14ac:dyDescent="0.2">
      <c r="B308" s="12"/>
      <c r="C308" s="12"/>
      <c r="D308" s="12"/>
      <c r="E308" s="12"/>
    </row>
    <row r="309" spans="2:5" x14ac:dyDescent="0.2">
      <c r="B309" s="12"/>
      <c r="C309" s="12"/>
      <c r="D309" s="12"/>
      <c r="E309" s="12"/>
    </row>
    <row r="310" spans="2:5" x14ac:dyDescent="0.2">
      <c r="B310" s="12"/>
      <c r="C310" s="12"/>
      <c r="D310" s="12"/>
      <c r="E310" s="12"/>
    </row>
    <row r="311" spans="2:5" x14ac:dyDescent="0.2">
      <c r="B311" s="12"/>
      <c r="C311" s="12"/>
      <c r="D311" s="12"/>
      <c r="E311" s="12"/>
    </row>
    <row r="312" spans="2:5" x14ac:dyDescent="0.2">
      <c r="B312" s="12"/>
      <c r="C312" s="12"/>
      <c r="D312" s="12"/>
      <c r="E312" s="12"/>
    </row>
    <row r="313" spans="2:5" x14ac:dyDescent="0.2">
      <c r="B313" s="12"/>
      <c r="C313" s="12"/>
      <c r="D313" s="12"/>
      <c r="E313" s="12"/>
    </row>
    <row r="314" spans="2:5" x14ac:dyDescent="0.2">
      <c r="B314" s="12"/>
      <c r="C314" s="12"/>
      <c r="D314" s="12"/>
      <c r="E314" s="12"/>
    </row>
    <row r="315" spans="2:5" x14ac:dyDescent="0.2">
      <c r="B315" s="12"/>
      <c r="C315" s="12"/>
      <c r="D315" s="12"/>
      <c r="E315" s="12"/>
    </row>
    <row r="316" spans="2:5" x14ac:dyDescent="0.2">
      <c r="B316" s="12"/>
      <c r="C316" s="12"/>
      <c r="D316" s="12"/>
      <c r="E316" s="12"/>
    </row>
    <row r="317" spans="2:5" x14ac:dyDescent="0.2">
      <c r="B317" s="12"/>
      <c r="C317" s="12"/>
      <c r="D317" s="12"/>
      <c r="E317" s="12"/>
    </row>
    <row r="318" spans="2:5" x14ac:dyDescent="0.2">
      <c r="B318" s="12"/>
      <c r="C318" s="12"/>
      <c r="D318" s="12"/>
      <c r="E318" s="12"/>
    </row>
    <row r="319" spans="2:5" x14ac:dyDescent="0.2">
      <c r="B319" s="12"/>
      <c r="C319" s="12"/>
      <c r="D319" s="12"/>
      <c r="E319" s="12"/>
    </row>
    <row r="320" spans="2:5" x14ac:dyDescent="0.2">
      <c r="B320" s="12"/>
      <c r="C320" s="12"/>
      <c r="D320" s="12"/>
      <c r="E320" s="12"/>
    </row>
    <row r="321" spans="2:5" x14ac:dyDescent="0.2">
      <c r="B321" s="12"/>
      <c r="C321" s="12"/>
      <c r="D321" s="12"/>
      <c r="E321" s="12"/>
    </row>
    <row r="322" spans="2:5" x14ac:dyDescent="0.2">
      <c r="B322" s="12"/>
      <c r="C322" s="12"/>
      <c r="D322" s="12"/>
      <c r="E322" s="12"/>
    </row>
    <row r="323" spans="2:5" x14ac:dyDescent="0.2">
      <c r="B323" s="12"/>
      <c r="C323" s="12"/>
      <c r="D323" s="12"/>
      <c r="E323" s="12"/>
    </row>
    <row r="324" spans="2:5" x14ac:dyDescent="0.2">
      <c r="B324" s="12"/>
      <c r="C324" s="12"/>
      <c r="D324" s="12"/>
      <c r="E324" s="12"/>
    </row>
    <row r="325" spans="2:5" x14ac:dyDescent="0.2">
      <c r="B325" s="12"/>
      <c r="C325" s="12"/>
      <c r="D325" s="12"/>
      <c r="E325" s="12"/>
    </row>
    <row r="326" spans="2:5" x14ac:dyDescent="0.2">
      <c r="B326" s="12"/>
      <c r="C326" s="12"/>
      <c r="D326" s="12"/>
      <c r="E326" s="12"/>
    </row>
    <row r="327" spans="2:5" x14ac:dyDescent="0.2">
      <c r="B327" s="12"/>
      <c r="C327" s="12"/>
      <c r="D327" s="12"/>
      <c r="E327" s="12"/>
    </row>
    <row r="328" spans="2:5" x14ac:dyDescent="0.2">
      <c r="B328" s="12"/>
      <c r="C328" s="12"/>
      <c r="D328" s="12"/>
      <c r="E328" s="12"/>
    </row>
    <row r="329" spans="2:5" x14ac:dyDescent="0.2">
      <c r="B329" s="12"/>
      <c r="C329" s="12"/>
      <c r="D329" s="12"/>
      <c r="E329" s="12"/>
    </row>
    <row r="330" spans="2:5" x14ac:dyDescent="0.2">
      <c r="B330" s="12"/>
      <c r="C330" s="12"/>
      <c r="D330" s="12"/>
      <c r="E330" s="12"/>
    </row>
    <row r="331" spans="2:5" x14ac:dyDescent="0.2">
      <c r="B331" s="12"/>
      <c r="C331" s="12"/>
      <c r="D331" s="12"/>
      <c r="E331" s="12"/>
    </row>
    <row r="332" spans="2:5" x14ac:dyDescent="0.2">
      <c r="B332" s="12"/>
      <c r="C332" s="12"/>
      <c r="D332" s="12"/>
      <c r="E332" s="12"/>
    </row>
    <row r="333" spans="2:5" x14ac:dyDescent="0.2">
      <c r="B333" s="12"/>
      <c r="C333" s="12"/>
      <c r="D333" s="12"/>
      <c r="E333" s="12"/>
    </row>
    <row r="334" spans="2:5" x14ac:dyDescent="0.2">
      <c r="B334" s="12"/>
      <c r="C334" s="12"/>
      <c r="D334" s="12"/>
      <c r="E334" s="12"/>
    </row>
    <row r="335" spans="2:5" x14ac:dyDescent="0.2">
      <c r="B335" s="12"/>
      <c r="C335" s="12"/>
      <c r="D335" s="12"/>
      <c r="E335" s="12"/>
    </row>
    <row r="336" spans="2:5" x14ac:dyDescent="0.2">
      <c r="B336" s="12"/>
      <c r="C336" s="12"/>
      <c r="D336" s="12"/>
      <c r="E336" s="12"/>
    </row>
    <row r="337" spans="2:5" x14ac:dyDescent="0.2">
      <c r="B337" s="12"/>
      <c r="C337" s="12"/>
      <c r="D337" s="12"/>
      <c r="E337" s="12"/>
    </row>
    <row r="338" spans="2:5" x14ac:dyDescent="0.2">
      <c r="B338" s="12"/>
      <c r="C338" s="12"/>
      <c r="D338" s="12"/>
      <c r="E338" s="12"/>
    </row>
    <row r="339" spans="2:5" x14ac:dyDescent="0.2">
      <c r="B339" s="12"/>
      <c r="C339" s="12"/>
      <c r="D339" s="12"/>
      <c r="E339" s="12"/>
    </row>
    <row r="340" spans="2:5" x14ac:dyDescent="0.2">
      <c r="B340" s="12"/>
      <c r="C340" s="12"/>
      <c r="D340" s="12"/>
      <c r="E340" s="12"/>
    </row>
    <row r="341" spans="2:5" x14ac:dyDescent="0.2">
      <c r="B341" s="12"/>
      <c r="C341" s="12"/>
      <c r="D341" s="12"/>
      <c r="E341" s="12"/>
    </row>
    <row r="342" spans="2:5" x14ac:dyDescent="0.2">
      <c r="B342" s="12"/>
      <c r="C342" s="12"/>
      <c r="D342" s="12"/>
      <c r="E342" s="12"/>
    </row>
    <row r="343" spans="2:5" x14ac:dyDescent="0.2">
      <c r="B343" s="12"/>
      <c r="C343" s="12"/>
      <c r="D343" s="12"/>
      <c r="E343" s="12"/>
    </row>
    <row r="344" spans="2:5" x14ac:dyDescent="0.2">
      <c r="B344" s="12"/>
      <c r="C344" s="12"/>
      <c r="D344" s="12"/>
      <c r="E344" s="12"/>
    </row>
    <row r="345" spans="2:5" x14ac:dyDescent="0.2">
      <c r="B345" s="12"/>
      <c r="C345" s="12"/>
      <c r="D345" s="12"/>
      <c r="E345" s="12"/>
    </row>
    <row r="346" spans="2:5" x14ac:dyDescent="0.2">
      <c r="B346" s="12"/>
      <c r="C346" s="12"/>
      <c r="D346" s="12"/>
      <c r="E346" s="12"/>
    </row>
    <row r="347" spans="2:5" x14ac:dyDescent="0.2">
      <c r="B347" s="12"/>
      <c r="C347" s="12"/>
      <c r="D347" s="12"/>
      <c r="E347" s="12"/>
    </row>
    <row r="348" spans="2:5" x14ac:dyDescent="0.2">
      <c r="B348" s="12"/>
      <c r="C348" s="12"/>
      <c r="D348" s="12"/>
      <c r="E348" s="12"/>
    </row>
    <row r="349" spans="2:5" x14ac:dyDescent="0.2">
      <c r="B349" s="12"/>
      <c r="C349" s="12"/>
      <c r="D349" s="12"/>
      <c r="E349" s="12"/>
    </row>
    <row r="350" spans="2:5" x14ac:dyDescent="0.2">
      <c r="B350" s="12"/>
      <c r="C350" s="12"/>
      <c r="D350" s="12"/>
      <c r="E350" s="12"/>
    </row>
    <row r="351" spans="2:5" x14ac:dyDescent="0.2">
      <c r="B351" s="12"/>
      <c r="C351" s="12"/>
      <c r="D351" s="12"/>
      <c r="E351" s="12"/>
    </row>
    <row r="352" spans="2:5" x14ac:dyDescent="0.2">
      <c r="B352" s="12"/>
      <c r="C352" s="12"/>
      <c r="D352" s="12"/>
      <c r="E352" s="12"/>
    </row>
    <row r="353" spans="2:5" x14ac:dyDescent="0.2">
      <c r="B353" s="12"/>
      <c r="C353" s="12"/>
      <c r="D353" s="12"/>
      <c r="E353" s="12"/>
    </row>
    <row r="354" spans="2:5" x14ac:dyDescent="0.2">
      <c r="B354" s="12"/>
      <c r="C354" s="12"/>
      <c r="D354" s="12"/>
      <c r="E354" s="12"/>
    </row>
    <row r="355" spans="2:5" x14ac:dyDescent="0.2">
      <c r="B355" s="12"/>
      <c r="C355" s="12"/>
      <c r="D355" s="12"/>
      <c r="E355" s="12"/>
    </row>
    <row r="356" spans="2:5" x14ac:dyDescent="0.2">
      <c r="B356" s="12"/>
      <c r="C356" s="12"/>
      <c r="D356" s="12"/>
      <c r="E356" s="12"/>
    </row>
    <row r="357" spans="2:5" x14ac:dyDescent="0.2">
      <c r="B357" s="12"/>
      <c r="C357" s="12"/>
      <c r="D357" s="12"/>
      <c r="E357" s="12"/>
    </row>
    <row r="358" spans="2:5" x14ac:dyDescent="0.2">
      <c r="B358" s="12"/>
      <c r="C358" s="12"/>
      <c r="D358" s="12"/>
      <c r="E358" s="12"/>
    </row>
    <row r="359" spans="2:5" x14ac:dyDescent="0.2">
      <c r="B359" s="12"/>
      <c r="C359" s="12"/>
      <c r="D359" s="12"/>
      <c r="E359" s="12"/>
    </row>
    <row r="360" spans="2:5" x14ac:dyDescent="0.2">
      <c r="B360" s="12"/>
      <c r="C360" s="12"/>
      <c r="D360" s="12"/>
      <c r="E360" s="12"/>
    </row>
    <row r="361" spans="2:5" x14ac:dyDescent="0.2">
      <c r="B361" s="12"/>
      <c r="C361" s="12"/>
      <c r="D361" s="12"/>
      <c r="E361" s="12"/>
    </row>
    <row r="362" spans="2:5" x14ac:dyDescent="0.2">
      <c r="B362" s="12"/>
      <c r="C362" s="12"/>
      <c r="D362" s="12"/>
      <c r="E362" s="12"/>
    </row>
    <row r="363" spans="2:5" x14ac:dyDescent="0.2">
      <c r="B363" s="12"/>
      <c r="C363" s="12"/>
      <c r="D363" s="12"/>
      <c r="E363" s="12"/>
    </row>
    <row r="364" spans="2:5" x14ac:dyDescent="0.2">
      <c r="B364" s="12"/>
      <c r="C364" s="12"/>
      <c r="D364" s="12"/>
      <c r="E364" s="12"/>
    </row>
    <row r="365" spans="2:5" x14ac:dyDescent="0.2">
      <c r="B365" s="12"/>
      <c r="C365" s="12"/>
      <c r="D365" s="12"/>
      <c r="E365" s="12"/>
    </row>
    <row r="366" spans="2:5" x14ac:dyDescent="0.2">
      <c r="B366" s="12"/>
      <c r="C366" s="12"/>
      <c r="D366" s="12"/>
      <c r="E366" s="12"/>
    </row>
    <row r="367" spans="2:5" x14ac:dyDescent="0.2">
      <c r="B367" s="12"/>
      <c r="C367" s="12"/>
      <c r="D367" s="12"/>
      <c r="E367" s="12"/>
    </row>
    <row r="368" spans="2:5" x14ac:dyDescent="0.2">
      <c r="B368" s="12"/>
      <c r="C368" s="12"/>
      <c r="D368" s="12"/>
      <c r="E368" s="12"/>
    </row>
    <row r="369" spans="2:5" x14ac:dyDescent="0.2">
      <c r="B369" s="12"/>
      <c r="C369" s="12"/>
      <c r="D369" s="12"/>
      <c r="E369" s="12"/>
    </row>
    <row r="370" spans="2:5" x14ac:dyDescent="0.2">
      <c r="B370" s="12"/>
      <c r="C370" s="12"/>
      <c r="D370" s="12"/>
      <c r="E370" s="12"/>
    </row>
    <row r="371" spans="2:5" x14ac:dyDescent="0.2">
      <c r="B371" s="12"/>
      <c r="C371" s="12"/>
      <c r="D371" s="12"/>
      <c r="E371" s="12"/>
    </row>
    <row r="372" spans="2:5" x14ac:dyDescent="0.2">
      <c r="B372" s="12"/>
      <c r="C372" s="12"/>
      <c r="D372" s="12"/>
      <c r="E372" s="12"/>
    </row>
    <row r="373" spans="2:5" x14ac:dyDescent="0.2">
      <c r="B373" s="12"/>
      <c r="C373" s="12"/>
      <c r="D373" s="12"/>
      <c r="E373" s="12"/>
    </row>
    <row r="374" spans="2:5" x14ac:dyDescent="0.2">
      <c r="B374" s="12"/>
      <c r="C374" s="12"/>
      <c r="D374" s="12"/>
      <c r="E374" s="12"/>
    </row>
    <row r="375" spans="2:5" x14ac:dyDescent="0.2">
      <c r="B375" s="12"/>
      <c r="C375" s="12"/>
      <c r="D375" s="12"/>
      <c r="E375" s="12"/>
    </row>
    <row r="376" spans="2:5" x14ac:dyDescent="0.2">
      <c r="B376" s="12"/>
      <c r="C376" s="12"/>
      <c r="D376" s="12"/>
      <c r="E376" s="12"/>
    </row>
    <row r="377" spans="2:5" x14ac:dyDescent="0.2">
      <c r="B377" s="12"/>
      <c r="C377" s="12"/>
      <c r="D377" s="12"/>
      <c r="E377" s="12"/>
    </row>
    <row r="378" spans="2:5" x14ac:dyDescent="0.2">
      <c r="B378" s="12"/>
      <c r="C378" s="12"/>
      <c r="D378" s="12"/>
      <c r="E378" s="12"/>
    </row>
    <row r="379" spans="2:5" x14ac:dyDescent="0.2">
      <c r="B379" s="12"/>
      <c r="C379" s="12"/>
      <c r="D379" s="12"/>
      <c r="E379" s="12"/>
    </row>
    <row r="380" spans="2:5" x14ac:dyDescent="0.2">
      <c r="B380" s="12"/>
      <c r="C380" s="12"/>
      <c r="D380" s="12"/>
      <c r="E380" s="12"/>
    </row>
    <row r="381" spans="2:5" x14ac:dyDescent="0.2">
      <c r="B381" s="12"/>
      <c r="C381" s="12"/>
      <c r="D381" s="12"/>
      <c r="E381" s="12"/>
    </row>
    <row r="382" spans="2:5" x14ac:dyDescent="0.2">
      <c r="B382" s="12"/>
      <c r="C382" s="12"/>
      <c r="D382" s="12"/>
      <c r="E382" s="12"/>
    </row>
    <row r="383" spans="2:5" x14ac:dyDescent="0.2">
      <c r="B383" s="12"/>
      <c r="C383" s="12"/>
      <c r="D383" s="12"/>
      <c r="E383" s="12"/>
    </row>
    <row r="384" spans="2:5" x14ac:dyDescent="0.2">
      <c r="B384" s="12"/>
      <c r="C384" s="12"/>
      <c r="D384" s="12"/>
      <c r="E384" s="12"/>
    </row>
    <row r="385" spans="2:5" x14ac:dyDescent="0.2">
      <c r="B385" s="12"/>
      <c r="C385" s="12"/>
      <c r="D385" s="12"/>
      <c r="E385" s="12"/>
    </row>
    <row r="386" spans="2:5" x14ac:dyDescent="0.2">
      <c r="B386" s="12"/>
      <c r="C386" s="12"/>
      <c r="D386" s="12"/>
      <c r="E386" s="12"/>
    </row>
    <row r="387" spans="2:5" x14ac:dyDescent="0.2">
      <c r="B387" s="12"/>
      <c r="C387" s="12"/>
      <c r="D387" s="12"/>
      <c r="E387" s="12"/>
    </row>
    <row r="388" spans="2:5" x14ac:dyDescent="0.2">
      <c r="B388" s="12"/>
      <c r="C388" s="12"/>
      <c r="D388" s="12"/>
      <c r="E388" s="12"/>
    </row>
    <row r="389" spans="2:5" x14ac:dyDescent="0.2">
      <c r="B389" s="12"/>
      <c r="C389" s="12"/>
      <c r="D389" s="12"/>
      <c r="E389" s="12"/>
    </row>
    <row r="390" spans="2:5" x14ac:dyDescent="0.2">
      <c r="B390" s="12"/>
      <c r="C390" s="12"/>
      <c r="D390" s="12"/>
      <c r="E390" s="12"/>
    </row>
    <row r="391" spans="2:5" x14ac:dyDescent="0.2">
      <c r="B391" s="12"/>
      <c r="C391" s="12"/>
      <c r="D391" s="12"/>
      <c r="E391" s="12"/>
    </row>
    <row r="392" spans="2:5" x14ac:dyDescent="0.2">
      <c r="B392" s="12"/>
      <c r="C392" s="12"/>
      <c r="D392" s="12"/>
      <c r="E392" s="12"/>
    </row>
    <row r="393" spans="2:5" x14ac:dyDescent="0.2">
      <c r="B393" s="12"/>
      <c r="C393" s="12"/>
      <c r="D393" s="12"/>
      <c r="E393" s="12"/>
    </row>
    <row r="394" spans="2:5" x14ac:dyDescent="0.2">
      <c r="B394" s="12"/>
      <c r="C394" s="12"/>
      <c r="D394" s="12"/>
      <c r="E394" s="12"/>
    </row>
    <row r="395" spans="2:5" x14ac:dyDescent="0.2">
      <c r="B395" s="12"/>
      <c r="C395" s="12"/>
      <c r="D395" s="12"/>
      <c r="E395" s="12"/>
    </row>
    <row r="396" spans="2:5" x14ac:dyDescent="0.2">
      <c r="B396" s="12"/>
      <c r="C396" s="12"/>
      <c r="D396" s="12"/>
      <c r="E396" s="12"/>
    </row>
    <row r="397" spans="2:5" x14ac:dyDescent="0.2">
      <c r="B397" s="12"/>
      <c r="C397" s="12"/>
      <c r="D397" s="12"/>
      <c r="E397" s="12"/>
    </row>
    <row r="398" spans="2:5" x14ac:dyDescent="0.2">
      <c r="B398" s="12"/>
      <c r="C398" s="12"/>
      <c r="D398" s="12"/>
      <c r="E398" s="12"/>
    </row>
    <row r="399" spans="2:5" x14ac:dyDescent="0.2">
      <c r="B399" s="12"/>
      <c r="C399" s="12"/>
      <c r="D399" s="12"/>
      <c r="E399" s="12"/>
    </row>
    <row r="400" spans="2:5" x14ac:dyDescent="0.2">
      <c r="B400" s="12"/>
      <c r="C400" s="12"/>
      <c r="D400" s="12"/>
      <c r="E400" s="12"/>
    </row>
    <row r="401" spans="2:5" x14ac:dyDescent="0.2">
      <c r="B401" s="12"/>
      <c r="C401" s="12"/>
      <c r="D401" s="12"/>
      <c r="E401" s="12"/>
    </row>
    <row r="402" spans="2:5" x14ac:dyDescent="0.2">
      <c r="B402" s="12"/>
      <c r="C402" s="12"/>
      <c r="D402" s="12"/>
      <c r="E402" s="12"/>
    </row>
    <row r="403" spans="2:5" x14ac:dyDescent="0.2">
      <c r="B403" s="12"/>
      <c r="C403" s="12"/>
      <c r="D403" s="12"/>
      <c r="E403" s="12"/>
    </row>
    <row r="404" spans="2:5" x14ac:dyDescent="0.2">
      <c r="B404" s="12"/>
      <c r="C404" s="12"/>
      <c r="D404" s="12"/>
      <c r="E404" s="12"/>
    </row>
    <row r="405" spans="2:5" x14ac:dyDescent="0.2">
      <c r="B405" s="12"/>
      <c r="C405" s="12"/>
      <c r="D405" s="12"/>
      <c r="E405" s="12"/>
    </row>
    <row r="406" spans="2:5" x14ac:dyDescent="0.2">
      <c r="B406" s="12"/>
      <c r="C406" s="12"/>
      <c r="D406" s="12"/>
      <c r="E406" s="12"/>
    </row>
    <row r="407" spans="2:5" x14ac:dyDescent="0.2">
      <c r="B407" s="12"/>
      <c r="C407" s="12"/>
      <c r="D407" s="12"/>
      <c r="E407" s="12"/>
    </row>
    <row r="408" spans="2:5" x14ac:dyDescent="0.2">
      <c r="B408" s="12"/>
      <c r="C408" s="12"/>
      <c r="D408" s="12"/>
      <c r="E408" s="12"/>
    </row>
    <row r="409" spans="2:5" x14ac:dyDescent="0.2">
      <c r="B409" s="12"/>
      <c r="C409" s="12"/>
      <c r="D409" s="12"/>
      <c r="E409" s="12"/>
    </row>
    <row r="410" spans="2:5" x14ac:dyDescent="0.2">
      <c r="B410" s="12"/>
      <c r="C410" s="12"/>
      <c r="D410" s="12"/>
      <c r="E410" s="12"/>
    </row>
    <row r="411" spans="2:5" x14ac:dyDescent="0.2">
      <c r="B411" s="12"/>
      <c r="C411" s="12"/>
      <c r="D411" s="12"/>
      <c r="E411" s="12"/>
    </row>
    <row r="412" spans="2:5" x14ac:dyDescent="0.2">
      <c r="B412" s="12"/>
      <c r="C412" s="12"/>
      <c r="D412" s="12"/>
      <c r="E412" s="12"/>
    </row>
    <row r="413" spans="2:5" x14ac:dyDescent="0.2">
      <c r="B413" s="12"/>
      <c r="C413" s="12"/>
      <c r="D413" s="12"/>
      <c r="E413" s="12"/>
    </row>
    <row r="414" spans="2:5" x14ac:dyDescent="0.2">
      <c r="B414" s="12"/>
      <c r="C414" s="12"/>
      <c r="D414" s="12"/>
      <c r="E414" s="12"/>
    </row>
    <row r="415" spans="2:5" x14ac:dyDescent="0.2">
      <c r="B415" s="12"/>
      <c r="C415" s="12"/>
      <c r="D415" s="12"/>
      <c r="E415" s="12"/>
    </row>
    <row r="416" spans="2:5" x14ac:dyDescent="0.2">
      <c r="B416" s="12"/>
      <c r="C416" s="12"/>
      <c r="D416" s="12"/>
      <c r="E416" s="12"/>
    </row>
    <row r="417" spans="2:5" x14ac:dyDescent="0.2">
      <c r="B417" s="12"/>
      <c r="C417" s="12"/>
      <c r="D417" s="12"/>
      <c r="E417" s="12"/>
    </row>
    <row r="418" spans="2:5" x14ac:dyDescent="0.2">
      <c r="B418" s="12"/>
      <c r="C418" s="12"/>
      <c r="D418" s="12"/>
      <c r="E418" s="12"/>
    </row>
    <row r="419" spans="2:5" x14ac:dyDescent="0.2">
      <c r="B419" s="12"/>
      <c r="C419" s="12"/>
      <c r="D419" s="12"/>
      <c r="E419" s="12"/>
    </row>
    <row r="420" spans="2:5" x14ac:dyDescent="0.2">
      <c r="B420" s="12"/>
      <c r="C420" s="12"/>
      <c r="D420" s="12"/>
      <c r="E420" s="12"/>
    </row>
    <row r="421" spans="2:5" x14ac:dyDescent="0.2">
      <c r="B421" s="12"/>
      <c r="C421" s="12"/>
      <c r="D421" s="12"/>
      <c r="E421" s="12"/>
    </row>
    <row r="422" spans="2:5" x14ac:dyDescent="0.2">
      <c r="B422" s="12"/>
      <c r="C422" s="12"/>
      <c r="D422" s="12"/>
      <c r="E422" s="12"/>
    </row>
    <row r="423" spans="2:5" x14ac:dyDescent="0.2">
      <c r="B423" s="12"/>
      <c r="C423" s="12"/>
      <c r="D423" s="12"/>
      <c r="E423" s="12"/>
    </row>
    <row r="424" spans="2:5" x14ac:dyDescent="0.2">
      <c r="B424" s="12"/>
      <c r="C424" s="12"/>
      <c r="D424" s="12"/>
      <c r="E424" s="12"/>
    </row>
    <row r="425" spans="2:5" x14ac:dyDescent="0.2">
      <c r="B425" s="12"/>
      <c r="C425" s="12"/>
      <c r="D425" s="12"/>
      <c r="E425" s="12"/>
    </row>
    <row r="426" spans="2:5" x14ac:dyDescent="0.2">
      <c r="B426" s="12"/>
      <c r="C426" s="12"/>
      <c r="D426" s="12"/>
      <c r="E426" s="12"/>
    </row>
    <row r="427" spans="2:5" x14ac:dyDescent="0.2">
      <c r="B427" s="12"/>
      <c r="C427" s="12"/>
      <c r="D427" s="12"/>
      <c r="E427" s="12"/>
    </row>
    <row r="428" spans="2:5" x14ac:dyDescent="0.2">
      <c r="B428" s="12"/>
      <c r="C428" s="12"/>
      <c r="D428" s="12"/>
      <c r="E428" s="12"/>
    </row>
    <row r="429" spans="2:5" x14ac:dyDescent="0.2">
      <c r="B429" s="12"/>
      <c r="C429" s="12"/>
      <c r="D429" s="12"/>
      <c r="E429" s="12"/>
    </row>
    <row r="430" spans="2:5" x14ac:dyDescent="0.2">
      <c r="B430" s="12"/>
      <c r="C430" s="12"/>
      <c r="D430" s="12"/>
      <c r="E430" s="12"/>
    </row>
    <row r="431" spans="2:5" x14ac:dyDescent="0.2">
      <c r="B431" s="12"/>
      <c r="C431" s="12"/>
      <c r="D431" s="12"/>
      <c r="E431" s="12"/>
    </row>
    <row r="432" spans="2:5" x14ac:dyDescent="0.2">
      <c r="B432" s="12"/>
      <c r="C432" s="12"/>
      <c r="D432" s="12"/>
      <c r="E432" s="12"/>
    </row>
    <row r="433" spans="2:5" x14ac:dyDescent="0.2">
      <c r="B433" s="12"/>
      <c r="C433" s="12"/>
      <c r="D433" s="12"/>
      <c r="E433" s="12"/>
    </row>
    <row r="434" spans="2:5" x14ac:dyDescent="0.2">
      <c r="B434" s="12"/>
      <c r="C434" s="12"/>
      <c r="D434" s="12"/>
      <c r="E434" s="12"/>
    </row>
    <row r="435" spans="2:5" x14ac:dyDescent="0.2">
      <c r="B435" s="12"/>
      <c r="C435" s="12"/>
      <c r="D435" s="12"/>
      <c r="E435" s="12"/>
    </row>
    <row r="436" spans="2:5" x14ac:dyDescent="0.2">
      <c r="B436" s="12"/>
      <c r="C436" s="12"/>
      <c r="D436" s="12"/>
      <c r="E436" s="12"/>
    </row>
    <row r="437" spans="2:5" x14ac:dyDescent="0.2">
      <c r="B437" s="12"/>
      <c r="C437" s="12"/>
      <c r="D437" s="12"/>
      <c r="E437" s="12"/>
    </row>
    <row r="438" spans="2:5" x14ac:dyDescent="0.2">
      <c r="B438" s="12"/>
      <c r="C438" s="12"/>
      <c r="D438" s="12"/>
      <c r="E438" s="12"/>
    </row>
    <row r="439" spans="2:5" x14ac:dyDescent="0.2">
      <c r="B439" s="12"/>
      <c r="C439" s="12"/>
      <c r="D439" s="12"/>
      <c r="E439" s="12"/>
    </row>
    <row r="440" spans="2:5" x14ac:dyDescent="0.2">
      <c r="B440" s="12"/>
      <c r="C440" s="12"/>
      <c r="D440" s="12"/>
      <c r="E440" s="12"/>
    </row>
    <row r="441" spans="2:5" x14ac:dyDescent="0.2">
      <c r="B441" s="12"/>
      <c r="C441" s="12"/>
      <c r="D441" s="12"/>
      <c r="E441" s="12"/>
    </row>
    <row r="442" spans="2:5" x14ac:dyDescent="0.2">
      <c r="B442" s="12"/>
      <c r="C442" s="12"/>
      <c r="D442" s="12"/>
      <c r="E442" s="12"/>
    </row>
    <row r="443" spans="2:5" x14ac:dyDescent="0.2">
      <c r="B443" s="12"/>
      <c r="C443" s="12"/>
      <c r="D443" s="12"/>
      <c r="E443" s="12"/>
    </row>
    <row r="444" spans="2:5" x14ac:dyDescent="0.2">
      <c r="B444" s="12"/>
      <c r="C444" s="12"/>
      <c r="D444" s="12"/>
      <c r="E444" s="12"/>
    </row>
    <row r="445" spans="2:5" x14ac:dyDescent="0.2">
      <c r="B445" s="12"/>
      <c r="C445" s="12"/>
      <c r="D445" s="12"/>
      <c r="E445" s="12"/>
    </row>
    <row r="446" spans="2:5" x14ac:dyDescent="0.2">
      <c r="B446" s="12"/>
      <c r="C446" s="12"/>
      <c r="D446" s="12"/>
      <c r="E446" s="12"/>
    </row>
    <row r="447" spans="2:5" x14ac:dyDescent="0.2">
      <c r="B447" s="12"/>
      <c r="C447" s="12"/>
      <c r="D447" s="12"/>
      <c r="E447" s="12"/>
    </row>
    <row r="448" spans="2:5" x14ac:dyDescent="0.2">
      <c r="B448" s="12"/>
      <c r="C448" s="12"/>
      <c r="D448" s="12"/>
      <c r="E448" s="12"/>
    </row>
    <row r="449" spans="2:5" x14ac:dyDescent="0.2">
      <c r="B449" s="12"/>
      <c r="C449" s="12"/>
      <c r="D449" s="12"/>
      <c r="E449" s="12"/>
    </row>
    <row r="450" spans="2:5" x14ac:dyDescent="0.2">
      <c r="B450" s="12"/>
      <c r="C450" s="12"/>
      <c r="D450" s="12"/>
      <c r="E450" s="12"/>
    </row>
    <row r="451" spans="2:5" x14ac:dyDescent="0.2">
      <c r="B451" s="12"/>
      <c r="C451" s="12"/>
      <c r="D451" s="12"/>
      <c r="E451" s="12"/>
    </row>
    <row r="452" spans="2:5" x14ac:dyDescent="0.2">
      <c r="B452" s="12"/>
      <c r="C452" s="12"/>
      <c r="D452" s="12"/>
      <c r="E452" s="12"/>
    </row>
    <row r="453" spans="2:5" x14ac:dyDescent="0.2">
      <c r="B453" s="12"/>
      <c r="C453" s="12"/>
      <c r="D453" s="12"/>
      <c r="E453" s="12"/>
    </row>
    <row r="454" spans="2:5" x14ac:dyDescent="0.2">
      <c r="B454" s="12"/>
      <c r="C454" s="12"/>
      <c r="D454" s="12"/>
      <c r="E454" s="12"/>
    </row>
    <row r="455" spans="2:5" x14ac:dyDescent="0.2">
      <c r="B455" s="12"/>
      <c r="C455" s="12"/>
      <c r="D455" s="12"/>
      <c r="E455" s="12"/>
    </row>
    <row r="456" spans="2:5" x14ac:dyDescent="0.2">
      <c r="B456" s="12"/>
      <c r="C456" s="12"/>
      <c r="D456" s="12"/>
      <c r="E456" s="12"/>
    </row>
    <row r="457" spans="2:5" x14ac:dyDescent="0.2">
      <c r="B457" s="12"/>
      <c r="C457" s="12"/>
      <c r="D457" s="12"/>
      <c r="E457" s="12"/>
    </row>
    <row r="458" spans="2:5" x14ac:dyDescent="0.2">
      <c r="B458" s="12"/>
      <c r="C458" s="12"/>
      <c r="D458" s="12"/>
      <c r="E458" s="12"/>
    </row>
    <row r="459" spans="2:5" x14ac:dyDescent="0.2">
      <c r="B459" s="12"/>
      <c r="C459" s="12"/>
      <c r="D459" s="12"/>
      <c r="E459" s="12"/>
    </row>
    <row r="460" spans="2:5" x14ac:dyDescent="0.2">
      <c r="B460" s="12"/>
      <c r="C460" s="12"/>
      <c r="D460" s="12"/>
      <c r="E460" s="12"/>
    </row>
    <row r="461" spans="2:5" x14ac:dyDescent="0.2">
      <c r="B461" s="12"/>
      <c r="C461" s="12"/>
      <c r="D461" s="12"/>
      <c r="E461" s="12"/>
    </row>
    <row r="462" spans="2:5" x14ac:dyDescent="0.2">
      <c r="B462" s="12"/>
      <c r="C462" s="12"/>
      <c r="D462" s="12"/>
      <c r="E462" s="12"/>
    </row>
    <row r="463" spans="2:5" x14ac:dyDescent="0.2">
      <c r="B463" s="12"/>
      <c r="C463" s="12"/>
      <c r="D463" s="12"/>
      <c r="E463" s="12"/>
    </row>
    <row r="464" spans="2:5" x14ac:dyDescent="0.2">
      <c r="B464" s="12"/>
      <c r="C464" s="12"/>
      <c r="D464" s="12"/>
      <c r="E464" s="12"/>
    </row>
    <row r="465" spans="2:5" x14ac:dyDescent="0.2">
      <c r="B465" s="12"/>
      <c r="C465" s="12"/>
      <c r="D465" s="12"/>
      <c r="E465" s="12"/>
    </row>
    <row r="466" spans="2:5" x14ac:dyDescent="0.2">
      <c r="B466" s="12"/>
      <c r="C466" s="12"/>
      <c r="D466" s="12"/>
      <c r="E466" s="12"/>
    </row>
    <row r="467" spans="2:5" x14ac:dyDescent="0.2">
      <c r="B467" s="12"/>
      <c r="C467" s="12"/>
      <c r="D467" s="12"/>
      <c r="E467" s="12"/>
    </row>
    <row r="468" spans="2:5" x14ac:dyDescent="0.2">
      <c r="B468" s="12"/>
      <c r="C468" s="12"/>
      <c r="D468" s="12"/>
      <c r="E468" s="12"/>
    </row>
    <row r="469" spans="2:5" x14ac:dyDescent="0.2">
      <c r="B469" s="12"/>
      <c r="C469" s="12"/>
      <c r="D469" s="12"/>
      <c r="E469" s="12"/>
    </row>
    <row r="470" spans="2:5" x14ac:dyDescent="0.2">
      <c r="B470" s="12"/>
      <c r="C470" s="12"/>
      <c r="D470" s="12"/>
      <c r="E470" s="12"/>
    </row>
    <row r="471" spans="2:5" x14ac:dyDescent="0.2">
      <c r="B471" s="12"/>
      <c r="C471" s="12"/>
      <c r="D471" s="12"/>
      <c r="E471" s="12"/>
    </row>
    <row r="472" spans="2:5" x14ac:dyDescent="0.2">
      <c r="B472" s="12"/>
      <c r="C472" s="12"/>
      <c r="D472" s="12"/>
      <c r="E472" s="12"/>
    </row>
    <row r="473" spans="2:5" x14ac:dyDescent="0.2">
      <c r="B473" s="12"/>
      <c r="C473" s="12"/>
      <c r="D473" s="12"/>
      <c r="E473" s="12"/>
    </row>
    <row r="474" spans="2:5" x14ac:dyDescent="0.2">
      <c r="B474" s="12"/>
      <c r="C474" s="12"/>
      <c r="D474" s="12"/>
      <c r="E474" s="12"/>
    </row>
    <row r="475" spans="2:5" x14ac:dyDescent="0.2">
      <c r="B475" s="12"/>
      <c r="C475" s="12"/>
      <c r="D475" s="12"/>
      <c r="E475" s="12"/>
    </row>
    <row r="476" spans="2:5" x14ac:dyDescent="0.2">
      <c r="B476" s="12"/>
      <c r="C476" s="12"/>
      <c r="D476" s="12"/>
      <c r="E476" s="12"/>
    </row>
    <row r="477" spans="2:5" x14ac:dyDescent="0.2">
      <c r="B477" s="12"/>
      <c r="C477" s="12"/>
      <c r="D477" s="12"/>
      <c r="E477" s="12"/>
    </row>
    <row r="478" spans="2:5" x14ac:dyDescent="0.2">
      <c r="B478" s="12"/>
      <c r="C478" s="12"/>
      <c r="D478" s="12"/>
      <c r="E478" s="12"/>
    </row>
    <row r="479" spans="2:5" x14ac:dyDescent="0.2">
      <c r="B479" s="12"/>
      <c r="C479" s="12"/>
      <c r="D479" s="12"/>
      <c r="E479" s="12"/>
    </row>
    <row r="480" spans="2:5" x14ac:dyDescent="0.2">
      <c r="B480" s="12"/>
      <c r="C480" s="12"/>
      <c r="D480" s="12"/>
      <c r="E480" s="12"/>
    </row>
    <row r="481" spans="2:5" x14ac:dyDescent="0.2">
      <c r="B481" s="12"/>
      <c r="C481" s="12"/>
      <c r="D481" s="12"/>
      <c r="E481" s="12"/>
    </row>
  </sheetData>
  <dataConsolidate link="1"/>
  <mergeCells count="5">
    <mergeCell ref="B4:B5"/>
    <mergeCell ref="L5:M5"/>
    <mergeCell ref="F12:G12"/>
    <mergeCell ref="I12:J12"/>
    <mergeCell ref="L12:M12"/>
  </mergeCells>
  <conditionalFormatting sqref="L5">
    <cfRule type="expression" dxfId="29" priority="2">
      <formula>$L$5="All good"</formula>
    </cfRule>
  </conditionalFormatting>
  <conditionalFormatting sqref="L5:M5">
    <cfRule type="expression" dxfId="28" priority="1">
      <formula>$L$5="Check PPC not listed"</formula>
    </cfRule>
  </conditionalFormatting>
  <pageMargins left="0.7" right="0.7" top="0.75" bottom="0.75" header="0.3" footer="0.3"/>
  <pageSetup paperSize="9" orientation="portrait" r:id="rId3"/>
  <customProperties>
    <customPr name="EpmWorksheetKeyString_GUID" r:id="rId4"/>
  </customPropertie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FBL3Nbis">
                <anchor moveWithCells="1" sizeWithCells="1">
                  <from>
                    <xdr:col>6</xdr:col>
                    <xdr:colOff>714375</xdr:colOff>
                    <xdr:row>4</xdr:row>
                    <xdr:rowOff>104775</xdr:rowOff>
                  </from>
                  <to>
                    <xdr:col>7</xdr:col>
                    <xdr:colOff>590550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openworkbook">
                <anchor moveWithCells="1" sizeWithCells="1">
                  <from>
                    <xdr:col>6</xdr:col>
                    <xdr:colOff>723900</xdr:colOff>
                    <xdr:row>6</xdr:row>
                    <xdr:rowOff>200025</xdr:rowOff>
                  </from>
                  <to>
                    <xdr:col>7</xdr:col>
                    <xdr:colOff>600075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intercodata">
                <anchor moveWithCells="1" sizeWithCells="1">
                  <from>
                    <xdr:col>6</xdr:col>
                    <xdr:colOff>723900</xdr:colOff>
                    <xdr:row>1</xdr:row>
                    <xdr:rowOff>123825</xdr:rowOff>
                  </from>
                  <to>
                    <xdr:col>7</xdr:col>
                    <xdr:colOff>590550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4946"/>
  <sheetViews>
    <sheetView showGridLines="0" tabSelected="1" topLeftCell="B1" zoomScale="85" zoomScaleNormal="85" workbookViewId="0">
      <pane ySplit="8" topLeftCell="A848" activePane="bottomLeft" state="frozen"/>
      <selection activeCell="B1" sqref="B1"/>
      <selection pane="bottomLeft" activeCell="D860" sqref="D860"/>
    </sheetView>
  </sheetViews>
  <sheetFormatPr defaultRowHeight="12.75" outlineLevelRow="2" x14ac:dyDescent="0.2"/>
  <cols>
    <col min="1" max="1" width="24.5703125" hidden="1" customWidth="1"/>
    <col min="2" max="2" width="7.42578125" bestFit="1" customWidth="1"/>
    <col min="3" max="3" width="10.42578125" bestFit="1" customWidth="1"/>
    <col min="4" max="4" width="14" bestFit="1" customWidth="1"/>
    <col min="5" max="5" width="17.140625" bestFit="1" customWidth="1"/>
    <col min="6" max="6" width="17.42578125" bestFit="1" customWidth="1"/>
    <col min="7" max="7" width="17.85546875" bestFit="1" customWidth="1"/>
    <col min="8" max="8" width="20.28515625" bestFit="1" customWidth="1"/>
    <col min="9" max="9" width="19.85546875" bestFit="1" customWidth="1"/>
    <col min="10" max="10" width="20.85546875" bestFit="1" customWidth="1"/>
    <col min="11" max="11" width="17.42578125" bestFit="1" customWidth="1"/>
    <col min="12" max="12" width="18.5703125" bestFit="1" customWidth="1"/>
    <col min="13" max="13" width="41" bestFit="1" customWidth="1"/>
    <col min="14" max="14" width="17.85546875" bestFit="1" customWidth="1"/>
    <col min="15" max="15" width="21.5703125" bestFit="1" customWidth="1"/>
    <col min="16" max="16" width="15.5703125" hidden="1" customWidth="1"/>
    <col min="17" max="17" width="10.85546875" bestFit="1" customWidth="1"/>
    <col min="18" max="18" width="6.85546875" bestFit="1" customWidth="1"/>
    <col min="19" max="19" width="15.85546875" bestFit="1" customWidth="1"/>
    <col min="20" max="20" width="6.7109375" bestFit="1" customWidth="1"/>
    <col min="21" max="21" width="12.28515625" bestFit="1" customWidth="1"/>
    <col min="22" max="22" width="3.140625" bestFit="1" customWidth="1"/>
    <col min="23" max="23" width="13" bestFit="1" customWidth="1"/>
    <col min="24" max="24" width="13.7109375" bestFit="1" customWidth="1"/>
    <col min="25" max="25" width="5.5703125" customWidth="1"/>
    <col min="26" max="28" width="11.5703125" bestFit="1" customWidth="1"/>
    <col min="29" max="29" width="13" bestFit="1" customWidth="1"/>
    <col min="30" max="30" width="13.7109375" bestFit="1" customWidth="1"/>
  </cols>
  <sheetData>
    <row r="1" spans="1:22" ht="13.5" thickBot="1" x14ac:dyDescent="0.25"/>
    <row r="2" spans="1:22" ht="15.75" x14ac:dyDescent="0.2">
      <c r="C2" s="59"/>
      <c r="D2" s="60" t="s">
        <v>27</v>
      </c>
      <c r="E2" s="60" t="s">
        <v>104</v>
      </c>
      <c r="F2" s="60" t="s">
        <v>73</v>
      </c>
      <c r="G2" s="52"/>
      <c r="H2" s="52"/>
      <c r="I2" s="53"/>
    </row>
    <row r="3" spans="1:22" ht="15.75" x14ac:dyDescent="0.2">
      <c r="C3" s="61" t="s">
        <v>68</v>
      </c>
      <c r="D3" s="48">
        <f>'Summary Interco'!D4</f>
        <v>99</v>
      </c>
      <c r="E3" s="48" t="str">
        <f>IFERROR(INDEX('Summary Interco'!$Q$13:$Q$61,MATCH(Data!$D3,'Summary Interco'!$P$13:$P$61,0)),"")</f>
        <v>FR07</v>
      </c>
      <c r="F3" s="49">
        <f>SUMIFS($I:$I,$B:$B,$D$3,$C:$C,$D$4,$K:$K,"2016")+SUMIFS($I:$I,$B:$B,$D$3,$C:$C,$D$4,$K:$K,"2017")+SUMIFS($I:$I,$B:$B,$D$3,$C:$C,$D$4,$K:$K,"2018")+SUMIFS($I:$I,$B:$B,$D$3,$C:$C,$D$4,$K:$K,"2019")</f>
        <v>77469.549999999988</v>
      </c>
      <c r="G3" s="54"/>
      <c r="H3" s="54"/>
      <c r="I3" s="55"/>
    </row>
    <row r="4" spans="1:22" ht="15.75" x14ac:dyDescent="0.2">
      <c r="C4" s="61" t="s">
        <v>92</v>
      </c>
      <c r="D4" s="48">
        <v>998</v>
      </c>
      <c r="E4" s="48" t="str">
        <f>IFERROR(INDEX('Summary Interco'!$Q$13:$Q$61,MATCH(Data!$D4,'Summary Interco'!$P$13:$P$61,0)),"")</f>
        <v>FR07</v>
      </c>
      <c r="F4" s="49">
        <f>SUMIFS($J:$J,$B:$B,$D$3,$C:$C,$D$4,$L:$L,"2016")+SUMIFS($J:$J,$B:$B,$D$3,$C:$C,$D$4,$L:$L,"2017")+SUMIFS($J:$J,$B:$B,$D$3,$C:$C,$D$4,$L:$L,"2018")+SUMIFS($J:$J,$B:$B,$D$3,$C:$C,$D$4,$L:$L,"2019")</f>
        <v>-16169.259999999893</v>
      </c>
      <c r="G4" s="54"/>
      <c r="H4" s="54"/>
      <c r="I4" s="55"/>
      <c r="T4" s="2"/>
      <c r="V4" s="13"/>
    </row>
    <row r="5" spans="1:22" ht="15.75" x14ac:dyDescent="0.2">
      <c r="C5" s="62" t="s">
        <v>72</v>
      </c>
      <c r="D5" s="50"/>
      <c r="E5" s="50"/>
      <c r="F5" s="51">
        <f>F3+F4</f>
        <v>61300.290000000095</v>
      </c>
      <c r="G5" s="56"/>
      <c r="H5" s="56"/>
      <c r="I5" s="55"/>
    </row>
    <row r="6" spans="1:22" ht="16.5" thickBot="1" x14ac:dyDescent="0.25">
      <c r="C6" s="63"/>
      <c r="D6" s="64"/>
      <c r="E6" s="64"/>
      <c r="F6" s="65"/>
      <c r="G6" s="57"/>
      <c r="H6" s="57"/>
      <c r="I6" s="58"/>
    </row>
    <row r="8" spans="1:22" ht="15" x14ac:dyDescent="0.2">
      <c r="B8" s="17" t="s">
        <v>68</v>
      </c>
      <c r="C8" s="17" t="s">
        <v>92</v>
      </c>
      <c r="D8" s="18" t="s">
        <v>29</v>
      </c>
      <c r="E8" s="18" t="s">
        <v>93</v>
      </c>
      <c r="F8" s="18" t="s">
        <v>30</v>
      </c>
      <c r="G8" s="18" t="s">
        <v>94</v>
      </c>
      <c r="H8" s="18" t="s">
        <v>31</v>
      </c>
      <c r="I8" s="18" t="s">
        <v>32</v>
      </c>
      <c r="J8" s="18" t="s">
        <v>33</v>
      </c>
      <c r="K8" s="17" t="s">
        <v>34</v>
      </c>
      <c r="L8" s="17" t="s">
        <v>35</v>
      </c>
      <c r="M8" s="18" t="s">
        <v>36</v>
      </c>
      <c r="N8" s="18" t="s">
        <v>37</v>
      </c>
      <c r="O8" s="28" t="s">
        <v>76</v>
      </c>
      <c r="R8" s="13" t="s">
        <v>68</v>
      </c>
      <c r="S8" s="16" t="s">
        <v>72</v>
      </c>
    </row>
    <row r="9" spans="1:22" x14ac:dyDescent="0.2">
      <c r="A9" t="str">
        <f>IFERROR(IF(J9=0,E9&amp;C9&amp;I9,G9&amp;B9&amp;J9),"")</f>
        <v>655558-187876.56</v>
      </c>
      <c r="B9" t="s">
        <v>0</v>
      </c>
      <c r="C9" t="s">
        <v>1</v>
      </c>
      <c r="D9" t="s">
        <v>169</v>
      </c>
      <c r="E9" t="s">
        <v>170</v>
      </c>
      <c r="F9" s="1">
        <v>38223</v>
      </c>
      <c r="G9" t="s">
        <v>1</v>
      </c>
      <c r="H9" s="1"/>
      <c r="I9" s="2">
        <v>-187876.56</v>
      </c>
      <c r="J9" s="2">
        <v>0</v>
      </c>
      <c r="K9" t="s">
        <v>171</v>
      </c>
      <c r="L9" t="s">
        <v>1</v>
      </c>
      <c r="M9" t="s">
        <v>1</v>
      </c>
      <c r="N9" s="2">
        <v>-187876.56</v>
      </c>
      <c r="O9" t="str">
        <f>IFERROR(VLOOKUP($A9,Accounts!$A:$G,3,FALSE),"")</f>
        <v/>
      </c>
      <c r="R9" s="14">
        <v>995</v>
      </c>
      <c r="S9" s="24">
        <f>'Summary Interco'!M14</f>
        <v>0</v>
      </c>
      <c r="U9" s="13"/>
    </row>
    <row r="10" spans="1:22" outlineLevel="2" x14ac:dyDescent="0.2">
      <c r="A10" t="str">
        <f t="shared" ref="A10:A73" si="0">IFERROR(IF(J10=0,E10&amp;C10&amp;I10,G10&amp;B10&amp;J10),"")</f>
        <v>60000001847938.8</v>
      </c>
      <c r="B10" t="s">
        <v>0</v>
      </c>
      <c r="C10" t="s">
        <v>1</v>
      </c>
      <c r="D10" t="s">
        <v>169</v>
      </c>
      <c r="E10" t="s">
        <v>660</v>
      </c>
      <c r="F10" s="1">
        <v>38199</v>
      </c>
      <c r="G10" t="s">
        <v>1</v>
      </c>
      <c r="H10" s="1"/>
      <c r="I10" s="2">
        <v>47938.8</v>
      </c>
      <c r="J10" s="2">
        <v>0</v>
      </c>
      <c r="K10" t="s">
        <v>171</v>
      </c>
      <c r="L10" t="s">
        <v>1</v>
      </c>
      <c r="M10" t="s">
        <v>1</v>
      </c>
      <c r="N10" s="2">
        <v>47938.8</v>
      </c>
      <c r="O10" t="str">
        <f>IFERROR(VLOOKUP($A10,Accounts!$A:$G,3,FALSE),"")</f>
        <v/>
      </c>
      <c r="R10" s="15">
        <v>132</v>
      </c>
      <c r="S10" s="24">
        <f>'Summary Interco'!M15</f>
        <v>0</v>
      </c>
      <c r="U10" s="13"/>
      <c r="V10" s="13"/>
    </row>
    <row r="11" spans="1:22" outlineLevel="2" x14ac:dyDescent="0.2">
      <c r="A11" t="str">
        <f t="shared" si="0"/>
        <v>600000015-17913.21</v>
      </c>
      <c r="B11" t="s">
        <v>0</v>
      </c>
      <c r="C11" t="s">
        <v>1</v>
      </c>
      <c r="D11" t="s">
        <v>169</v>
      </c>
      <c r="E11" t="s">
        <v>472</v>
      </c>
      <c r="F11" s="1">
        <v>38168</v>
      </c>
      <c r="G11" t="s">
        <v>1</v>
      </c>
      <c r="H11" s="1"/>
      <c r="I11" s="2">
        <v>-17913.21</v>
      </c>
      <c r="J11" s="2">
        <v>0</v>
      </c>
      <c r="K11" t="s">
        <v>171</v>
      </c>
      <c r="L11" t="s">
        <v>1</v>
      </c>
      <c r="M11" t="s">
        <v>1</v>
      </c>
      <c r="N11" s="2">
        <v>-17913.21</v>
      </c>
      <c r="O11" t="str">
        <f>IFERROR(VLOOKUP($A11,Accounts!$A:$G,3,FALSE),"")</f>
        <v/>
      </c>
      <c r="R11" s="14">
        <v>994</v>
      </c>
      <c r="S11" s="24">
        <f>'Summary Interco'!M16</f>
        <v>0</v>
      </c>
      <c r="T11" s="13"/>
      <c r="U11" s="13"/>
    </row>
    <row r="12" spans="1:22" outlineLevel="2" x14ac:dyDescent="0.2">
      <c r="A12" t="str">
        <f t="shared" si="0"/>
        <v>60000000747261.28</v>
      </c>
      <c r="B12" t="s">
        <v>0</v>
      </c>
      <c r="C12" t="s">
        <v>1</v>
      </c>
      <c r="D12" t="s">
        <v>169</v>
      </c>
      <c r="E12" t="s">
        <v>661</v>
      </c>
      <c r="F12" s="1">
        <v>38138</v>
      </c>
      <c r="G12" t="s">
        <v>1</v>
      </c>
      <c r="H12" s="1"/>
      <c r="I12" s="2">
        <v>47261.279999999999</v>
      </c>
      <c r="J12" s="2">
        <v>0</v>
      </c>
      <c r="K12" t="s">
        <v>171</v>
      </c>
      <c r="L12" t="s">
        <v>1</v>
      </c>
      <c r="M12" t="s">
        <v>1</v>
      </c>
      <c r="N12" s="2">
        <v>47261.279999999999</v>
      </c>
      <c r="O12" t="str">
        <f>IFERROR(VLOOKUP($A12,Accounts!$A:$G,3,FALSE),"")</f>
        <v/>
      </c>
      <c r="R12" s="15">
        <v>99</v>
      </c>
      <c r="S12" s="24">
        <f>'Summary Interco'!M17</f>
        <v>0</v>
      </c>
      <c r="U12" s="13"/>
      <c r="V12" s="13"/>
    </row>
    <row r="13" spans="1:22" outlineLevel="2" x14ac:dyDescent="0.2">
      <c r="A13" t="str">
        <f t="shared" si="0"/>
        <v>600000012-18191.26</v>
      </c>
      <c r="B13" t="s">
        <v>0</v>
      </c>
      <c r="C13" t="s">
        <v>1</v>
      </c>
      <c r="D13" t="s">
        <v>169</v>
      </c>
      <c r="E13" t="s">
        <v>662</v>
      </c>
      <c r="F13" s="1">
        <v>38107</v>
      </c>
      <c r="G13" t="s">
        <v>1</v>
      </c>
      <c r="H13" s="1"/>
      <c r="I13" s="2">
        <v>-18191.259999999998</v>
      </c>
      <c r="J13" s="2">
        <v>0</v>
      </c>
      <c r="K13" t="s">
        <v>171</v>
      </c>
      <c r="L13" t="s">
        <v>1</v>
      </c>
      <c r="M13" t="s">
        <v>1</v>
      </c>
      <c r="N13" s="2">
        <v>-18191.259999999998</v>
      </c>
      <c r="O13" t="str">
        <f>IFERROR(VLOOKUP($A13,Accounts!$A:$G,3,FALSE),"")</f>
        <v/>
      </c>
      <c r="P13" s="10"/>
      <c r="R13" s="14">
        <v>143</v>
      </c>
      <c r="S13" s="24">
        <f>'Summary Interco'!M18</f>
        <v>3763.640000000014</v>
      </c>
      <c r="U13" s="13"/>
    </row>
    <row r="14" spans="1:22" outlineLevel="2" x14ac:dyDescent="0.2">
      <c r="A14" t="str">
        <f t="shared" si="0"/>
        <v>600000004-227052.12</v>
      </c>
      <c r="B14" t="s">
        <v>0</v>
      </c>
      <c r="C14" t="s">
        <v>1</v>
      </c>
      <c r="D14" t="s">
        <v>169</v>
      </c>
      <c r="E14" t="s">
        <v>172</v>
      </c>
      <c r="F14" s="1">
        <v>38077</v>
      </c>
      <c r="G14" t="s">
        <v>1</v>
      </c>
      <c r="H14" s="1"/>
      <c r="I14" s="2">
        <v>-227052.12</v>
      </c>
      <c r="J14" s="2">
        <v>0</v>
      </c>
      <c r="K14" t="s">
        <v>171</v>
      </c>
      <c r="L14" t="s">
        <v>1</v>
      </c>
      <c r="M14" t="s">
        <v>1</v>
      </c>
      <c r="N14" s="2">
        <v>-227052.12</v>
      </c>
      <c r="O14" t="str">
        <f>IFERROR(VLOOKUP($A14,Accounts!$A:$G,3,FALSE),"")</f>
        <v/>
      </c>
      <c r="P14" s="11"/>
      <c r="R14" s="15">
        <v>998</v>
      </c>
      <c r="S14" s="27">
        <f>'Summary Interco'!M19</f>
        <v>61300.290000000095</v>
      </c>
      <c r="T14" s="13"/>
      <c r="U14" s="79"/>
      <c r="V14" s="13"/>
    </row>
    <row r="15" spans="1:22" outlineLevel="2" x14ac:dyDescent="0.2">
      <c r="A15" t="str">
        <f t="shared" si="0"/>
        <v>600000000-44614.99</v>
      </c>
      <c r="B15" t="s">
        <v>0</v>
      </c>
      <c r="C15" t="s">
        <v>1</v>
      </c>
      <c r="D15" t="s">
        <v>169</v>
      </c>
      <c r="E15" t="s">
        <v>663</v>
      </c>
      <c r="F15" s="1">
        <v>38046</v>
      </c>
      <c r="G15" t="s">
        <v>1</v>
      </c>
      <c r="H15" s="1"/>
      <c r="I15" s="2">
        <v>-44614.99</v>
      </c>
      <c r="J15" s="2">
        <v>0</v>
      </c>
      <c r="K15" t="s">
        <v>171</v>
      </c>
      <c r="L15" t="s">
        <v>1</v>
      </c>
      <c r="M15" t="s">
        <v>1</v>
      </c>
      <c r="N15" s="2">
        <v>-44614.99</v>
      </c>
      <c r="O15" t="str">
        <f>IFERROR(VLOOKUP($A15,Accounts!$A:$G,3,FALSE),"")</f>
        <v/>
      </c>
      <c r="P15" s="11"/>
      <c r="R15" s="14">
        <v>979</v>
      </c>
      <c r="S15" s="24">
        <f>'Summary Interco'!M20</f>
        <v>0</v>
      </c>
      <c r="U15" s="13"/>
      <c r="V15" s="13"/>
    </row>
    <row r="16" spans="1:22" outlineLevel="2" x14ac:dyDescent="0.2">
      <c r="A16" t="str">
        <f t="shared" si="0"/>
        <v>600000001-3724.06</v>
      </c>
      <c r="B16" t="s">
        <v>0</v>
      </c>
      <c r="C16" t="s">
        <v>1</v>
      </c>
      <c r="D16" t="s">
        <v>169</v>
      </c>
      <c r="E16" t="s">
        <v>664</v>
      </c>
      <c r="F16" s="1">
        <v>38017</v>
      </c>
      <c r="G16" t="s">
        <v>1</v>
      </c>
      <c r="H16" s="1"/>
      <c r="I16" s="2">
        <v>-3724.06</v>
      </c>
      <c r="J16" s="2">
        <v>0</v>
      </c>
      <c r="K16" t="s">
        <v>171</v>
      </c>
      <c r="L16" t="s">
        <v>1</v>
      </c>
      <c r="M16" t="s">
        <v>1</v>
      </c>
      <c r="N16" s="2">
        <v>-3724.06</v>
      </c>
      <c r="O16" t="str">
        <f>IFERROR(VLOOKUP($A16,Accounts!$A:$G,3,FALSE),"")</f>
        <v/>
      </c>
      <c r="P16" s="11"/>
      <c r="R16" s="15">
        <v>6351</v>
      </c>
      <c r="S16" s="24">
        <f>'Summary Interco'!M21</f>
        <v>0</v>
      </c>
      <c r="U16" s="13"/>
      <c r="V16" s="13"/>
    </row>
    <row r="17" spans="1:23" outlineLevel="2" x14ac:dyDescent="0.2">
      <c r="A17" t="str">
        <f t="shared" si="0"/>
        <v>600000034160189.32</v>
      </c>
      <c r="B17" t="s">
        <v>0</v>
      </c>
      <c r="C17" t="s">
        <v>1</v>
      </c>
      <c r="D17" t="s">
        <v>169</v>
      </c>
      <c r="E17" t="s">
        <v>665</v>
      </c>
      <c r="F17" s="1">
        <v>37986</v>
      </c>
      <c r="G17" t="s">
        <v>1</v>
      </c>
      <c r="H17" s="1"/>
      <c r="I17" s="2">
        <v>160189.32</v>
      </c>
      <c r="J17" s="2">
        <v>0</v>
      </c>
      <c r="K17" t="s">
        <v>173</v>
      </c>
      <c r="L17" t="s">
        <v>1</v>
      </c>
      <c r="M17" t="s">
        <v>1</v>
      </c>
      <c r="N17" s="2">
        <v>160189.32</v>
      </c>
      <c r="O17" t="str">
        <f>IFERROR(VLOOKUP($A17,Accounts!$A:$G,3,FALSE),"")</f>
        <v/>
      </c>
      <c r="P17" s="11"/>
      <c r="R17" s="14">
        <v>7542</v>
      </c>
      <c r="S17" s="24">
        <f>'Summary Interco'!M22</f>
        <v>0</v>
      </c>
      <c r="U17" s="13"/>
    </row>
    <row r="18" spans="1:23" outlineLevel="2" x14ac:dyDescent="0.2">
      <c r="A18" t="str">
        <f t="shared" si="0"/>
        <v>600000031-172108.51</v>
      </c>
      <c r="B18" t="s">
        <v>0</v>
      </c>
      <c r="C18" t="s">
        <v>1</v>
      </c>
      <c r="D18" t="s">
        <v>169</v>
      </c>
      <c r="E18" t="s">
        <v>666</v>
      </c>
      <c r="F18" s="1">
        <v>37955</v>
      </c>
      <c r="G18" t="s">
        <v>1</v>
      </c>
      <c r="H18" s="1"/>
      <c r="I18" s="2">
        <v>-172108.51</v>
      </c>
      <c r="J18" s="2">
        <v>0</v>
      </c>
      <c r="K18" t="s">
        <v>173</v>
      </c>
      <c r="L18" t="s">
        <v>1</v>
      </c>
      <c r="M18" t="s">
        <v>1</v>
      </c>
      <c r="N18" s="2">
        <v>-172108.51</v>
      </c>
      <c r="O18" t="str">
        <f>IFERROR(VLOOKUP($A18,Accounts!$A:$G,3,FALSE),"")</f>
        <v/>
      </c>
      <c r="P18" s="11"/>
      <c r="R18" s="15">
        <v>8317</v>
      </c>
      <c r="S18" s="24">
        <f>'Summary Interco'!M23</f>
        <v>0</v>
      </c>
      <c r="U18" s="13"/>
      <c r="W18" s="13"/>
    </row>
    <row r="19" spans="1:23" outlineLevel="2" x14ac:dyDescent="0.2">
      <c r="A19" t="str">
        <f t="shared" si="0"/>
        <v>600000028-506323.58</v>
      </c>
      <c r="B19" t="s">
        <v>0</v>
      </c>
      <c r="C19" t="s">
        <v>1</v>
      </c>
      <c r="D19" t="s">
        <v>169</v>
      </c>
      <c r="E19" t="s">
        <v>667</v>
      </c>
      <c r="F19" s="1">
        <v>37925</v>
      </c>
      <c r="G19" t="s">
        <v>1</v>
      </c>
      <c r="H19" s="1"/>
      <c r="I19" s="2">
        <v>-506323.58</v>
      </c>
      <c r="J19" s="2">
        <v>0</v>
      </c>
      <c r="K19" t="s">
        <v>173</v>
      </c>
      <c r="L19" t="s">
        <v>1</v>
      </c>
      <c r="M19" t="s">
        <v>1</v>
      </c>
      <c r="N19" s="2">
        <v>-506323.58</v>
      </c>
      <c r="O19" t="str">
        <f>IFERROR(VLOOKUP($A19,Accounts!$A:$G,3,FALSE),"")</f>
        <v/>
      </c>
      <c r="P19" s="11"/>
      <c r="R19" s="15">
        <v>8530</v>
      </c>
      <c r="S19" s="24">
        <f>'Summary Interco'!M24</f>
        <v>0</v>
      </c>
      <c r="U19" s="13"/>
      <c r="V19" s="13"/>
    </row>
    <row r="20" spans="1:23" outlineLevel="2" x14ac:dyDescent="0.2">
      <c r="A20" t="str">
        <f t="shared" si="0"/>
        <v>600000025-509464.2</v>
      </c>
      <c r="B20" t="s">
        <v>0</v>
      </c>
      <c r="C20" t="s">
        <v>1</v>
      </c>
      <c r="D20" t="s">
        <v>169</v>
      </c>
      <c r="E20" t="s">
        <v>668</v>
      </c>
      <c r="F20" s="1">
        <v>37894</v>
      </c>
      <c r="G20" t="s">
        <v>1</v>
      </c>
      <c r="H20" s="1"/>
      <c r="I20" s="2">
        <v>-509464.2</v>
      </c>
      <c r="J20" s="2">
        <v>0</v>
      </c>
      <c r="K20" t="s">
        <v>173</v>
      </c>
      <c r="L20" t="s">
        <v>1</v>
      </c>
      <c r="M20" t="s">
        <v>1</v>
      </c>
      <c r="N20" s="2">
        <v>-509464.2</v>
      </c>
      <c r="O20" t="str">
        <f>IFERROR(VLOOKUP($A20,Accounts!$A:$G,3,FALSE),"")</f>
        <v/>
      </c>
      <c r="P20" s="11"/>
      <c r="R20" s="15">
        <v>6799</v>
      </c>
      <c r="S20" s="24">
        <f>'Summary Interco'!M25</f>
        <v>0</v>
      </c>
    </row>
    <row r="21" spans="1:23" outlineLevel="2" x14ac:dyDescent="0.2">
      <c r="A21" t="str">
        <f t="shared" si="0"/>
        <v>600000021234675.07</v>
      </c>
      <c r="B21" t="s">
        <v>0</v>
      </c>
      <c r="C21" t="s">
        <v>1</v>
      </c>
      <c r="D21" t="s">
        <v>169</v>
      </c>
      <c r="E21" t="s">
        <v>669</v>
      </c>
      <c r="F21" s="1">
        <v>37864</v>
      </c>
      <c r="G21" t="s">
        <v>1</v>
      </c>
      <c r="H21" s="1"/>
      <c r="I21" s="2">
        <v>234675.07</v>
      </c>
      <c r="J21" s="2">
        <v>0</v>
      </c>
      <c r="K21" t="s">
        <v>173</v>
      </c>
      <c r="L21" t="s">
        <v>1</v>
      </c>
      <c r="M21" t="s">
        <v>1</v>
      </c>
      <c r="N21" s="2">
        <v>234675.07</v>
      </c>
      <c r="O21" t="str">
        <f>IFERROR(VLOOKUP($A21,Accounts!$A:$G,3,FALSE),"")</f>
        <v/>
      </c>
      <c r="P21" s="11"/>
      <c r="R21" s="15">
        <v>903</v>
      </c>
      <c r="S21" s="24">
        <f>'Summary Interco'!M26</f>
        <v>0</v>
      </c>
      <c r="U21" s="13"/>
      <c r="V21" s="13"/>
      <c r="W21" s="13"/>
    </row>
    <row r="22" spans="1:23" outlineLevel="2" x14ac:dyDescent="0.2">
      <c r="A22" t="str">
        <f t="shared" si="0"/>
        <v>600000018463556.94</v>
      </c>
      <c r="B22" t="s">
        <v>0</v>
      </c>
      <c r="C22" t="s">
        <v>1</v>
      </c>
      <c r="D22" t="s">
        <v>169</v>
      </c>
      <c r="E22" t="s">
        <v>660</v>
      </c>
      <c r="F22" s="1">
        <v>37833</v>
      </c>
      <c r="G22" t="s">
        <v>1</v>
      </c>
      <c r="H22" s="1"/>
      <c r="I22" s="2">
        <v>463556.94</v>
      </c>
      <c r="J22" s="2">
        <v>0</v>
      </c>
      <c r="K22" t="s">
        <v>173</v>
      </c>
      <c r="L22" t="s">
        <v>1</v>
      </c>
      <c r="M22" t="s">
        <v>1</v>
      </c>
      <c r="N22" s="2">
        <v>463556.94</v>
      </c>
      <c r="O22" t="str">
        <f>IFERROR(VLOOKUP($A22,Accounts!$A:$G,3,FALSE),"")</f>
        <v/>
      </c>
      <c r="P22" s="11"/>
      <c r="R22" s="15">
        <v>402</v>
      </c>
      <c r="S22" s="24">
        <f>'Summary Interco'!M27</f>
        <v>0</v>
      </c>
    </row>
    <row r="23" spans="1:23" outlineLevel="2" x14ac:dyDescent="0.2">
      <c r="A23" t="str">
        <f t="shared" si="0"/>
        <v>600000015449399.2</v>
      </c>
      <c r="B23" t="s">
        <v>0</v>
      </c>
      <c r="C23" t="s">
        <v>1</v>
      </c>
      <c r="D23" t="s">
        <v>169</v>
      </c>
      <c r="E23" t="s">
        <v>472</v>
      </c>
      <c r="F23" s="1">
        <v>37802</v>
      </c>
      <c r="G23" t="s">
        <v>1</v>
      </c>
      <c r="H23" s="1"/>
      <c r="I23" s="2">
        <v>449399.2</v>
      </c>
      <c r="J23" s="2">
        <v>0</v>
      </c>
      <c r="K23" t="s">
        <v>173</v>
      </c>
      <c r="L23" t="s">
        <v>1</v>
      </c>
      <c r="M23" t="s">
        <v>1</v>
      </c>
      <c r="N23" s="2">
        <v>449399.2</v>
      </c>
      <c r="O23" t="str">
        <f>IFERROR(VLOOKUP($A23,Accounts!$A:$G,3,FALSE),"")</f>
        <v/>
      </c>
      <c r="P23" s="11"/>
      <c r="R23" s="14">
        <v>8913</v>
      </c>
      <c r="S23" s="24">
        <f>'Summary Interco'!M28</f>
        <v>29852.790000000037</v>
      </c>
      <c r="U23" s="13"/>
    </row>
    <row r="24" spans="1:23" outlineLevel="2" x14ac:dyDescent="0.2">
      <c r="A24" t="str">
        <f t="shared" si="0"/>
        <v>600000012-11135.57</v>
      </c>
      <c r="B24" t="s">
        <v>0</v>
      </c>
      <c r="C24" t="s">
        <v>1</v>
      </c>
      <c r="D24" t="s">
        <v>169</v>
      </c>
      <c r="E24" t="s">
        <v>662</v>
      </c>
      <c r="F24" s="1">
        <v>37772</v>
      </c>
      <c r="G24" t="s">
        <v>1</v>
      </c>
      <c r="H24" s="1"/>
      <c r="I24" s="2">
        <v>-11135.57</v>
      </c>
      <c r="J24" s="2">
        <v>0</v>
      </c>
      <c r="K24" t="s">
        <v>173</v>
      </c>
      <c r="L24" t="s">
        <v>1</v>
      </c>
      <c r="M24" t="s">
        <v>1</v>
      </c>
      <c r="N24" s="2">
        <v>-11135.57</v>
      </c>
      <c r="O24" t="str">
        <f>IFERROR(VLOOKUP($A24,Accounts!$A:$G,3,FALSE),"")</f>
        <v/>
      </c>
      <c r="P24" s="11"/>
      <c r="R24" s="15">
        <v>7032</v>
      </c>
      <c r="S24" s="24">
        <f>'Summary Interco'!M29</f>
        <v>0</v>
      </c>
    </row>
    <row r="25" spans="1:23" outlineLevel="2" x14ac:dyDescent="0.2">
      <c r="A25" t="str">
        <f t="shared" si="0"/>
        <v>600000009243983.61</v>
      </c>
      <c r="B25" t="s">
        <v>0</v>
      </c>
      <c r="C25" t="s">
        <v>1</v>
      </c>
      <c r="D25" t="s">
        <v>169</v>
      </c>
      <c r="E25" t="s">
        <v>670</v>
      </c>
      <c r="F25" s="1">
        <v>37741</v>
      </c>
      <c r="G25" t="s">
        <v>1</v>
      </c>
      <c r="H25" s="1"/>
      <c r="I25" s="2">
        <v>243983.61</v>
      </c>
      <c r="J25" s="2">
        <v>0</v>
      </c>
      <c r="K25" t="s">
        <v>173</v>
      </c>
      <c r="L25" t="s">
        <v>1</v>
      </c>
      <c r="M25" t="s">
        <v>1</v>
      </c>
      <c r="N25" s="2">
        <v>243983.61</v>
      </c>
      <c r="O25" t="str">
        <f>IFERROR(VLOOKUP($A25,Accounts!$A:$G,3,FALSE),"")</f>
        <v/>
      </c>
      <c r="P25" s="11"/>
      <c r="R25" s="14">
        <v>8639</v>
      </c>
      <c r="S25" s="24">
        <f>'Summary Interco'!M30</f>
        <v>0</v>
      </c>
    </row>
    <row r="26" spans="1:23" outlineLevel="2" x14ac:dyDescent="0.2">
      <c r="A26" t="str">
        <f t="shared" si="0"/>
        <v>600000006-8122.3</v>
      </c>
      <c r="B26" t="s">
        <v>0</v>
      </c>
      <c r="C26" t="s">
        <v>1</v>
      </c>
      <c r="D26" t="s">
        <v>169</v>
      </c>
      <c r="E26" t="s">
        <v>671</v>
      </c>
      <c r="F26" s="1">
        <v>37711</v>
      </c>
      <c r="G26" t="s">
        <v>1</v>
      </c>
      <c r="H26" s="1"/>
      <c r="I26" s="2">
        <v>-8122.3</v>
      </c>
      <c r="J26" s="2">
        <v>0</v>
      </c>
      <c r="K26" t="s">
        <v>173</v>
      </c>
      <c r="L26" t="s">
        <v>1</v>
      </c>
      <c r="M26" t="s">
        <v>1</v>
      </c>
      <c r="N26" s="2">
        <v>-8122.3</v>
      </c>
      <c r="O26" t="str">
        <f>IFERROR(VLOOKUP($A26,Accounts!$A:$G,3,FALSE),"")</f>
        <v/>
      </c>
      <c r="P26" s="10"/>
      <c r="R26" s="15">
        <v>8640</v>
      </c>
      <c r="S26" s="24">
        <f>'Summary Interco'!M31</f>
        <v>0</v>
      </c>
    </row>
    <row r="27" spans="1:23" outlineLevel="2" x14ac:dyDescent="0.2">
      <c r="A27" t="str">
        <f t="shared" si="0"/>
        <v>60000000317256.64</v>
      </c>
      <c r="B27" t="s">
        <v>0</v>
      </c>
      <c r="C27" t="s">
        <v>1</v>
      </c>
      <c r="D27" t="s">
        <v>169</v>
      </c>
      <c r="E27" t="s">
        <v>174</v>
      </c>
      <c r="F27" s="1">
        <v>37680</v>
      </c>
      <c r="G27" t="s">
        <v>1</v>
      </c>
      <c r="H27" s="1"/>
      <c r="I27" s="2">
        <v>17256.64</v>
      </c>
      <c r="J27" s="2">
        <v>0</v>
      </c>
      <c r="K27" t="s">
        <v>173</v>
      </c>
      <c r="L27" t="s">
        <v>1</v>
      </c>
      <c r="M27" t="s">
        <v>1</v>
      </c>
      <c r="N27" s="2">
        <v>17256.64</v>
      </c>
      <c r="O27" t="str">
        <f>IFERROR(VLOOKUP($A27,Accounts!$A:$G,3,FALSE),"")</f>
        <v/>
      </c>
      <c r="P27" s="11"/>
      <c r="R27" s="14">
        <v>6283</v>
      </c>
      <c r="S27" s="24">
        <f>'Summary Interco'!M32</f>
        <v>0</v>
      </c>
      <c r="U27" s="13"/>
    </row>
    <row r="28" spans="1:23" outlineLevel="2" x14ac:dyDescent="0.2">
      <c r="A28" t="str">
        <f t="shared" si="0"/>
        <v>6000000011784.98</v>
      </c>
      <c r="B28" t="s">
        <v>0</v>
      </c>
      <c r="C28" t="s">
        <v>1</v>
      </c>
      <c r="D28" t="s">
        <v>169</v>
      </c>
      <c r="E28" t="s">
        <v>664</v>
      </c>
      <c r="F28" s="1">
        <v>37652</v>
      </c>
      <c r="G28" t="s">
        <v>1</v>
      </c>
      <c r="H28" s="1"/>
      <c r="I28" s="2">
        <v>1784.98</v>
      </c>
      <c r="J28" s="2">
        <v>0</v>
      </c>
      <c r="K28" t="s">
        <v>173</v>
      </c>
      <c r="L28" t="s">
        <v>1</v>
      </c>
      <c r="M28" t="s">
        <v>1</v>
      </c>
      <c r="N28" s="2">
        <v>1784.98</v>
      </c>
      <c r="O28" t="str">
        <f>IFERROR(VLOOKUP($A28,Accounts!$A:$G,3,FALSE),"")</f>
        <v/>
      </c>
      <c r="P28" s="11"/>
      <c r="R28" s="15">
        <v>149</v>
      </c>
      <c r="S28" s="24">
        <f>'Summary Interco'!M33</f>
        <v>0</v>
      </c>
      <c r="U28" s="13"/>
    </row>
    <row r="29" spans="1:23" outlineLevel="2" x14ac:dyDescent="0.2">
      <c r="A29" t="str">
        <f t="shared" si="0"/>
        <v>60000000540480.52</v>
      </c>
      <c r="B29" t="s">
        <v>0</v>
      </c>
      <c r="C29" t="s">
        <v>1</v>
      </c>
      <c r="D29" t="s">
        <v>169</v>
      </c>
      <c r="E29" t="s">
        <v>175</v>
      </c>
      <c r="F29" s="1">
        <v>37621</v>
      </c>
      <c r="G29" t="s">
        <v>1</v>
      </c>
      <c r="H29" s="1"/>
      <c r="I29" s="2">
        <v>40480.519999999997</v>
      </c>
      <c r="J29" s="2">
        <v>0</v>
      </c>
      <c r="K29" t="s">
        <v>176</v>
      </c>
      <c r="L29" t="s">
        <v>1</v>
      </c>
      <c r="M29" t="s">
        <v>1</v>
      </c>
      <c r="N29" s="2">
        <v>40480.519999999997</v>
      </c>
      <c r="O29" t="str">
        <f>IFERROR(VLOOKUP($A29,Accounts!$A:$G,3,FALSE),"")</f>
        <v/>
      </c>
      <c r="P29" s="11"/>
      <c r="R29" s="14">
        <v>6798</v>
      </c>
      <c r="S29" s="24">
        <f>'Summary Interco'!M34</f>
        <v>0</v>
      </c>
    </row>
    <row r="30" spans="1:23" outlineLevel="2" x14ac:dyDescent="0.2">
      <c r="A30" t="str">
        <f t="shared" si="0"/>
        <v>602197-8773.16</v>
      </c>
      <c r="B30" t="s">
        <v>0</v>
      </c>
      <c r="C30" t="s">
        <v>1</v>
      </c>
      <c r="D30" t="s">
        <v>95</v>
      </c>
      <c r="E30" t="s">
        <v>96</v>
      </c>
      <c r="F30" s="1">
        <v>39223</v>
      </c>
      <c r="G30" t="s">
        <v>1</v>
      </c>
      <c r="H30" s="1"/>
      <c r="I30" s="2">
        <v>-8773.16</v>
      </c>
      <c r="J30" s="2">
        <v>0</v>
      </c>
      <c r="K30" t="s">
        <v>177</v>
      </c>
      <c r="L30" t="s">
        <v>1</v>
      </c>
      <c r="M30" t="s">
        <v>1</v>
      </c>
      <c r="N30" s="2">
        <v>-8773.16</v>
      </c>
      <c r="O30" t="str">
        <f>IFERROR(VLOOKUP($A30,Accounts!$A:$G,3,FALSE),"")</f>
        <v/>
      </c>
      <c r="P30" s="11"/>
      <c r="R30">
        <v>142</v>
      </c>
      <c r="S30" s="24">
        <f>'Summary Interco'!M35</f>
        <v>0</v>
      </c>
    </row>
    <row r="31" spans="1:23" outlineLevel="2" x14ac:dyDescent="0.2">
      <c r="A31" t="str">
        <f t="shared" si="0"/>
        <v>602197-3524.39</v>
      </c>
      <c r="B31" t="s">
        <v>0</v>
      </c>
      <c r="C31" t="s">
        <v>1</v>
      </c>
      <c r="D31" t="s">
        <v>95</v>
      </c>
      <c r="E31" t="s">
        <v>96</v>
      </c>
      <c r="F31" s="1">
        <v>39223</v>
      </c>
      <c r="G31" t="s">
        <v>1</v>
      </c>
      <c r="H31" s="1"/>
      <c r="I31" s="2">
        <v>-3524.39</v>
      </c>
      <c r="J31" s="2">
        <v>0</v>
      </c>
      <c r="K31" t="s">
        <v>177</v>
      </c>
      <c r="L31" t="s">
        <v>1</v>
      </c>
      <c r="M31" t="s">
        <v>1</v>
      </c>
      <c r="N31" s="2">
        <v>-3524.39</v>
      </c>
      <c r="O31" t="str">
        <f>IFERROR(VLOOKUP($A31,Accounts!$A:$G,3,FALSE),"")</f>
        <v/>
      </c>
      <c r="P31" s="11"/>
      <c r="R31">
        <v>210</v>
      </c>
      <c r="S31" s="24">
        <f>'Summary Interco'!M36</f>
        <v>0</v>
      </c>
    </row>
    <row r="32" spans="1:23" outlineLevel="2" x14ac:dyDescent="0.2">
      <c r="A32" t="str">
        <f t="shared" si="0"/>
        <v>602197-16835.48</v>
      </c>
      <c r="B32" t="s">
        <v>0</v>
      </c>
      <c r="C32" t="s">
        <v>1</v>
      </c>
      <c r="D32" t="s">
        <v>95</v>
      </c>
      <c r="E32" t="s">
        <v>96</v>
      </c>
      <c r="F32" s="1">
        <v>39223</v>
      </c>
      <c r="G32" t="s">
        <v>1</v>
      </c>
      <c r="H32" s="1"/>
      <c r="I32" s="2">
        <v>-16835.48</v>
      </c>
      <c r="J32" s="2">
        <v>0</v>
      </c>
      <c r="K32" t="s">
        <v>177</v>
      </c>
      <c r="L32" t="s">
        <v>1</v>
      </c>
      <c r="M32" t="s">
        <v>1</v>
      </c>
      <c r="N32" s="2">
        <v>-16835.48</v>
      </c>
      <c r="O32" t="str">
        <f>IFERROR(VLOOKUP($A32,Accounts!$A:$G,3,FALSE),"")</f>
        <v/>
      </c>
      <c r="P32" s="11"/>
      <c r="R32">
        <v>298</v>
      </c>
      <c r="S32" s="24">
        <f>'Summary Interco'!M37</f>
        <v>0</v>
      </c>
    </row>
    <row r="33" spans="1:19" outlineLevel="2" x14ac:dyDescent="0.2">
      <c r="A33" t="str">
        <f t="shared" si="0"/>
        <v>602197-123538.82</v>
      </c>
      <c r="B33" t="s">
        <v>0</v>
      </c>
      <c r="C33" t="s">
        <v>1</v>
      </c>
      <c r="D33" t="s">
        <v>95</v>
      </c>
      <c r="E33" t="s">
        <v>96</v>
      </c>
      <c r="F33" s="1">
        <v>39223</v>
      </c>
      <c r="G33" t="s">
        <v>1</v>
      </c>
      <c r="H33" s="1"/>
      <c r="I33" s="2">
        <v>-123538.82</v>
      </c>
      <c r="J33" s="2">
        <v>0</v>
      </c>
      <c r="K33" t="s">
        <v>177</v>
      </c>
      <c r="L33" t="s">
        <v>1</v>
      </c>
      <c r="M33" t="s">
        <v>1</v>
      </c>
      <c r="N33" s="2">
        <v>-123538.82</v>
      </c>
      <c r="O33" t="str">
        <f>IFERROR(VLOOKUP($A33,Accounts!$A:$G,3,FALSE),"")</f>
        <v/>
      </c>
      <c r="P33" s="11"/>
      <c r="R33">
        <v>8963</v>
      </c>
      <c r="S33" s="24">
        <f>'Summary Interco'!M38</f>
        <v>0</v>
      </c>
    </row>
    <row r="34" spans="1:19" outlineLevel="2" x14ac:dyDescent="0.2">
      <c r="A34" t="str">
        <f t="shared" si="0"/>
        <v>602197-133383.18</v>
      </c>
      <c r="B34" t="s">
        <v>0</v>
      </c>
      <c r="C34" t="s">
        <v>1</v>
      </c>
      <c r="D34" t="s">
        <v>95</v>
      </c>
      <c r="E34" t="s">
        <v>96</v>
      </c>
      <c r="F34" s="1">
        <v>39223</v>
      </c>
      <c r="G34" t="s">
        <v>1</v>
      </c>
      <c r="H34" s="1"/>
      <c r="I34" s="2">
        <v>-133383.18</v>
      </c>
      <c r="J34" s="2">
        <v>0</v>
      </c>
      <c r="K34" t="s">
        <v>177</v>
      </c>
      <c r="L34" t="s">
        <v>1</v>
      </c>
      <c r="M34" t="s">
        <v>1</v>
      </c>
      <c r="N34" s="2">
        <v>-133383.18</v>
      </c>
      <c r="O34" t="str">
        <f>IFERROR(VLOOKUP($A34,Accounts!$A:$G,3,FALSE),"")</f>
        <v/>
      </c>
      <c r="P34" s="11"/>
      <c r="R34">
        <v>7266</v>
      </c>
      <c r="S34" s="24">
        <f>'Summary Interco'!M39</f>
        <v>0</v>
      </c>
    </row>
    <row r="35" spans="1:19" outlineLevel="2" x14ac:dyDescent="0.2">
      <c r="A35" t="str">
        <f t="shared" si="0"/>
        <v>602197-15916.8</v>
      </c>
      <c r="B35" t="s">
        <v>0</v>
      </c>
      <c r="C35" t="s">
        <v>1</v>
      </c>
      <c r="D35" t="s">
        <v>95</v>
      </c>
      <c r="E35" t="s">
        <v>96</v>
      </c>
      <c r="F35" s="1">
        <v>39223</v>
      </c>
      <c r="G35" t="s">
        <v>1</v>
      </c>
      <c r="H35" s="1"/>
      <c r="I35" s="2">
        <v>-15916.8</v>
      </c>
      <c r="J35" s="2">
        <v>0</v>
      </c>
      <c r="K35" t="s">
        <v>177</v>
      </c>
      <c r="L35" t="s">
        <v>1</v>
      </c>
      <c r="M35" t="s">
        <v>1</v>
      </c>
      <c r="N35" s="2">
        <v>-15916.8</v>
      </c>
      <c r="O35" t="str">
        <f>IFERROR(VLOOKUP($A35,Accounts!$A:$G,3,FALSE),"")</f>
        <v/>
      </c>
      <c r="P35" s="11"/>
      <c r="R35">
        <v>8309</v>
      </c>
      <c r="S35" s="24">
        <f>'Summary Interco'!M40</f>
        <v>0</v>
      </c>
    </row>
    <row r="36" spans="1:19" outlineLevel="2" x14ac:dyDescent="0.2">
      <c r="A36" t="str">
        <f t="shared" si="0"/>
        <v>650926-237757.7</v>
      </c>
      <c r="B36" t="s">
        <v>0</v>
      </c>
      <c r="C36" t="s">
        <v>1</v>
      </c>
      <c r="D36" t="s">
        <v>178</v>
      </c>
      <c r="E36" t="s">
        <v>672</v>
      </c>
      <c r="F36" s="1">
        <v>38199</v>
      </c>
      <c r="G36" t="s">
        <v>1</v>
      </c>
      <c r="H36" s="1"/>
      <c r="I36" s="2">
        <v>-237757.7</v>
      </c>
      <c r="J36" s="2">
        <v>0</v>
      </c>
      <c r="K36" t="s">
        <v>171</v>
      </c>
      <c r="L36" t="s">
        <v>1</v>
      </c>
      <c r="M36" t="s">
        <v>1</v>
      </c>
      <c r="N36" s="2">
        <v>-237757.7</v>
      </c>
      <c r="O36" t="str">
        <f>IFERROR(VLOOKUP($A36,Accounts!$A:$G,3,FALSE),"")</f>
        <v/>
      </c>
      <c r="P36" s="11"/>
      <c r="R36">
        <v>8693</v>
      </c>
      <c r="S36" s="24">
        <f>'Summary Interco'!M41</f>
        <v>0</v>
      </c>
    </row>
    <row r="37" spans="1:19" outlineLevel="2" x14ac:dyDescent="0.2">
      <c r="A37" t="str">
        <f t="shared" si="0"/>
        <v>650924-227040.11</v>
      </c>
      <c r="B37" t="s">
        <v>0</v>
      </c>
      <c r="C37" t="s">
        <v>1</v>
      </c>
      <c r="D37" t="s">
        <v>178</v>
      </c>
      <c r="E37" t="s">
        <v>673</v>
      </c>
      <c r="F37" s="1">
        <v>38199</v>
      </c>
      <c r="G37" t="s">
        <v>1</v>
      </c>
      <c r="H37" s="1"/>
      <c r="I37" s="2">
        <v>-227040.11</v>
      </c>
      <c r="J37" s="2">
        <v>0</v>
      </c>
      <c r="K37" t="s">
        <v>171</v>
      </c>
      <c r="L37" t="s">
        <v>1</v>
      </c>
      <c r="M37" t="s">
        <v>1</v>
      </c>
      <c r="N37" s="2">
        <v>-227040.11</v>
      </c>
      <c r="O37" t="str">
        <f>IFERROR(VLOOKUP($A37,Accounts!$A:$G,3,FALSE),"")</f>
        <v/>
      </c>
      <c r="P37" s="11"/>
      <c r="R37">
        <v>443</v>
      </c>
      <c r="S37" s="24">
        <f>'Summary Interco'!M42</f>
        <v>0</v>
      </c>
    </row>
    <row r="38" spans="1:19" outlineLevel="2" x14ac:dyDescent="0.2">
      <c r="A38" t="str">
        <f t="shared" si="0"/>
        <v>650924-38976.96</v>
      </c>
      <c r="B38" t="s">
        <v>0</v>
      </c>
      <c r="C38" t="s">
        <v>1</v>
      </c>
      <c r="D38" t="s">
        <v>178</v>
      </c>
      <c r="E38" t="s">
        <v>673</v>
      </c>
      <c r="F38" s="1">
        <v>38199</v>
      </c>
      <c r="G38" t="s">
        <v>1</v>
      </c>
      <c r="H38" s="1"/>
      <c r="I38" s="2">
        <v>-38976.959999999999</v>
      </c>
      <c r="J38" s="2">
        <v>0</v>
      </c>
      <c r="K38" t="s">
        <v>171</v>
      </c>
      <c r="L38" t="s">
        <v>1</v>
      </c>
      <c r="M38" t="s">
        <v>1</v>
      </c>
      <c r="N38" s="2">
        <v>-38976.959999999999</v>
      </c>
      <c r="O38" t="str">
        <f>IFERROR(VLOOKUP($A38,Accounts!$A:$G,3,FALSE),"")</f>
        <v/>
      </c>
      <c r="P38" s="11"/>
      <c r="R38">
        <v>449</v>
      </c>
      <c r="S38" s="24">
        <f>'Summary Interco'!M43</f>
        <v>0</v>
      </c>
    </row>
    <row r="39" spans="1:19" outlineLevel="2" x14ac:dyDescent="0.2">
      <c r="A39" t="str">
        <f t="shared" si="0"/>
        <v>650924-6581.78</v>
      </c>
      <c r="B39" t="s">
        <v>0</v>
      </c>
      <c r="C39" t="s">
        <v>1</v>
      </c>
      <c r="D39" t="s">
        <v>178</v>
      </c>
      <c r="E39" t="s">
        <v>673</v>
      </c>
      <c r="F39" s="1">
        <v>38199</v>
      </c>
      <c r="G39" t="s">
        <v>1</v>
      </c>
      <c r="H39" s="1"/>
      <c r="I39" s="2">
        <v>-6581.78</v>
      </c>
      <c r="J39" s="2">
        <v>0</v>
      </c>
      <c r="K39" t="s">
        <v>171</v>
      </c>
      <c r="L39" t="s">
        <v>1</v>
      </c>
      <c r="M39" t="s">
        <v>1</v>
      </c>
      <c r="N39" s="2">
        <v>-6581.78</v>
      </c>
      <c r="O39" t="str">
        <f>IFERROR(VLOOKUP($A39,Accounts!$A:$G,3,FALSE),"")</f>
        <v/>
      </c>
      <c r="P39" s="10"/>
      <c r="R39" s="12">
        <v>95</v>
      </c>
      <c r="S39" s="24">
        <f>'Summary Interco'!M44</f>
        <v>0</v>
      </c>
    </row>
    <row r="40" spans="1:19" outlineLevel="2" x14ac:dyDescent="0.2">
      <c r="A40" t="str">
        <f t="shared" si="0"/>
        <v>650924274179.99</v>
      </c>
      <c r="B40" t="s">
        <v>0</v>
      </c>
      <c r="C40" t="s">
        <v>1</v>
      </c>
      <c r="D40" t="s">
        <v>178</v>
      </c>
      <c r="E40" t="s">
        <v>673</v>
      </c>
      <c r="F40" s="1">
        <v>38199</v>
      </c>
      <c r="G40" t="s">
        <v>1</v>
      </c>
      <c r="H40" s="1"/>
      <c r="I40" s="2">
        <v>274179.99</v>
      </c>
      <c r="J40" s="2">
        <v>0</v>
      </c>
      <c r="K40" t="s">
        <v>171</v>
      </c>
      <c r="L40" t="s">
        <v>1</v>
      </c>
      <c r="M40" t="s">
        <v>1</v>
      </c>
      <c r="N40" s="2">
        <v>274179.99</v>
      </c>
      <c r="O40" t="str">
        <f>IFERROR(VLOOKUP($A40,Accounts!$A:$G,3,FALSE),"")</f>
        <v/>
      </c>
      <c r="R40" s="12">
        <v>296</v>
      </c>
      <c r="S40" s="24">
        <f>'Summary Interco'!M45</f>
        <v>0</v>
      </c>
    </row>
    <row r="41" spans="1:19" outlineLevel="2" x14ac:dyDescent="0.2">
      <c r="A41" t="str">
        <f t="shared" si="0"/>
        <v>650924-1581.14</v>
      </c>
      <c r="B41" t="s">
        <v>0</v>
      </c>
      <c r="C41" t="s">
        <v>1</v>
      </c>
      <c r="D41" t="s">
        <v>178</v>
      </c>
      <c r="E41" t="s">
        <v>673</v>
      </c>
      <c r="F41" s="1">
        <v>38199</v>
      </c>
      <c r="G41" t="s">
        <v>1</v>
      </c>
      <c r="H41" s="1"/>
      <c r="I41" s="2">
        <v>-1581.14</v>
      </c>
      <c r="J41" s="2">
        <v>0</v>
      </c>
      <c r="K41" t="s">
        <v>171</v>
      </c>
      <c r="L41" t="s">
        <v>1</v>
      </c>
      <c r="M41" t="s">
        <v>1</v>
      </c>
      <c r="N41" s="2">
        <v>-1581.14</v>
      </c>
      <c r="O41" t="str">
        <f>IFERROR(VLOOKUP($A41,Accounts!$A:$G,3,FALSE),"")</f>
        <v/>
      </c>
      <c r="R41" s="12">
        <v>535</v>
      </c>
      <c r="S41" s="24">
        <f>'Summary Interco'!M46</f>
        <v>0</v>
      </c>
    </row>
    <row r="42" spans="1:19" outlineLevel="2" x14ac:dyDescent="0.2">
      <c r="A42" t="str">
        <f t="shared" si="0"/>
        <v>65094044703.89</v>
      </c>
      <c r="B42" t="s">
        <v>0</v>
      </c>
      <c r="C42" t="s">
        <v>1</v>
      </c>
      <c r="D42" t="s">
        <v>178</v>
      </c>
      <c r="E42" t="s">
        <v>674</v>
      </c>
      <c r="F42" s="1">
        <v>38199</v>
      </c>
      <c r="G42" t="s">
        <v>1</v>
      </c>
      <c r="H42" s="1"/>
      <c r="I42" s="2">
        <v>44703.89</v>
      </c>
      <c r="J42" s="2">
        <v>0</v>
      </c>
      <c r="K42" t="s">
        <v>171</v>
      </c>
      <c r="L42" t="s">
        <v>1</v>
      </c>
      <c r="M42" t="s">
        <v>1</v>
      </c>
      <c r="N42" s="2">
        <v>44703.89</v>
      </c>
      <c r="O42" t="str">
        <f>IFERROR(VLOOKUP($A42,Accounts!$A:$G,3,FALSE),"")</f>
        <v/>
      </c>
      <c r="R42" s="12">
        <v>6272</v>
      </c>
      <c r="S42" s="24">
        <f>'Summary Interco'!M47</f>
        <v>0</v>
      </c>
    </row>
    <row r="43" spans="1:19" outlineLevel="2" x14ac:dyDescent="0.2">
      <c r="A43" t="str">
        <f t="shared" si="0"/>
        <v>6509232012543.4</v>
      </c>
      <c r="B43" t="s">
        <v>0</v>
      </c>
      <c r="C43" t="s">
        <v>1</v>
      </c>
      <c r="D43" t="s">
        <v>178</v>
      </c>
      <c r="E43" t="s">
        <v>675</v>
      </c>
      <c r="F43" s="1">
        <v>38199</v>
      </c>
      <c r="G43" t="s">
        <v>1</v>
      </c>
      <c r="H43" s="1"/>
      <c r="I43" s="2">
        <v>2012543.4</v>
      </c>
      <c r="J43" s="2">
        <v>0</v>
      </c>
      <c r="K43" t="s">
        <v>171</v>
      </c>
      <c r="L43" t="s">
        <v>1</v>
      </c>
      <c r="M43" t="s">
        <v>1</v>
      </c>
      <c r="N43" s="2">
        <v>2012543.4</v>
      </c>
      <c r="O43" t="str">
        <f>IFERROR(VLOOKUP($A43,Accounts!$A:$G,3,FALSE),"")</f>
        <v/>
      </c>
      <c r="R43" s="12">
        <v>6344</v>
      </c>
      <c r="S43" s="24">
        <f>'Summary Interco'!M48</f>
        <v>0</v>
      </c>
    </row>
    <row r="44" spans="1:19" outlineLevel="2" x14ac:dyDescent="0.2">
      <c r="A44" t="str">
        <f t="shared" si="0"/>
        <v>650923-1576995.8</v>
      </c>
      <c r="B44" t="s">
        <v>0</v>
      </c>
      <c r="C44" t="s">
        <v>1</v>
      </c>
      <c r="D44" t="s">
        <v>178</v>
      </c>
      <c r="E44" t="s">
        <v>675</v>
      </c>
      <c r="F44" s="1">
        <v>38199</v>
      </c>
      <c r="G44" t="s">
        <v>1</v>
      </c>
      <c r="H44" s="1"/>
      <c r="I44" s="2">
        <v>-1576995.8</v>
      </c>
      <c r="J44" s="2">
        <v>0</v>
      </c>
      <c r="K44" t="s">
        <v>171</v>
      </c>
      <c r="L44" t="s">
        <v>1</v>
      </c>
      <c r="M44" t="s">
        <v>1</v>
      </c>
      <c r="N44" s="2">
        <v>-1576995.8</v>
      </c>
      <c r="O44" t="str">
        <f>IFERROR(VLOOKUP($A44,Accounts!$A:$G,3,FALSE),"")</f>
        <v/>
      </c>
      <c r="R44" s="12">
        <v>6901</v>
      </c>
      <c r="S44" s="24">
        <f>'Summary Interco'!M49</f>
        <v>0</v>
      </c>
    </row>
    <row r="45" spans="1:19" outlineLevel="2" x14ac:dyDescent="0.2">
      <c r="A45" t="str">
        <f t="shared" si="0"/>
        <v>650923-279239.39</v>
      </c>
      <c r="B45" t="s">
        <v>0</v>
      </c>
      <c r="C45" t="s">
        <v>1</v>
      </c>
      <c r="D45" t="s">
        <v>178</v>
      </c>
      <c r="E45" t="s">
        <v>675</v>
      </c>
      <c r="F45" s="1">
        <v>38199</v>
      </c>
      <c r="G45" t="s">
        <v>1</v>
      </c>
      <c r="H45" s="1"/>
      <c r="I45" s="2">
        <v>-279239.39</v>
      </c>
      <c r="J45" s="2">
        <v>0</v>
      </c>
      <c r="K45" t="s">
        <v>171</v>
      </c>
      <c r="L45" t="s">
        <v>1</v>
      </c>
      <c r="M45" t="s">
        <v>1</v>
      </c>
      <c r="N45" s="2">
        <v>-279239.39</v>
      </c>
      <c r="O45" t="str">
        <f>IFERROR(VLOOKUP($A45,Accounts!$A:$G,3,FALSE),"")</f>
        <v/>
      </c>
      <c r="R45" s="12">
        <v>7044</v>
      </c>
      <c r="S45" s="24">
        <f>'Summary Interco'!M50</f>
        <v>0</v>
      </c>
    </row>
    <row r="46" spans="1:19" outlineLevel="2" x14ac:dyDescent="0.2">
      <c r="A46" t="str">
        <f t="shared" si="0"/>
        <v>650923-94626.06</v>
      </c>
      <c r="B46" t="s">
        <v>0</v>
      </c>
      <c r="C46" t="s">
        <v>1</v>
      </c>
      <c r="D46" t="s">
        <v>178</v>
      </c>
      <c r="E46" t="s">
        <v>675</v>
      </c>
      <c r="F46" s="1">
        <v>38199</v>
      </c>
      <c r="G46" t="s">
        <v>1</v>
      </c>
      <c r="H46" s="1"/>
      <c r="I46" s="2">
        <v>-94626.06</v>
      </c>
      <c r="J46" s="2">
        <v>0</v>
      </c>
      <c r="K46" t="s">
        <v>171</v>
      </c>
      <c r="L46" t="s">
        <v>1</v>
      </c>
      <c r="M46" t="s">
        <v>1</v>
      </c>
      <c r="N46" s="2">
        <v>-94626.06</v>
      </c>
      <c r="O46" t="str">
        <f>IFERROR(VLOOKUP($A46,Accounts!$A:$G,3,FALSE),"")</f>
        <v/>
      </c>
      <c r="R46" s="12">
        <v>7265</v>
      </c>
      <c r="S46" s="24">
        <f>'Summary Interco'!M51</f>
        <v>0</v>
      </c>
    </row>
    <row r="47" spans="1:19" outlineLevel="2" x14ac:dyDescent="0.2">
      <c r="A47" t="str">
        <f t="shared" si="0"/>
        <v>6509402035.29</v>
      </c>
      <c r="B47" t="s">
        <v>0</v>
      </c>
      <c r="C47" t="s">
        <v>1</v>
      </c>
      <c r="D47" t="s">
        <v>178</v>
      </c>
      <c r="E47" t="s">
        <v>674</v>
      </c>
      <c r="F47" s="1">
        <v>38199</v>
      </c>
      <c r="G47" t="s">
        <v>1</v>
      </c>
      <c r="H47" s="1"/>
      <c r="I47" s="2">
        <v>2035.29</v>
      </c>
      <c r="J47" s="2">
        <v>0</v>
      </c>
      <c r="K47" t="s">
        <v>171</v>
      </c>
      <c r="L47" t="s">
        <v>1</v>
      </c>
      <c r="M47" t="s">
        <v>1</v>
      </c>
      <c r="N47" s="2">
        <v>2035.29</v>
      </c>
      <c r="O47" t="str">
        <f>IFERROR(VLOOKUP($A47,Accounts!$A:$G,3,FALSE),"")</f>
        <v/>
      </c>
      <c r="R47" s="12">
        <v>8303</v>
      </c>
      <c r="S47" s="24">
        <f>'Summary Interco'!M52</f>
        <v>0</v>
      </c>
    </row>
    <row r="48" spans="1:19" outlineLevel="2" x14ac:dyDescent="0.2">
      <c r="A48" t="str">
        <f t="shared" si="0"/>
        <v>650938-2035.29</v>
      </c>
      <c r="B48" t="s">
        <v>0</v>
      </c>
      <c r="C48" t="s">
        <v>1</v>
      </c>
      <c r="D48" t="s">
        <v>178</v>
      </c>
      <c r="E48" t="s">
        <v>676</v>
      </c>
      <c r="F48" s="1">
        <v>38199</v>
      </c>
      <c r="G48" t="s">
        <v>1</v>
      </c>
      <c r="H48" s="1"/>
      <c r="I48" s="2">
        <v>-2035.29</v>
      </c>
      <c r="J48" s="2">
        <v>0</v>
      </c>
      <c r="K48" t="s">
        <v>171</v>
      </c>
      <c r="L48" t="s">
        <v>1</v>
      </c>
      <c r="M48" t="s">
        <v>1</v>
      </c>
      <c r="N48" s="2">
        <v>-2035.29</v>
      </c>
      <c r="O48" t="str">
        <f>IFERROR(VLOOKUP($A48,Accounts!$A:$G,3,FALSE),"")</f>
        <v/>
      </c>
      <c r="R48" s="12">
        <v>8311</v>
      </c>
      <c r="S48" s="24">
        <f>'Summary Interco'!M53</f>
        <v>0</v>
      </c>
    </row>
    <row r="49" spans="1:19" outlineLevel="2" x14ac:dyDescent="0.2">
      <c r="A49" t="str">
        <f t="shared" si="0"/>
        <v>650933-17203.11</v>
      </c>
      <c r="B49" t="s">
        <v>0</v>
      </c>
      <c r="C49" t="s">
        <v>1</v>
      </c>
      <c r="D49" t="s">
        <v>178</v>
      </c>
      <c r="E49" t="s">
        <v>677</v>
      </c>
      <c r="F49" s="1">
        <v>38199</v>
      </c>
      <c r="G49" t="s">
        <v>1</v>
      </c>
      <c r="H49" s="1"/>
      <c r="I49" s="2">
        <v>-17203.11</v>
      </c>
      <c r="J49" s="2">
        <v>0</v>
      </c>
      <c r="K49" t="s">
        <v>171</v>
      </c>
      <c r="L49" t="s">
        <v>1</v>
      </c>
      <c r="M49" t="s">
        <v>1</v>
      </c>
      <c r="N49" s="2">
        <v>-17203.11</v>
      </c>
      <c r="O49" t="str">
        <f>IFERROR(VLOOKUP($A49,Accounts!$A:$G,3,FALSE),"")</f>
        <v/>
      </c>
      <c r="R49" s="12">
        <v>8313</v>
      </c>
      <c r="S49" s="24">
        <f>'Summary Interco'!M54</f>
        <v>0</v>
      </c>
    </row>
    <row r="50" spans="1:19" outlineLevel="2" x14ac:dyDescent="0.2">
      <c r="A50" t="str">
        <f t="shared" si="0"/>
        <v>650933-35064.83</v>
      </c>
      <c r="B50" t="s">
        <v>0</v>
      </c>
      <c r="C50" t="s">
        <v>1</v>
      </c>
      <c r="D50" t="s">
        <v>178</v>
      </c>
      <c r="E50" t="s">
        <v>677</v>
      </c>
      <c r="F50" s="1">
        <v>38199</v>
      </c>
      <c r="G50" t="s">
        <v>1</v>
      </c>
      <c r="H50" s="1"/>
      <c r="I50" s="2">
        <v>-35064.83</v>
      </c>
      <c r="J50" s="2">
        <v>0</v>
      </c>
      <c r="K50" t="s">
        <v>171</v>
      </c>
      <c r="L50" t="s">
        <v>1</v>
      </c>
      <c r="M50" t="s">
        <v>1</v>
      </c>
      <c r="N50" s="2">
        <v>-35064.83</v>
      </c>
      <c r="O50" t="str">
        <f>IFERROR(VLOOKUP($A50,Accounts!$A:$G,3,FALSE),"")</f>
        <v/>
      </c>
      <c r="R50" s="12">
        <v>8328</v>
      </c>
      <c r="S50" s="24">
        <f>'Summary Interco'!M55</f>
        <v>0</v>
      </c>
    </row>
    <row r="51" spans="1:19" outlineLevel="2" x14ac:dyDescent="0.2">
      <c r="A51" t="str">
        <f t="shared" si="0"/>
        <v>600000005-3258125.32</v>
      </c>
      <c r="B51" t="s">
        <v>0</v>
      </c>
      <c r="C51" t="s">
        <v>1</v>
      </c>
      <c r="D51" t="s">
        <v>178</v>
      </c>
      <c r="E51" t="s">
        <v>175</v>
      </c>
      <c r="F51" s="1">
        <v>37621</v>
      </c>
      <c r="G51" t="s">
        <v>1</v>
      </c>
      <c r="H51" s="1"/>
      <c r="I51" s="2">
        <v>-3258125.32</v>
      </c>
      <c r="J51" s="2">
        <v>0</v>
      </c>
      <c r="K51" t="s">
        <v>176</v>
      </c>
      <c r="L51" t="s">
        <v>1</v>
      </c>
      <c r="M51" t="s">
        <v>1</v>
      </c>
      <c r="N51" s="2">
        <v>-3258125.32</v>
      </c>
      <c r="O51" t="str">
        <f>IFERROR(VLOOKUP($A51,Accounts!$A:$G,3,FALSE),"")</f>
        <v/>
      </c>
      <c r="R51" s="12">
        <v>8440</v>
      </c>
      <c r="S51" s="24">
        <f>'Summary Interco'!M56</f>
        <v>0</v>
      </c>
    </row>
    <row r="52" spans="1:19" outlineLevel="2" x14ac:dyDescent="0.2">
      <c r="A52" t="str">
        <f t="shared" si="0"/>
        <v>600000001-162129.86</v>
      </c>
      <c r="B52" t="s">
        <v>0</v>
      </c>
      <c r="C52" t="s">
        <v>1</v>
      </c>
      <c r="D52" t="s">
        <v>178</v>
      </c>
      <c r="E52" t="s">
        <v>664</v>
      </c>
      <c r="F52" s="1">
        <v>37652</v>
      </c>
      <c r="G52" t="s">
        <v>1</v>
      </c>
      <c r="H52" s="1"/>
      <c r="I52" s="2">
        <v>-162129.85999999999</v>
      </c>
      <c r="J52" s="2">
        <v>0</v>
      </c>
      <c r="K52" t="s">
        <v>173</v>
      </c>
      <c r="L52" t="s">
        <v>1</v>
      </c>
      <c r="M52" t="s">
        <v>1</v>
      </c>
      <c r="N52" s="2">
        <v>-162129.85999999999</v>
      </c>
      <c r="O52" t="str">
        <f>IFERROR(VLOOKUP($A52,Accounts!$A:$G,3,FALSE),"")</f>
        <v/>
      </c>
      <c r="R52" s="12">
        <v>8675</v>
      </c>
      <c r="S52" s="24">
        <f>'Summary Interco'!M57</f>
        <v>0</v>
      </c>
    </row>
    <row r="53" spans="1:19" outlineLevel="2" x14ac:dyDescent="0.2">
      <c r="A53" t="str">
        <f t="shared" si="0"/>
        <v>600000003-224986.35</v>
      </c>
      <c r="B53" t="s">
        <v>0</v>
      </c>
      <c r="C53" t="s">
        <v>1</v>
      </c>
      <c r="D53" t="s">
        <v>178</v>
      </c>
      <c r="E53" t="s">
        <v>174</v>
      </c>
      <c r="F53" s="1">
        <v>37680</v>
      </c>
      <c r="G53" t="s">
        <v>1</v>
      </c>
      <c r="H53" s="1"/>
      <c r="I53" s="2">
        <v>-224986.35</v>
      </c>
      <c r="J53" s="2">
        <v>0</v>
      </c>
      <c r="K53" t="s">
        <v>173</v>
      </c>
      <c r="L53" t="s">
        <v>1</v>
      </c>
      <c r="M53" t="s">
        <v>1</v>
      </c>
      <c r="N53" s="2">
        <v>-224986.35</v>
      </c>
      <c r="O53" t="str">
        <f>IFERROR(VLOOKUP($A53,Accounts!$A:$G,3,FALSE),"")</f>
        <v/>
      </c>
      <c r="R53" s="12">
        <v>8687</v>
      </c>
      <c r="S53" s="24">
        <f>'Summary Interco'!M58</f>
        <v>0</v>
      </c>
    </row>
    <row r="54" spans="1:19" outlineLevel="2" x14ac:dyDescent="0.2">
      <c r="A54" t="str">
        <f t="shared" si="0"/>
        <v>600000006759934.12</v>
      </c>
      <c r="B54" t="s">
        <v>0</v>
      </c>
      <c r="C54" t="s">
        <v>1</v>
      </c>
      <c r="D54" t="s">
        <v>178</v>
      </c>
      <c r="E54" t="s">
        <v>671</v>
      </c>
      <c r="F54" s="1">
        <v>37711</v>
      </c>
      <c r="G54" t="s">
        <v>1</v>
      </c>
      <c r="H54" s="1"/>
      <c r="I54" s="2">
        <v>759934.12</v>
      </c>
      <c r="J54" s="2">
        <v>0</v>
      </c>
      <c r="K54" t="s">
        <v>173</v>
      </c>
      <c r="L54" t="s">
        <v>1</v>
      </c>
      <c r="M54" t="s">
        <v>1</v>
      </c>
      <c r="N54" s="2">
        <v>759934.12</v>
      </c>
      <c r="O54" t="str">
        <f>IFERROR(VLOOKUP($A54,Accounts!$A:$G,3,FALSE),"")</f>
        <v/>
      </c>
      <c r="R54" s="12">
        <v>8716</v>
      </c>
      <c r="S54" s="24">
        <f>'Summary Interco'!M59</f>
        <v>0</v>
      </c>
    </row>
    <row r="55" spans="1:19" outlineLevel="2" x14ac:dyDescent="0.2">
      <c r="A55" t="str">
        <f t="shared" si="0"/>
        <v>60000000932382.22</v>
      </c>
      <c r="B55" t="s">
        <v>0</v>
      </c>
      <c r="C55" t="s">
        <v>1</v>
      </c>
      <c r="D55" t="s">
        <v>178</v>
      </c>
      <c r="E55" t="s">
        <v>670</v>
      </c>
      <c r="F55" s="1">
        <v>37741</v>
      </c>
      <c r="G55" t="s">
        <v>1</v>
      </c>
      <c r="H55" s="1"/>
      <c r="I55" s="2">
        <v>32382.22</v>
      </c>
      <c r="J55" s="2">
        <v>0</v>
      </c>
      <c r="K55" t="s">
        <v>173</v>
      </c>
      <c r="L55" t="s">
        <v>1</v>
      </c>
      <c r="M55" t="s">
        <v>1</v>
      </c>
      <c r="N55" s="2">
        <v>32382.22</v>
      </c>
      <c r="O55" t="str">
        <f>IFERROR(VLOOKUP($A55,Accounts!$A:$G,3,FALSE),"")</f>
        <v/>
      </c>
      <c r="R55" s="12">
        <v>999</v>
      </c>
      <c r="S55" s="34">
        <f>'Summary Interco'!M60</f>
        <v>0</v>
      </c>
    </row>
    <row r="56" spans="1:19" outlineLevel="2" x14ac:dyDescent="0.2">
      <c r="A56" t="str">
        <f t="shared" si="0"/>
        <v>600000012491900.17</v>
      </c>
      <c r="B56" t="s">
        <v>0</v>
      </c>
      <c r="C56" t="s">
        <v>1</v>
      </c>
      <c r="D56" t="s">
        <v>178</v>
      </c>
      <c r="E56" t="s">
        <v>662</v>
      </c>
      <c r="F56" s="1">
        <v>37772</v>
      </c>
      <c r="G56" t="s">
        <v>1</v>
      </c>
      <c r="H56" s="1"/>
      <c r="I56" s="2">
        <v>491900.17</v>
      </c>
      <c r="J56" s="2">
        <v>0</v>
      </c>
      <c r="K56" t="s">
        <v>173</v>
      </c>
      <c r="L56" t="s">
        <v>1</v>
      </c>
      <c r="M56" t="s">
        <v>1</v>
      </c>
      <c r="N56" s="2">
        <v>491900.17</v>
      </c>
      <c r="O56" t="str">
        <f>IFERROR(VLOOKUP($A56,Accounts!$A:$G,3,FALSE),"")</f>
        <v/>
      </c>
      <c r="R56" s="12">
        <v>8443</v>
      </c>
      <c r="S56" s="34">
        <f>'Summary Interco'!M61</f>
        <v>0</v>
      </c>
    </row>
    <row r="57" spans="1:19" outlineLevel="2" x14ac:dyDescent="0.2">
      <c r="A57" t="str">
        <f t="shared" si="0"/>
        <v>600000015-1145046.74</v>
      </c>
      <c r="B57" t="s">
        <v>0</v>
      </c>
      <c r="C57" t="s">
        <v>1</v>
      </c>
      <c r="D57" t="s">
        <v>178</v>
      </c>
      <c r="E57" t="s">
        <v>472</v>
      </c>
      <c r="F57" s="1">
        <v>37802</v>
      </c>
      <c r="G57" t="s">
        <v>1</v>
      </c>
      <c r="H57" s="1"/>
      <c r="I57" s="2">
        <v>-1145046.74</v>
      </c>
      <c r="J57" s="2">
        <v>0</v>
      </c>
      <c r="K57" t="s">
        <v>173</v>
      </c>
      <c r="L57" t="s">
        <v>1</v>
      </c>
      <c r="M57" t="s">
        <v>1</v>
      </c>
      <c r="N57" s="2">
        <v>-1145046.74</v>
      </c>
      <c r="O57" t="str">
        <f>IFERROR(VLOOKUP($A57,Accounts!$A:$G,3,FALSE),"")</f>
        <v/>
      </c>
      <c r="R57" s="35" t="s">
        <v>127</v>
      </c>
      <c r="S57" s="34">
        <f>'Summary Interco'!M62</f>
        <v>0</v>
      </c>
    </row>
    <row r="58" spans="1:19" outlineLevel="2" x14ac:dyDescent="0.2">
      <c r="A58" t="str">
        <f t="shared" si="0"/>
        <v>600000018-606203.29</v>
      </c>
      <c r="B58" t="s">
        <v>0</v>
      </c>
      <c r="C58" t="s">
        <v>1</v>
      </c>
      <c r="D58" t="s">
        <v>178</v>
      </c>
      <c r="E58" t="s">
        <v>660</v>
      </c>
      <c r="F58" s="1">
        <v>37833</v>
      </c>
      <c r="G58" t="s">
        <v>1</v>
      </c>
      <c r="H58" s="1"/>
      <c r="I58" s="2">
        <v>-606203.29</v>
      </c>
      <c r="J58" s="2">
        <v>0</v>
      </c>
      <c r="K58" t="s">
        <v>173</v>
      </c>
      <c r="L58" t="s">
        <v>1</v>
      </c>
      <c r="M58" t="s">
        <v>1</v>
      </c>
      <c r="N58" s="2">
        <v>-606203.29</v>
      </c>
      <c r="O58" t="str">
        <f>IFERROR(VLOOKUP($A58,Accounts!$A:$G,3,FALSE),"")</f>
        <v/>
      </c>
    </row>
    <row r="59" spans="1:19" outlineLevel="2" x14ac:dyDescent="0.2">
      <c r="A59" t="str">
        <f t="shared" si="0"/>
        <v>650938391</v>
      </c>
      <c r="B59" t="s">
        <v>0</v>
      </c>
      <c r="C59" t="s">
        <v>1</v>
      </c>
      <c r="D59" t="s">
        <v>178</v>
      </c>
      <c r="E59" t="s">
        <v>676</v>
      </c>
      <c r="F59" s="1">
        <v>38199</v>
      </c>
      <c r="G59" t="s">
        <v>1</v>
      </c>
      <c r="H59" s="1"/>
      <c r="I59" s="2">
        <v>391</v>
      </c>
      <c r="J59" s="2">
        <v>0</v>
      </c>
      <c r="K59" t="s">
        <v>171</v>
      </c>
      <c r="L59" t="s">
        <v>1</v>
      </c>
      <c r="M59" t="s">
        <v>1</v>
      </c>
      <c r="N59" s="2">
        <v>391</v>
      </c>
      <c r="O59" t="str">
        <f>IFERROR(VLOOKUP($A59,Accounts!$A:$G,3,FALSE),"")</f>
        <v/>
      </c>
    </row>
    <row r="60" spans="1:19" outlineLevel="2" x14ac:dyDescent="0.2">
      <c r="A60" t="str">
        <f t="shared" si="0"/>
        <v>650938-30738.11</v>
      </c>
      <c r="B60" t="s">
        <v>0</v>
      </c>
      <c r="C60" t="s">
        <v>1</v>
      </c>
      <c r="D60" t="s">
        <v>178</v>
      </c>
      <c r="E60" t="s">
        <v>676</v>
      </c>
      <c r="F60" s="1">
        <v>38199</v>
      </c>
      <c r="G60" t="s">
        <v>1</v>
      </c>
      <c r="H60" s="1"/>
      <c r="I60" s="2">
        <v>-30738.11</v>
      </c>
      <c r="J60" s="2">
        <v>0</v>
      </c>
      <c r="K60" t="s">
        <v>171</v>
      </c>
      <c r="L60" t="s">
        <v>1</v>
      </c>
      <c r="M60" t="s">
        <v>1</v>
      </c>
      <c r="N60" s="2">
        <v>-30738.11</v>
      </c>
      <c r="O60" t="str">
        <f>IFERROR(VLOOKUP($A60,Accounts!$A:$G,3,FALSE),"")</f>
        <v/>
      </c>
    </row>
    <row r="61" spans="1:19" outlineLevel="2" x14ac:dyDescent="0.2">
      <c r="A61" t="str">
        <f t="shared" si="0"/>
        <v>650938-43373.37</v>
      </c>
      <c r="B61" t="s">
        <v>0</v>
      </c>
      <c r="C61" t="s">
        <v>1</v>
      </c>
      <c r="D61" t="s">
        <v>178</v>
      </c>
      <c r="E61" t="s">
        <v>676</v>
      </c>
      <c r="F61" s="1">
        <v>38199</v>
      </c>
      <c r="G61" t="s">
        <v>1</v>
      </c>
      <c r="H61" s="1"/>
      <c r="I61" s="2">
        <v>-43373.37</v>
      </c>
      <c r="J61" s="2">
        <v>0</v>
      </c>
      <c r="K61" t="s">
        <v>171</v>
      </c>
      <c r="L61" t="s">
        <v>1</v>
      </c>
      <c r="M61" t="s">
        <v>1</v>
      </c>
      <c r="N61" s="2">
        <v>-43373.37</v>
      </c>
      <c r="O61" t="str">
        <f>IFERROR(VLOOKUP($A61,Accounts!$A:$G,3,FALSE),"")</f>
        <v/>
      </c>
    </row>
    <row r="62" spans="1:19" outlineLevel="2" x14ac:dyDescent="0.2">
      <c r="A62" t="str">
        <f t="shared" si="0"/>
        <v>650938121168.92</v>
      </c>
      <c r="B62" t="s">
        <v>0</v>
      </c>
      <c r="C62" t="s">
        <v>1</v>
      </c>
      <c r="D62" t="s">
        <v>178</v>
      </c>
      <c r="E62" t="s">
        <v>676</v>
      </c>
      <c r="F62" s="1">
        <v>38199</v>
      </c>
      <c r="G62" t="s">
        <v>1</v>
      </c>
      <c r="H62" s="1"/>
      <c r="I62" s="2">
        <v>121168.92</v>
      </c>
      <c r="J62" s="2">
        <v>0</v>
      </c>
      <c r="K62" t="s">
        <v>171</v>
      </c>
      <c r="L62" t="s">
        <v>1</v>
      </c>
      <c r="M62" t="s">
        <v>1</v>
      </c>
      <c r="N62" s="2">
        <v>121168.92</v>
      </c>
      <c r="O62" t="str">
        <f>IFERROR(VLOOKUP($A62,Accounts!$A:$G,3,FALSE),"")</f>
        <v/>
      </c>
    </row>
    <row r="63" spans="1:19" outlineLevel="2" x14ac:dyDescent="0.2">
      <c r="A63" t="str">
        <f t="shared" si="0"/>
        <v>650933-148927.34</v>
      </c>
      <c r="B63" t="s">
        <v>0</v>
      </c>
      <c r="C63" t="s">
        <v>1</v>
      </c>
      <c r="D63" t="s">
        <v>178</v>
      </c>
      <c r="E63" t="s">
        <v>677</v>
      </c>
      <c r="F63" s="1">
        <v>38199</v>
      </c>
      <c r="G63" t="s">
        <v>1</v>
      </c>
      <c r="H63" s="1"/>
      <c r="I63" s="2">
        <v>-148927.34</v>
      </c>
      <c r="J63" s="2">
        <v>0</v>
      </c>
      <c r="K63" t="s">
        <v>171</v>
      </c>
      <c r="L63" t="s">
        <v>1</v>
      </c>
      <c r="M63" t="s">
        <v>1</v>
      </c>
      <c r="N63" s="2">
        <v>-148927.34</v>
      </c>
      <c r="O63" t="str">
        <f>IFERROR(VLOOKUP($A63,Accounts!$A:$G,3,FALSE),"")</f>
        <v/>
      </c>
    </row>
    <row r="64" spans="1:19" outlineLevel="2" x14ac:dyDescent="0.2">
      <c r="A64" t="str">
        <f t="shared" si="0"/>
        <v>65093320340.51</v>
      </c>
      <c r="B64" t="s">
        <v>0</v>
      </c>
      <c r="C64" t="s">
        <v>1</v>
      </c>
      <c r="D64" t="s">
        <v>178</v>
      </c>
      <c r="E64" t="s">
        <v>677</v>
      </c>
      <c r="F64" s="1">
        <v>38199</v>
      </c>
      <c r="G64" t="s">
        <v>1</v>
      </c>
      <c r="H64" s="1"/>
      <c r="I64" s="2">
        <v>20340.509999999998</v>
      </c>
      <c r="J64" s="2">
        <v>0</v>
      </c>
      <c r="K64" t="s">
        <v>171</v>
      </c>
      <c r="L64" t="s">
        <v>1</v>
      </c>
      <c r="M64" t="s">
        <v>1</v>
      </c>
      <c r="N64" s="2">
        <v>20340.509999999998</v>
      </c>
      <c r="O64" t="str">
        <f>IFERROR(VLOOKUP($A64,Accounts!$A:$G,3,FALSE),"")</f>
        <v/>
      </c>
    </row>
    <row r="65" spans="1:15" outlineLevel="2" x14ac:dyDescent="0.2">
      <c r="A65" t="str">
        <f t="shared" si="0"/>
        <v>6555582112426.15</v>
      </c>
      <c r="B65" t="s">
        <v>0</v>
      </c>
      <c r="C65" t="s">
        <v>1</v>
      </c>
      <c r="D65" t="s">
        <v>178</v>
      </c>
      <c r="E65" t="s">
        <v>170</v>
      </c>
      <c r="F65" s="1">
        <v>38223</v>
      </c>
      <c r="G65" t="s">
        <v>1</v>
      </c>
      <c r="H65" s="1"/>
      <c r="I65" s="2">
        <v>2112426.15</v>
      </c>
      <c r="J65" s="2">
        <v>0</v>
      </c>
      <c r="K65" t="s">
        <v>171</v>
      </c>
      <c r="L65" t="s">
        <v>1</v>
      </c>
      <c r="M65" t="s">
        <v>1</v>
      </c>
      <c r="N65" s="2">
        <v>2112426.15</v>
      </c>
      <c r="O65" t="str">
        <f>IFERROR(VLOOKUP($A65,Accounts!$A:$G,3,FALSE),"")</f>
        <v/>
      </c>
    </row>
    <row r="66" spans="1:15" outlineLevel="2" x14ac:dyDescent="0.2">
      <c r="A66" t="str">
        <f t="shared" si="0"/>
        <v>650931150480.35</v>
      </c>
      <c r="B66" t="s">
        <v>0</v>
      </c>
      <c r="C66" t="s">
        <v>1</v>
      </c>
      <c r="D66" t="s">
        <v>178</v>
      </c>
      <c r="E66" t="s">
        <v>678</v>
      </c>
      <c r="F66" s="1">
        <v>38199</v>
      </c>
      <c r="G66" t="s">
        <v>1</v>
      </c>
      <c r="H66" s="1"/>
      <c r="I66" s="2">
        <v>150480.35</v>
      </c>
      <c r="J66" s="2">
        <v>0</v>
      </c>
      <c r="K66" t="s">
        <v>171</v>
      </c>
      <c r="L66" t="s">
        <v>1</v>
      </c>
      <c r="M66" t="s">
        <v>1</v>
      </c>
      <c r="N66" s="2">
        <v>150480.35</v>
      </c>
      <c r="O66" t="str">
        <f>IFERROR(VLOOKUP($A66,Accounts!$A:$G,3,FALSE),"")</f>
        <v/>
      </c>
    </row>
    <row r="67" spans="1:15" outlineLevel="2" x14ac:dyDescent="0.2">
      <c r="A67" t="str">
        <f t="shared" si="0"/>
        <v>6509318002.41</v>
      </c>
      <c r="B67" t="s">
        <v>0</v>
      </c>
      <c r="C67" t="s">
        <v>1</v>
      </c>
      <c r="D67" t="s">
        <v>178</v>
      </c>
      <c r="E67" t="s">
        <v>678</v>
      </c>
      <c r="F67" s="1">
        <v>38199</v>
      </c>
      <c r="G67" t="s">
        <v>1</v>
      </c>
      <c r="H67" s="1"/>
      <c r="I67" s="2">
        <v>8002.41</v>
      </c>
      <c r="J67" s="2">
        <v>0</v>
      </c>
      <c r="K67" t="s">
        <v>171</v>
      </c>
      <c r="L67" t="s">
        <v>1</v>
      </c>
      <c r="M67" t="s">
        <v>1</v>
      </c>
      <c r="N67" s="2">
        <v>8002.41</v>
      </c>
      <c r="O67" t="str">
        <f>IFERROR(VLOOKUP($A67,Accounts!$A:$G,3,FALSE),"")</f>
        <v/>
      </c>
    </row>
    <row r="68" spans="1:15" outlineLevel="2" x14ac:dyDescent="0.2">
      <c r="A68" t="str">
        <f t="shared" si="0"/>
        <v>650931731.14</v>
      </c>
      <c r="B68" t="s">
        <v>0</v>
      </c>
      <c r="C68" t="s">
        <v>1</v>
      </c>
      <c r="D68" t="s">
        <v>178</v>
      </c>
      <c r="E68" t="s">
        <v>678</v>
      </c>
      <c r="F68" s="1">
        <v>38199</v>
      </c>
      <c r="G68" t="s">
        <v>1</v>
      </c>
      <c r="H68" s="1"/>
      <c r="I68" s="2">
        <v>731.14</v>
      </c>
      <c r="J68" s="2">
        <v>0</v>
      </c>
      <c r="K68" t="s">
        <v>171</v>
      </c>
      <c r="L68" t="s">
        <v>1</v>
      </c>
      <c r="M68" t="s">
        <v>1</v>
      </c>
      <c r="N68" s="2">
        <v>731.14</v>
      </c>
      <c r="O68" t="str">
        <f>IFERROR(VLOOKUP($A68,Accounts!$A:$G,3,FALSE),"")</f>
        <v/>
      </c>
    </row>
    <row r="69" spans="1:15" outlineLevel="2" x14ac:dyDescent="0.2">
      <c r="A69" t="str">
        <f t="shared" si="0"/>
        <v>650931-159335.53</v>
      </c>
      <c r="B69" t="s">
        <v>0</v>
      </c>
      <c r="C69" t="s">
        <v>1</v>
      </c>
      <c r="D69" t="s">
        <v>178</v>
      </c>
      <c r="E69" t="s">
        <v>678</v>
      </c>
      <c r="F69" s="1">
        <v>38199</v>
      </c>
      <c r="G69" t="s">
        <v>1</v>
      </c>
      <c r="H69" s="1"/>
      <c r="I69" s="2">
        <v>-159335.53</v>
      </c>
      <c r="J69" s="2">
        <v>0</v>
      </c>
      <c r="K69" t="s">
        <v>171</v>
      </c>
      <c r="L69" t="s">
        <v>1</v>
      </c>
      <c r="M69" t="s">
        <v>1</v>
      </c>
      <c r="N69" s="2">
        <v>-159335.53</v>
      </c>
      <c r="O69" t="str">
        <f>IFERROR(VLOOKUP($A69,Accounts!$A:$G,3,FALSE),"")</f>
        <v/>
      </c>
    </row>
    <row r="70" spans="1:15" outlineLevel="2" x14ac:dyDescent="0.2">
      <c r="A70" t="str">
        <f t="shared" si="0"/>
        <v>6509315827.75</v>
      </c>
      <c r="B70" t="s">
        <v>0</v>
      </c>
      <c r="C70" t="s">
        <v>1</v>
      </c>
      <c r="D70" t="s">
        <v>178</v>
      </c>
      <c r="E70" t="s">
        <v>678</v>
      </c>
      <c r="F70" s="1">
        <v>38199</v>
      </c>
      <c r="G70" t="s">
        <v>1</v>
      </c>
      <c r="H70" s="1"/>
      <c r="I70" s="2">
        <v>5827.75</v>
      </c>
      <c r="J70" s="2">
        <v>0</v>
      </c>
      <c r="K70" t="s">
        <v>171</v>
      </c>
      <c r="L70" t="s">
        <v>1</v>
      </c>
      <c r="M70" t="s">
        <v>1</v>
      </c>
      <c r="N70" s="2">
        <v>5827.75</v>
      </c>
      <c r="O70" t="str">
        <f>IFERROR(VLOOKUP($A70,Accounts!$A:$G,3,FALSE),"")</f>
        <v/>
      </c>
    </row>
    <row r="71" spans="1:15" outlineLevel="2" x14ac:dyDescent="0.2">
      <c r="A71" t="str">
        <f t="shared" si="0"/>
        <v>650931-5706.12</v>
      </c>
      <c r="B71" t="s">
        <v>0</v>
      </c>
      <c r="C71" t="s">
        <v>1</v>
      </c>
      <c r="D71" t="s">
        <v>178</v>
      </c>
      <c r="E71" t="s">
        <v>678</v>
      </c>
      <c r="F71" s="1">
        <v>38199</v>
      </c>
      <c r="G71" t="s">
        <v>1</v>
      </c>
      <c r="H71" s="1"/>
      <c r="I71" s="2">
        <v>-5706.12</v>
      </c>
      <c r="J71" s="2">
        <v>0</v>
      </c>
      <c r="K71" t="s">
        <v>171</v>
      </c>
      <c r="L71" t="s">
        <v>1</v>
      </c>
      <c r="M71" t="s">
        <v>1</v>
      </c>
      <c r="N71" s="2">
        <v>-5706.12</v>
      </c>
      <c r="O71" t="str">
        <f>IFERROR(VLOOKUP($A71,Accounts!$A:$G,3,FALSE),"")</f>
        <v/>
      </c>
    </row>
    <row r="72" spans="1:15" outlineLevel="2" x14ac:dyDescent="0.2">
      <c r="A72" t="str">
        <f t="shared" si="0"/>
        <v>650928-319311.14</v>
      </c>
      <c r="B72" t="s">
        <v>0</v>
      </c>
      <c r="C72" t="s">
        <v>1</v>
      </c>
      <c r="D72" t="s">
        <v>178</v>
      </c>
      <c r="E72" t="s">
        <v>679</v>
      </c>
      <c r="F72" s="1">
        <v>38199</v>
      </c>
      <c r="G72" t="s">
        <v>1</v>
      </c>
      <c r="H72" s="1"/>
      <c r="I72" s="2">
        <v>-319311.14</v>
      </c>
      <c r="J72" s="2">
        <v>0</v>
      </c>
      <c r="K72" t="s">
        <v>171</v>
      </c>
      <c r="L72" t="s">
        <v>1</v>
      </c>
      <c r="M72" t="s">
        <v>1</v>
      </c>
      <c r="N72" s="2">
        <v>-319311.14</v>
      </c>
      <c r="O72" t="str">
        <f>IFERROR(VLOOKUP($A72,Accounts!$A:$G,3,FALSE),"")</f>
        <v/>
      </c>
    </row>
    <row r="73" spans="1:15" outlineLevel="2" x14ac:dyDescent="0.2">
      <c r="A73" t="str">
        <f t="shared" si="0"/>
        <v>650928-17580.82</v>
      </c>
      <c r="B73" t="s">
        <v>0</v>
      </c>
      <c r="C73" t="s">
        <v>1</v>
      </c>
      <c r="D73" t="s">
        <v>178</v>
      </c>
      <c r="E73" t="s">
        <v>679</v>
      </c>
      <c r="F73" s="1">
        <v>38199</v>
      </c>
      <c r="G73" t="s">
        <v>1</v>
      </c>
      <c r="H73" s="1"/>
      <c r="I73" s="2">
        <v>-17580.82</v>
      </c>
      <c r="J73" s="2">
        <v>0</v>
      </c>
      <c r="K73" t="s">
        <v>171</v>
      </c>
      <c r="L73" t="s">
        <v>1</v>
      </c>
      <c r="M73" t="s">
        <v>1</v>
      </c>
      <c r="N73" s="2">
        <v>-17580.82</v>
      </c>
      <c r="O73" t="str">
        <f>IFERROR(VLOOKUP($A73,Accounts!$A:$G,3,FALSE),"")</f>
        <v/>
      </c>
    </row>
    <row r="74" spans="1:15" outlineLevel="2" x14ac:dyDescent="0.2">
      <c r="A74" t="str">
        <f t="shared" ref="A74:A137" si="1">IFERROR(IF(J74=0,E74&amp;C74&amp;I74,G74&amp;B74&amp;J74),"")</f>
        <v>650940-391</v>
      </c>
      <c r="B74" t="s">
        <v>0</v>
      </c>
      <c r="C74" t="s">
        <v>1</v>
      </c>
      <c r="D74" t="s">
        <v>178</v>
      </c>
      <c r="E74" t="s">
        <v>674</v>
      </c>
      <c r="F74" s="1">
        <v>38199</v>
      </c>
      <c r="G74" t="s">
        <v>1</v>
      </c>
      <c r="H74" s="1"/>
      <c r="I74" s="2">
        <v>-391</v>
      </c>
      <c r="J74" s="2">
        <v>0</v>
      </c>
      <c r="K74" t="s">
        <v>171</v>
      </c>
      <c r="L74" t="s">
        <v>1</v>
      </c>
      <c r="M74" t="s">
        <v>1</v>
      </c>
      <c r="N74" s="2">
        <v>-391</v>
      </c>
      <c r="O74" t="str">
        <f>IFERROR(VLOOKUP($A74,Accounts!$A:$G,3,FALSE),"")</f>
        <v/>
      </c>
    </row>
    <row r="75" spans="1:15" outlineLevel="2" x14ac:dyDescent="0.2">
      <c r="A75" t="str">
        <f t="shared" si="1"/>
        <v>650928-20340.51</v>
      </c>
      <c r="B75" t="s">
        <v>0</v>
      </c>
      <c r="C75" t="s">
        <v>1</v>
      </c>
      <c r="D75" t="s">
        <v>178</v>
      </c>
      <c r="E75" t="s">
        <v>679</v>
      </c>
      <c r="F75" s="1">
        <v>38199</v>
      </c>
      <c r="G75" t="s">
        <v>1</v>
      </c>
      <c r="H75" s="1"/>
      <c r="I75" s="2">
        <v>-20340.509999999998</v>
      </c>
      <c r="J75" s="2">
        <v>0</v>
      </c>
      <c r="K75" t="s">
        <v>171</v>
      </c>
      <c r="L75" t="s">
        <v>1</v>
      </c>
      <c r="M75" t="s">
        <v>1</v>
      </c>
      <c r="N75" s="2">
        <v>-20340.509999999998</v>
      </c>
      <c r="O75" t="str">
        <f>IFERROR(VLOOKUP($A75,Accounts!$A:$G,3,FALSE),"")</f>
        <v/>
      </c>
    </row>
    <row r="76" spans="1:15" outlineLevel="2" x14ac:dyDescent="0.2">
      <c r="A76" t="str">
        <f t="shared" si="1"/>
        <v>65094043373.37</v>
      </c>
      <c r="B76" t="s">
        <v>0</v>
      </c>
      <c r="C76" t="s">
        <v>1</v>
      </c>
      <c r="D76" t="s">
        <v>178</v>
      </c>
      <c r="E76" t="s">
        <v>674</v>
      </c>
      <c r="F76" s="1">
        <v>38199</v>
      </c>
      <c r="G76" t="s">
        <v>1</v>
      </c>
      <c r="H76" s="1"/>
      <c r="I76" s="2">
        <v>43373.37</v>
      </c>
      <c r="J76" s="2">
        <v>0</v>
      </c>
      <c r="K76" t="s">
        <v>171</v>
      </c>
      <c r="L76" t="s">
        <v>1</v>
      </c>
      <c r="M76" t="s">
        <v>1</v>
      </c>
      <c r="N76" s="2">
        <v>43373.37</v>
      </c>
      <c r="O76" t="str">
        <f>IFERROR(VLOOKUP($A76,Accounts!$A:$G,3,FALSE),"")</f>
        <v/>
      </c>
    </row>
    <row r="77" spans="1:15" outlineLevel="2" x14ac:dyDescent="0.2">
      <c r="A77" t="str">
        <f t="shared" si="1"/>
        <v>650928296795.89</v>
      </c>
      <c r="B77" t="s">
        <v>0</v>
      </c>
      <c r="C77" t="s">
        <v>1</v>
      </c>
      <c r="D77" t="s">
        <v>178</v>
      </c>
      <c r="E77" t="s">
        <v>679</v>
      </c>
      <c r="F77" s="1">
        <v>38199</v>
      </c>
      <c r="G77" t="s">
        <v>1</v>
      </c>
      <c r="H77" s="1"/>
      <c r="I77" s="2">
        <v>296795.89</v>
      </c>
      <c r="J77" s="2">
        <v>0</v>
      </c>
      <c r="K77" t="s">
        <v>171</v>
      </c>
      <c r="L77" t="s">
        <v>1</v>
      </c>
      <c r="M77" t="s">
        <v>1</v>
      </c>
      <c r="N77" s="2">
        <v>296795.89</v>
      </c>
      <c r="O77" t="str">
        <f>IFERROR(VLOOKUP($A77,Accounts!$A:$G,3,FALSE),"")</f>
        <v/>
      </c>
    </row>
    <row r="78" spans="1:15" outlineLevel="2" x14ac:dyDescent="0.2">
      <c r="A78" t="str">
        <f t="shared" si="1"/>
        <v>65094030738.11</v>
      </c>
      <c r="B78" t="s">
        <v>0</v>
      </c>
      <c r="C78" t="s">
        <v>1</v>
      </c>
      <c r="D78" t="s">
        <v>178</v>
      </c>
      <c r="E78" t="s">
        <v>674</v>
      </c>
      <c r="F78" s="1">
        <v>38199</v>
      </c>
      <c r="G78" t="s">
        <v>1</v>
      </c>
      <c r="H78" s="1"/>
      <c r="I78" s="2">
        <v>30738.11</v>
      </c>
      <c r="J78" s="2">
        <v>0</v>
      </c>
      <c r="K78" t="s">
        <v>171</v>
      </c>
      <c r="L78" t="s">
        <v>1</v>
      </c>
      <c r="M78" t="s">
        <v>1</v>
      </c>
      <c r="N78" s="2">
        <v>30738.11</v>
      </c>
      <c r="O78" t="str">
        <f>IFERROR(VLOOKUP($A78,Accounts!$A:$G,3,FALSE),"")</f>
        <v/>
      </c>
    </row>
    <row r="79" spans="1:15" outlineLevel="2" x14ac:dyDescent="0.2">
      <c r="A79" t="str">
        <f t="shared" si="1"/>
        <v>65092852393.37</v>
      </c>
      <c r="B79" t="s">
        <v>0</v>
      </c>
      <c r="C79" t="s">
        <v>1</v>
      </c>
      <c r="D79" t="s">
        <v>178</v>
      </c>
      <c r="E79" t="s">
        <v>679</v>
      </c>
      <c r="F79" s="1">
        <v>38199</v>
      </c>
      <c r="G79" t="s">
        <v>1</v>
      </c>
      <c r="H79" s="1"/>
      <c r="I79" s="2">
        <v>52393.37</v>
      </c>
      <c r="J79" s="2">
        <v>0</v>
      </c>
      <c r="K79" t="s">
        <v>171</v>
      </c>
      <c r="L79" t="s">
        <v>1</v>
      </c>
      <c r="M79" t="s">
        <v>1</v>
      </c>
      <c r="N79" s="2">
        <v>52393.37</v>
      </c>
      <c r="O79" t="str">
        <f>IFERROR(VLOOKUP($A79,Accounts!$A:$G,3,FALSE),"")</f>
        <v/>
      </c>
    </row>
    <row r="80" spans="1:15" outlineLevel="2" x14ac:dyDescent="0.2">
      <c r="A80" t="str">
        <f t="shared" si="1"/>
        <v>6509288043.21</v>
      </c>
      <c r="B80" t="s">
        <v>0</v>
      </c>
      <c r="C80" t="s">
        <v>1</v>
      </c>
      <c r="D80" t="s">
        <v>178</v>
      </c>
      <c r="E80" t="s">
        <v>679</v>
      </c>
      <c r="F80" s="1">
        <v>38199</v>
      </c>
      <c r="G80" t="s">
        <v>1</v>
      </c>
      <c r="H80" s="1"/>
      <c r="I80" s="2">
        <v>8043.21</v>
      </c>
      <c r="J80" s="2">
        <v>0</v>
      </c>
      <c r="K80" t="s">
        <v>171</v>
      </c>
      <c r="L80" t="s">
        <v>1</v>
      </c>
      <c r="M80" t="s">
        <v>1</v>
      </c>
      <c r="N80" s="2">
        <v>8043.21</v>
      </c>
      <c r="O80" t="str">
        <f>IFERROR(VLOOKUP($A80,Accounts!$A:$G,3,FALSE),"")</f>
        <v/>
      </c>
    </row>
    <row r="81" spans="1:15" outlineLevel="2" x14ac:dyDescent="0.2">
      <c r="A81" t="str">
        <f t="shared" si="1"/>
        <v>650926179986.63</v>
      </c>
      <c r="B81" t="s">
        <v>0</v>
      </c>
      <c r="C81" t="s">
        <v>1</v>
      </c>
      <c r="D81" t="s">
        <v>178</v>
      </c>
      <c r="E81" t="s">
        <v>672</v>
      </c>
      <c r="F81" s="1">
        <v>38199</v>
      </c>
      <c r="G81" t="s">
        <v>1</v>
      </c>
      <c r="H81" s="1"/>
      <c r="I81" s="2">
        <v>179986.63</v>
      </c>
      <c r="J81" s="2">
        <v>0</v>
      </c>
      <c r="K81" t="s">
        <v>171</v>
      </c>
      <c r="L81" t="s">
        <v>1</v>
      </c>
      <c r="M81" t="s">
        <v>1</v>
      </c>
      <c r="N81" s="2">
        <v>179986.63</v>
      </c>
      <c r="O81" t="str">
        <f>IFERROR(VLOOKUP($A81,Accounts!$A:$G,3,FALSE),"")</f>
        <v/>
      </c>
    </row>
    <row r="82" spans="1:15" outlineLevel="2" x14ac:dyDescent="0.2">
      <c r="A82" t="str">
        <f t="shared" si="1"/>
        <v>6509263660.57</v>
      </c>
      <c r="B82" t="s">
        <v>0</v>
      </c>
      <c r="C82" t="s">
        <v>1</v>
      </c>
      <c r="D82" t="s">
        <v>178</v>
      </c>
      <c r="E82" t="s">
        <v>672</v>
      </c>
      <c r="F82" s="1">
        <v>38199</v>
      </c>
      <c r="G82" t="s">
        <v>1</v>
      </c>
      <c r="H82" s="1"/>
      <c r="I82" s="2">
        <v>3660.57</v>
      </c>
      <c r="J82" s="2">
        <v>0</v>
      </c>
      <c r="K82" t="s">
        <v>171</v>
      </c>
      <c r="L82" t="s">
        <v>1</v>
      </c>
      <c r="M82" t="s">
        <v>1</v>
      </c>
      <c r="N82" s="2">
        <v>3660.57</v>
      </c>
      <c r="O82" t="str">
        <f>IFERROR(VLOOKUP($A82,Accounts!$A:$G,3,FALSE),"")</f>
        <v/>
      </c>
    </row>
    <row r="83" spans="1:15" outlineLevel="2" x14ac:dyDescent="0.2">
      <c r="A83" t="str">
        <f t="shared" si="1"/>
        <v>6509261566.02</v>
      </c>
      <c r="B83" t="s">
        <v>0</v>
      </c>
      <c r="C83" t="s">
        <v>1</v>
      </c>
      <c r="D83" t="s">
        <v>178</v>
      </c>
      <c r="E83" t="s">
        <v>672</v>
      </c>
      <c r="F83" s="1">
        <v>38199</v>
      </c>
      <c r="G83" t="s">
        <v>1</v>
      </c>
      <c r="H83" s="1"/>
      <c r="I83" s="2">
        <v>1566.02</v>
      </c>
      <c r="J83" s="2">
        <v>0</v>
      </c>
      <c r="K83" t="s">
        <v>171</v>
      </c>
      <c r="L83" t="s">
        <v>1</v>
      </c>
      <c r="M83" t="s">
        <v>1</v>
      </c>
      <c r="N83" s="2">
        <v>1566.02</v>
      </c>
      <c r="O83" t="str">
        <f>IFERROR(VLOOKUP($A83,Accounts!$A:$G,3,FALSE),"")</f>
        <v/>
      </c>
    </row>
    <row r="84" spans="1:15" outlineLevel="2" x14ac:dyDescent="0.2">
      <c r="A84" t="str">
        <f t="shared" si="1"/>
        <v>650938-709.26</v>
      </c>
      <c r="B84" t="s">
        <v>0</v>
      </c>
      <c r="C84" t="s">
        <v>1</v>
      </c>
      <c r="D84" t="s">
        <v>178</v>
      </c>
      <c r="E84" t="s">
        <v>676</v>
      </c>
      <c r="F84" s="1">
        <v>38199</v>
      </c>
      <c r="G84" t="s">
        <v>1</v>
      </c>
      <c r="H84" s="1"/>
      <c r="I84" s="2">
        <v>-709.26</v>
      </c>
      <c r="J84" s="2">
        <v>0</v>
      </c>
      <c r="K84" t="s">
        <v>171</v>
      </c>
      <c r="L84" t="s">
        <v>1</v>
      </c>
      <c r="M84" t="s">
        <v>1</v>
      </c>
      <c r="N84" s="2">
        <v>-709.26</v>
      </c>
      <c r="O84" t="str">
        <f>IFERROR(VLOOKUP($A84,Accounts!$A:$G,3,FALSE),"")</f>
        <v/>
      </c>
    </row>
    <row r="85" spans="1:15" outlineLevel="2" x14ac:dyDescent="0.2">
      <c r="A85" t="str">
        <f t="shared" si="1"/>
        <v>650926495.48</v>
      </c>
      <c r="B85" t="s">
        <v>0</v>
      </c>
      <c r="C85" t="s">
        <v>1</v>
      </c>
      <c r="D85" t="s">
        <v>178</v>
      </c>
      <c r="E85" t="s">
        <v>672</v>
      </c>
      <c r="F85" s="1">
        <v>38199</v>
      </c>
      <c r="G85" t="s">
        <v>1</v>
      </c>
      <c r="H85" s="1"/>
      <c r="I85" s="2">
        <v>495.48</v>
      </c>
      <c r="J85" s="2">
        <v>0</v>
      </c>
      <c r="K85" t="s">
        <v>171</v>
      </c>
      <c r="L85" t="s">
        <v>1</v>
      </c>
      <c r="M85" t="s">
        <v>1</v>
      </c>
      <c r="N85" s="2">
        <v>495.48</v>
      </c>
      <c r="O85" t="str">
        <f>IFERROR(VLOOKUP($A85,Accounts!$A:$G,3,FALSE),"")</f>
        <v/>
      </c>
    </row>
    <row r="86" spans="1:15" outlineLevel="2" x14ac:dyDescent="0.2">
      <c r="A86" t="str">
        <f t="shared" si="1"/>
        <v>65092652049</v>
      </c>
      <c r="B86" t="s">
        <v>0</v>
      </c>
      <c r="C86" t="s">
        <v>1</v>
      </c>
      <c r="D86" t="s">
        <v>178</v>
      </c>
      <c r="E86" t="s">
        <v>672</v>
      </c>
      <c r="F86" s="1">
        <v>38199</v>
      </c>
      <c r="G86" t="s">
        <v>1</v>
      </c>
      <c r="H86" s="1"/>
      <c r="I86" s="2">
        <v>52049</v>
      </c>
      <c r="J86" s="2">
        <v>0</v>
      </c>
      <c r="K86" t="s">
        <v>171</v>
      </c>
      <c r="L86" t="s">
        <v>1</v>
      </c>
      <c r="M86" t="s">
        <v>1</v>
      </c>
      <c r="N86" s="2">
        <v>52049</v>
      </c>
      <c r="O86" t="str">
        <f>IFERROR(VLOOKUP($A86,Accounts!$A:$G,3,FALSE),"")</f>
        <v/>
      </c>
    </row>
    <row r="87" spans="1:15" outlineLevel="2" x14ac:dyDescent="0.2">
      <c r="A87" t="str">
        <f t="shared" si="1"/>
        <v>6509455797.34</v>
      </c>
      <c r="B87" t="s">
        <v>0</v>
      </c>
      <c r="C87" t="s">
        <v>1</v>
      </c>
      <c r="D87" t="s">
        <v>178</v>
      </c>
      <c r="E87" t="s">
        <v>680</v>
      </c>
      <c r="F87" s="1">
        <v>38199</v>
      </c>
      <c r="G87" t="s">
        <v>1</v>
      </c>
      <c r="H87" s="1"/>
      <c r="I87" s="2">
        <v>5797.34</v>
      </c>
      <c r="J87" s="2">
        <v>0</v>
      </c>
      <c r="K87" t="s">
        <v>171</v>
      </c>
      <c r="L87" t="s">
        <v>1</v>
      </c>
      <c r="M87" t="s">
        <v>1</v>
      </c>
      <c r="N87" s="2">
        <v>5797.34</v>
      </c>
      <c r="O87" t="str">
        <f>IFERROR(VLOOKUP($A87,Accounts!$A:$G,3,FALSE),"")</f>
        <v/>
      </c>
    </row>
    <row r="88" spans="1:15" outlineLevel="2" x14ac:dyDescent="0.2">
      <c r="A88" t="str">
        <f t="shared" si="1"/>
        <v>650947232377.34</v>
      </c>
      <c r="B88" t="s">
        <v>0</v>
      </c>
      <c r="C88" t="s">
        <v>1</v>
      </c>
      <c r="D88" t="s">
        <v>178</v>
      </c>
      <c r="E88" t="s">
        <v>681</v>
      </c>
      <c r="F88" s="1">
        <v>38199</v>
      </c>
      <c r="G88" t="s">
        <v>1</v>
      </c>
      <c r="H88" s="1"/>
      <c r="I88" s="2">
        <v>232377.34</v>
      </c>
      <c r="J88" s="2">
        <v>0</v>
      </c>
      <c r="K88" t="s">
        <v>171</v>
      </c>
      <c r="L88" t="s">
        <v>1</v>
      </c>
      <c r="M88" t="s">
        <v>1</v>
      </c>
      <c r="N88" s="2">
        <v>232377.34</v>
      </c>
      <c r="O88" t="str">
        <f>IFERROR(VLOOKUP($A88,Accounts!$A:$G,3,FALSE),"")</f>
        <v/>
      </c>
    </row>
    <row r="89" spans="1:15" outlineLevel="2" x14ac:dyDescent="0.2">
      <c r="A89" t="str">
        <f t="shared" si="1"/>
        <v>650947-453.95</v>
      </c>
      <c r="B89" t="s">
        <v>0</v>
      </c>
      <c r="C89" t="s">
        <v>1</v>
      </c>
      <c r="D89" t="s">
        <v>178</v>
      </c>
      <c r="E89" t="s">
        <v>681</v>
      </c>
      <c r="F89" s="1">
        <v>38199</v>
      </c>
      <c r="G89" t="s">
        <v>1</v>
      </c>
      <c r="H89" s="1"/>
      <c r="I89" s="2">
        <v>-453.95</v>
      </c>
      <c r="J89" s="2">
        <v>0</v>
      </c>
      <c r="K89" t="s">
        <v>171</v>
      </c>
      <c r="L89" t="s">
        <v>1</v>
      </c>
      <c r="M89" t="s">
        <v>1</v>
      </c>
      <c r="N89" s="2">
        <v>-453.95</v>
      </c>
      <c r="O89" t="str">
        <f>IFERROR(VLOOKUP($A89,Accounts!$A:$G,3,FALSE),"")</f>
        <v/>
      </c>
    </row>
    <row r="90" spans="1:15" outlineLevel="2" x14ac:dyDescent="0.2">
      <c r="A90" t="str">
        <f t="shared" si="1"/>
        <v>6509471733.31</v>
      </c>
      <c r="B90" t="s">
        <v>0</v>
      </c>
      <c r="C90" t="s">
        <v>1</v>
      </c>
      <c r="D90" t="s">
        <v>178</v>
      </c>
      <c r="E90" t="s">
        <v>681</v>
      </c>
      <c r="F90" s="1">
        <v>38199</v>
      </c>
      <c r="G90" t="s">
        <v>1</v>
      </c>
      <c r="H90" s="1"/>
      <c r="I90" s="2">
        <v>1733.31</v>
      </c>
      <c r="J90" s="2">
        <v>0</v>
      </c>
      <c r="K90" t="s">
        <v>171</v>
      </c>
      <c r="L90" t="s">
        <v>1</v>
      </c>
      <c r="M90" t="s">
        <v>1</v>
      </c>
      <c r="N90" s="2">
        <v>1733.31</v>
      </c>
      <c r="O90" t="str">
        <f>IFERROR(VLOOKUP($A90,Accounts!$A:$G,3,FALSE),"")</f>
        <v/>
      </c>
    </row>
    <row r="91" spans="1:15" outlineLevel="2" x14ac:dyDescent="0.2">
      <c r="A91" t="str">
        <f t="shared" si="1"/>
        <v>650947-248144.79</v>
      </c>
      <c r="B91" t="s">
        <v>0</v>
      </c>
      <c r="C91" t="s">
        <v>1</v>
      </c>
      <c r="D91" t="s">
        <v>178</v>
      </c>
      <c r="E91" t="s">
        <v>681</v>
      </c>
      <c r="F91" s="1">
        <v>38199</v>
      </c>
      <c r="G91" t="s">
        <v>1</v>
      </c>
      <c r="H91" s="1"/>
      <c r="I91" s="2">
        <v>-248144.79</v>
      </c>
      <c r="J91" s="2">
        <v>0</v>
      </c>
      <c r="K91" t="s">
        <v>171</v>
      </c>
      <c r="L91" t="s">
        <v>1</v>
      </c>
      <c r="M91" t="s">
        <v>1</v>
      </c>
      <c r="N91" s="2">
        <v>-248144.79</v>
      </c>
      <c r="O91" t="str">
        <f>IFERROR(VLOOKUP($A91,Accounts!$A:$G,3,FALSE),"")</f>
        <v/>
      </c>
    </row>
    <row r="92" spans="1:15" outlineLevel="2" x14ac:dyDescent="0.2">
      <c r="A92" t="str">
        <f t="shared" si="1"/>
        <v>650947160323.75</v>
      </c>
      <c r="B92" t="s">
        <v>0</v>
      </c>
      <c r="C92" t="s">
        <v>1</v>
      </c>
      <c r="D92" t="s">
        <v>178</v>
      </c>
      <c r="E92" t="s">
        <v>681</v>
      </c>
      <c r="F92" s="1">
        <v>38199</v>
      </c>
      <c r="G92" t="s">
        <v>1</v>
      </c>
      <c r="H92" s="1"/>
      <c r="I92" s="2">
        <v>160323.75</v>
      </c>
      <c r="J92" s="2">
        <v>0</v>
      </c>
      <c r="K92" t="s">
        <v>171</v>
      </c>
      <c r="L92" t="s">
        <v>1</v>
      </c>
      <c r="M92" t="s">
        <v>1</v>
      </c>
      <c r="N92" s="2">
        <v>160323.75</v>
      </c>
      <c r="O92" t="str">
        <f>IFERROR(VLOOKUP($A92,Accounts!$A:$G,3,FALSE),"")</f>
        <v/>
      </c>
    </row>
    <row r="93" spans="1:15" outlineLevel="2" x14ac:dyDescent="0.2">
      <c r="A93" t="str">
        <f t="shared" si="1"/>
        <v>650947-145835.66</v>
      </c>
      <c r="B93" t="s">
        <v>0</v>
      </c>
      <c r="C93" t="s">
        <v>1</v>
      </c>
      <c r="D93" t="s">
        <v>178</v>
      </c>
      <c r="E93" t="s">
        <v>681</v>
      </c>
      <c r="F93" s="1">
        <v>38199</v>
      </c>
      <c r="G93" t="s">
        <v>1</v>
      </c>
      <c r="H93" s="1"/>
      <c r="I93" s="2">
        <v>-145835.66</v>
      </c>
      <c r="J93" s="2">
        <v>0</v>
      </c>
      <c r="K93" t="s">
        <v>171</v>
      </c>
      <c r="L93" t="s">
        <v>1</v>
      </c>
      <c r="M93" t="s">
        <v>1</v>
      </c>
      <c r="N93" s="2">
        <v>-145835.66</v>
      </c>
      <c r="O93" t="str">
        <f>IFERROR(VLOOKUP($A93,Accounts!$A:$G,3,FALSE),"")</f>
        <v/>
      </c>
    </row>
    <row r="94" spans="1:15" outlineLevel="2" x14ac:dyDescent="0.2">
      <c r="A94" t="str">
        <f t="shared" si="1"/>
        <v>6509492440861.87</v>
      </c>
      <c r="B94" t="s">
        <v>0</v>
      </c>
      <c r="C94" t="s">
        <v>1</v>
      </c>
      <c r="D94" t="s">
        <v>178</v>
      </c>
      <c r="E94" t="s">
        <v>682</v>
      </c>
      <c r="F94" s="1">
        <v>38199</v>
      </c>
      <c r="G94" t="s">
        <v>1</v>
      </c>
      <c r="H94" s="1"/>
      <c r="I94" s="2">
        <v>2440861.87</v>
      </c>
      <c r="J94" s="2">
        <v>0</v>
      </c>
      <c r="K94" t="s">
        <v>171</v>
      </c>
      <c r="L94" t="s">
        <v>1</v>
      </c>
      <c r="M94" t="s">
        <v>1</v>
      </c>
      <c r="N94" s="2">
        <v>2440861.87</v>
      </c>
      <c r="O94" t="str">
        <f>IFERROR(VLOOKUP($A94,Accounts!$A:$G,3,FALSE),"")</f>
        <v/>
      </c>
    </row>
    <row r="95" spans="1:15" outlineLevel="2" x14ac:dyDescent="0.2">
      <c r="A95" t="str">
        <f t="shared" si="1"/>
        <v>650949-2440861.87</v>
      </c>
      <c r="B95" t="s">
        <v>0</v>
      </c>
      <c r="C95" t="s">
        <v>1</v>
      </c>
      <c r="D95" t="s">
        <v>178</v>
      </c>
      <c r="E95" t="s">
        <v>682</v>
      </c>
      <c r="F95" s="1">
        <v>38199</v>
      </c>
      <c r="G95" t="s">
        <v>1</v>
      </c>
      <c r="H95" s="1"/>
      <c r="I95" s="2">
        <v>-2440861.87</v>
      </c>
      <c r="J95" s="2">
        <v>0</v>
      </c>
      <c r="K95" t="s">
        <v>171</v>
      </c>
      <c r="L95" t="s">
        <v>1</v>
      </c>
      <c r="M95" t="s">
        <v>1</v>
      </c>
      <c r="N95" s="2">
        <v>-2440861.87</v>
      </c>
      <c r="O95" t="str">
        <f>IFERROR(VLOOKUP($A95,Accounts!$A:$G,3,FALSE),"")</f>
        <v/>
      </c>
    </row>
    <row r="96" spans="1:15" outlineLevel="2" x14ac:dyDescent="0.2">
      <c r="A96" t="str">
        <f t="shared" si="1"/>
        <v>650923-60219.87</v>
      </c>
      <c r="B96" t="s">
        <v>0</v>
      </c>
      <c r="C96" t="s">
        <v>1</v>
      </c>
      <c r="D96" t="s">
        <v>178</v>
      </c>
      <c r="E96" t="s">
        <v>675</v>
      </c>
      <c r="F96" s="1">
        <v>38199</v>
      </c>
      <c r="G96" t="s">
        <v>1</v>
      </c>
      <c r="H96" s="1"/>
      <c r="I96" s="2">
        <v>-60219.87</v>
      </c>
      <c r="J96" s="2">
        <v>0</v>
      </c>
      <c r="K96" t="s">
        <v>171</v>
      </c>
      <c r="L96" t="s">
        <v>1</v>
      </c>
      <c r="M96" t="s">
        <v>1</v>
      </c>
      <c r="N96" s="2">
        <v>-60219.87</v>
      </c>
      <c r="O96" t="str">
        <f>IFERROR(VLOOKUP($A96,Accounts!$A:$G,3,FALSE),"")</f>
        <v/>
      </c>
    </row>
    <row r="97" spans="1:15" outlineLevel="2" x14ac:dyDescent="0.2">
      <c r="A97" t="str">
        <f t="shared" si="1"/>
        <v>650923-1462.28</v>
      </c>
      <c r="B97" t="s">
        <v>0</v>
      </c>
      <c r="C97" t="s">
        <v>1</v>
      </c>
      <c r="D97" t="s">
        <v>178</v>
      </c>
      <c r="E97" t="s">
        <v>675</v>
      </c>
      <c r="F97" s="1">
        <v>38199</v>
      </c>
      <c r="G97" t="s">
        <v>1</v>
      </c>
      <c r="H97" s="1"/>
      <c r="I97" s="2">
        <v>-1462.28</v>
      </c>
      <c r="J97" s="2">
        <v>0</v>
      </c>
      <c r="K97" t="s">
        <v>171</v>
      </c>
      <c r="L97" t="s">
        <v>1</v>
      </c>
      <c r="M97" t="s">
        <v>1</v>
      </c>
      <c r="N97" s="2">
        <v>-1462.28</v>
      </c>
      <c r="O97" t="str">
        <f>IFERROR(VLOOKUP($A97,Accounts!$A:$G,3,FALSE),"")</f>
        <v/>
      </c>
    </row>
    <row r="98" spans="1:15" outlineLevel="2" x14ac:dyDescent="0.2">
      <c r="A98" t="str">
        <f t="shared" si="1"/>
        <v>600000018239148.51</v>
      </c>
      <c r="B98" t="s">
        <v>0</v>
      </c>
      <c r="C98" t="s">
        <v>1</v>
      </c>
      <c r="D98" t="s">
        <v>178</v>
      </c>
      <c r="E98" t="s">
        <v>660</v>
      </c>
      <c r="F98" s="1">
        <v>38199</v>
      </c>
      <c r="G98" t="s">
        <v>1</v>
      </c>
      <c r="H98" s="1"/>
      <c r="I98" s="2">
        <v>239148.51</v>
      </c>
      <c r="J98" s="2">
        <v>0</v>
      </c>
      <c r="K98" t="s">
        <v>171</v>
      </c>
      <c r="L98" t="s">
        <v>1</v>
      </c>
      <c r="M98" t="s">
        <v>1</v>
      </c>
      <c r="N98" s="2">
        <v>239148.51</v>
      </c>
      <c r="O98" t="str">
        <f>IFERROR(VLOOKUP($A98,Accounts!$A:$G,3,FALSE),"")</f>
        <v/>
      </c>
    </row>
    <row r="99" spans="1:15" outlineLevel="2" x14ac:dyDescent="0.2">
      <c r="A99" t="str">
        <f t="shared" si="1"/>
        <v>650935-271.03</v>
      </c>
      <c r="B99" t="s">
        <v>0</v>
      </c>
      <c r="C99" t="s">
        <v>1</v>
      </c>
      <c r="D99" t="s">
        <v>178</v>
      </c>
      <c r="E99" t="s">
        <v>683</v>
      </c>
      <c r="F99" s="1">
        <v>38199</v>
      </c>
      <c r="G99" t="s">
        <v>1</v>
      </c>
      <c r="H99" s="1"/>
      <c r="I99" s="2">
        <v>-271.02999999999997</v>
      </c>
      <c r="J99" s="2">
        <v>0</v>
      </c>
      <c r="K99" t="s">
        <v>171</v>
      </c>
      <c r="L99" t="s">
        <v>1</v>
      </c>
      <c r="M99" t="s">
        <v>1</v>
      </c>
      <c r="N99" s="2">
        <v>-271.02999999999997</v>
      </c>
      <c r="O99" t="str">
        <f>IFERROR(VLOOKUP($A99,Accounts!$A:$G,3,FALSE),"")</f>
        <v/>
      </c>
    </row>
    <row r="100" spans="1:15" outlineLevel="2" x14ac:dyDescent="0.2">
      <c r="A100" t="str">
        <f t="shared" si="1"/>
        <v>600000015-29229.64</v>
      </c>
      <c r="B100" t="s">
        <v>0</v>
      </c>
      <c r="C100" t="s">
        <v>1</v>
      </c>
      <c r="D100" t="s">
        <v>178</v>
      </c>
      <c r="E100" t="s">
        <v>472</v>
      </c>
      <c r="F100" s="1">
        <v>38168</v>
      </c>
      <c r="G100" t="s">
        <v>1</v>
      </c>
      <c r="H100" s="1"/>
      <c r="I100" s="2">
        <v>-29229.64</v>
      </c>
      <c r="J100" s="2">
        <v>0</v>
      </c>
      <c r="K100" t="s">
        <v>171</v>
      </c>
      <c r="L100" t="s">
        <v>1</v>
      </c>
      <c r="M100" t="s">
        <v>1</v>
      </c>
      <c r="N100" s="2">
        <v>-29229.64</v>
      </c>
      <c r="O100" t="str">
        <f>IFERROR(VLOOKUP($A100,Accounts!$A:$G,3,FALSE),"")</f>
        <v/>
      </c>
    </row>
    <row r="101" spans="1:15" outlineLevel="2" x14ac:dyDescent="0.2">
      <c r="A101" t="str">
        <f t="shared" si="1"/>
        <v>600000015-36562.94</v>
      </c>
      <c r="B101" t="s">
        <v>0</v>
      </c>
      <c r="C101" t="s">
        <v>1</v>
      </c>
      <c r="D101" t="s">
        <v>178</v>
      </c>
      <c r="E101" t="s">
        <v>472</v>
      </c>
      <c r="F101" s="1">
        <v>38168</v>
      </c>
      <c r="G101" t="s">
        <v>1</v>
      </c>
      <c r="H101" s="1"/>
      <c r="I101" s="2">
        <v>-36562.94</v>
      </c>
      <c r="J101" s="2">
        <v>0</v>
      </c>
      <c r="K101" t="s">
        <v>171</v>
      </c>
      <c r="L101" t="s">
        <v>1</v>
      </c>
      <c r="M101" t="s">
        <v>1</v>
      </c>
      <c r="N101" s="2">
        <v>-36562.94</v>
      </c>
      <c r="O101" t="str">
        <f>IFERROR(VLOOKUP($A101,Accounts!$A:$G,3,FALSE),"")</f>
        <v/>
      </c>
    </row>
    <row r="102" spans="1:15" outlineLevel="2" x14ac:dyDescent="0.2">
      <c r="A102" t="str">
        <f t="shared" si="1"/>
        <v>600000007598532.75</v>
      </c>
      <c r="B102" t="s">
        <v>0</v>
      </c>
      <c r="C102" t="s">
        <v>1</v>
      </c>
      <c r="D102" t="s">
        <v>178</v>
      </c>
      <c r="E102" t="s">
        <v>661</v>
      </c>
      <c r="F102" s="1">
        <v>38138</v>
      </c>
      <c r="G102" t="s">
        <v>1</v>
      </c>
      <c r="H102" s="1"/>
      <c r="I102" s="2">
        <v>598532.75</v>
      </c>
      <c r="J102" s="2">
        <v>0</v>
      </c>
      <c r="K102" t="s">
        <v>171</v>
      </c>
      <c r="L102" t="s">
        <v>1</v>
      </c>
      <c r="M102" t="s">
        <v>1</v>
      </c>
      <c r="N102" s="2">
        <v>598532.75</v>
      </c>
      <c r="O102" t="str">
        <f>IFERROR(VLOOKUP($A102,Accounts!$A:$G,3,FALSE),"")</f>
        <v/>
      </c>
    </row>
    <row r="103" spans="1:15" outlineLevel="2" x14ac:dyDescent="0.2">
      <c r="A103" t="str">
        <f t="shared" si="1"/>
        <v>600000012-352830.69</v>
      </c>
      <c r="B103" t="s">
        <v>0</v>
      </c>
      <c r="C103" t="s">
        <v>1</v>
      </c>
      <c r="D103" t="s">
        <v>178</v>
      </c>
      <c r="E103" t="s">
        <v>662</v>
      </c>
      <c r="F103" s="1">
        <v>38107</v>
      </c>
      <c r="G103" t="s">
        <v>1</v>
      </c>
      <c r="H103" s="1"/>
      <c r="I103" s="2">
        <v>-352830.69</v>
      </c>
      <c r="J103" s="2">
        <v>0</v>
      </c>
      <c r="K103" t="s">
        <v>171</v>
      </c>
      <c r="L103" t="s">
        <v>1</v>
      </c>
      <c r="M103" t="s">
        <v>1</v>
      </c>
      <c r="N103" s="2">
        <v>-352830.69</v>
      </c>
      <c r="O103" t="str">
        <f>IFERROR(VLOOKUP($A103,Accounts!$A:$G,3,FALSE),"")</f>
        <v/>
      </c>
    </row>
    <row r="104" spans="1:15" outlineLevel="2" x14ac:dyDescent="0.2">
      <c r="A104" t="str">
        <f t="shared" si="1"/>
        <v>600000004-15184.87</v>
      </c>
      <c r="B104" t="s">
        <v>0</v>
      </c>
      <c r="C104" t="s">
        <v>1</v>
      </c>
      <c r="D104" t="s">
        <v>178</v>
      </c>
      <c r="E104" t="s">
        <v>172</v>
      </c>
      <c r="F104" s="1">
        <v>38077</v>
      </c>
      <c r="G104" t="s">
        <v>1</v>
      </c>
      <c r="H104" s="1"/>
      <c r="I104" s="2">
        <v>-15184.87</v>
      </c>
      <c r="J104" s="2">
        <v>0</v>
      </c>
      <c r="K104" t="s">
        <v>171</v>
      </c>
      <c r="L104" t="s">
        <v>1</v>
      </c>
      <c r="M104" t="s">
        <v>1</v>
      </c>
      <c r="N104" s="2">
        <v>-15184.87</v>
      </c>
      <c r="O104" t="str">
        <f>IFERROR(VLOOKUP($A104,Accounts!$A:$G,3,FALSE),"")</f>
        <v/>
      </c>
    </row>
    <row r="105" spans="1:15" outlineLevel="2" x14ac:dyDescent="0.2">
      <c r="A105" t="str">
        <f t="shared" si="1"/>
        <v>600000004-24629.75</v>
      </c>
      <c r="B105" t="s">
        <v>0</v>
      </c>
      <c r="C105" t="s">
        <v>1</v>
      </c>
      <c r="D105" t="s">
        <v>178</v>
      </c>
      <c r="E105" t="s">
        <v>172</v>
      </c>
      <c r="F105" s="1">
        <v>38077</v>
      </c>
      <c r="G105" t="s">
        <v>1</v>
      </c>
      <c r="H105" s="1"/>
      <c r="I105" s="2">
        <v>-24629.75</v>
      </c>
      <c r="J105" s="2">
        <v>0</v>
      </c>
      <c r="K105" t="s">
        <v>171</v>
      </c>
      <c r="L105" t="s">
        <v>1</v>
      </c>
      <c r="M105" t="s">
        <v>1</v>
      </c>
      <c r="N105" s="2">
        <v>-24629.75</v>
      </c>
      <c r="O105" t="str">
        <f>IFERROR(VLOOKUP($A105,Accounts!$A:$G,3,FALSE),"")</f>
        <v/>
      </c>
    </row>
    <row r="106" spans="1:15" outlineLevel="2" x14ac:dyDescent="0.2">
      <c r="A106" t="str">
        <f t="shared" si="1"/>
        <v>60000000029566.2</v>
      </c>
      <c r="B106" t="s">
        <v>0</v>
      </c>
      <c r="C106" t="s">
        <v>1</v>
      </c>
      <c r="D106" t="s">
        <v>178</v>
      </c>
      <c r="E106" t="s">
        <v>663</v>
      </c>
      <c r="F106" s="1">
        <v>38046</v>
      </c>
      <c r="G106" t="s">
        <v>1</v>
      </c>
      <c r="H106" s="1"/>
      <c r="I106" s="2">
        <v>29566.2</v>
      </c>
      <c r="J106" s="2">
        <v>0</v>
      </c>
      <c r="K106" t="s">
        <v>171</v>
      </c>
      <c r="L106" t="s">
        <v>1</v>
      </c>
      <c r="M106" t="s">
        <v>1</v>
      </c>
      <c r="N106" s="2">
        <v>29566.2</v>
      </c>
      <c r="O106" t="str">
        <f>IFERROR(VLOOKUP($A106,Accounts!$A:$G,3,FALSE),"")</f>
        <v/>
      </c>
    </row>
    <row r="107" spans="1:15" outlineLevel="2" x14ac:dyDescent="0.2">
      <c r="A107" t="str">
        <f t="shared" si="1"/>
        <v>600000000594033.27</v>
      </c>
      <c r="B107" t="s">
        <v>0</v>
      </c>
      <c r="C107" t="s">
        <v>1</v>
      </c>
      <c r="D107" t="s">
        <v>178</v>
      </c>
      <c r="E107" t="s">
        <v>663</v>
      </c>
      <c r="F107" s="1">
        <v>38046</v>
      </c>
      <c r="G107" t="s">
        <v>1</v>
      </c>
      <c r="H107" s="1"/>
      <c r="I107" s="2">
        <v>594033.27</v>
      </c>
      <c r="J107" s="2">
        <v>0</v>
      </c>
      <c r="K107" t="s">
        <v>171</v>
      </c>
      <c r="L107" t="s">
        <v>1</v>
      </c>
      <c r="M107" t="s">
        <v>1</v>
      </c>
      <c r="N107" s="2">
        <v>594033.27</v>
      </c>
      <c r="O107" t="str">
        <f>IFERROR(VLOOKUP($A107,Accounts!$A:$G,3,FALSE),"")</f>
        <v/>
      </c>
    </row>
    <row r="108" spans="1:15" outlineLevel="2" x14ac:dyDescent="0.2">
      <c r="A108" t="str">
        <f t="shared" si="1"/>
        <v>60000000114848.31</v>
      </c>
      <c r="B108" t="s">
        <v>0</v>
      </c>
      <c r="C108" t="s">
        <v>1</v>
      </c>
      <c r="D108" t="s">
        <v>178</v>
      </c>
      <c r="E108" t="s">
        <v>664</v>
      </c>
      <c r="F108" s="1">
        <v>38017</v>
      </c>
      <c r="G108" t="s">
        <v>1</v>
      </c>
      <c r="H108" s="1"/>
      <c r="I108" s="2">
        <v>14848.31</v>
      </c>
      <c r="J108" s="2">
        <v>0</v>
      </c>
      <c r="K108" t="s">
        <v>171</v>
      </c>
      <c r="L108" t="s">
        <v>1</v>
      </c>
      <c r="M108" t="s">
        <v>1</v>
      </c>
      <c r="N108" s="2">
        <v>14848.31</v>
      </c>
      <c r="O108" t="str">
        <f>IFERROR(VLOOKUP($A108,Accounts!$A:$G,3,FALSE),"")</f>
        <v/>
      </c>
    </row>
    <row r="109" spans="1:15" outlineLevel="2" x14ac:dyDescent="0.2">
      <c r="A109" t="str">
        <f t="shared" si="1"/>
        <v>600000001254381.06</v>
      </c>
      <c r="B109" t="s">
        <v>0</v>
      </c>
      <c r="C109" t="s">
        <v>1</v>
      </c>
      <c r="D109" t="s">
        <v>178</v>
      </c>
      <c r="E109" t="s">
        <v>664</v>
      </c>
      <c r="F109" s="1">
        <v>38017</v>
      </c>
      <c r="G109" t="s">
        <v>1</v>
      </c>
      <c r="H109" s="1"/>
      <c r="I109" s="2">
        <v>254381.06</v>
      </c>
      <c r="J109" s="2">
        <v>0</v>
      </c>
      <c r="K109" t="s">
        <v>171</v>
      </c>
      <c r="L109" t="s">
        <v>1</v>
      </c>
      <c r="M109" t="s">
        <v>1</v>
      </c>
      <c r="N109" s="2">
        <v>254381.06</v>
      </c>
      <c r="O109" t="str">
        <f>IFERROR(VLOOKUP($A109,Accounts!$A:$G,3,FALSE),"")</f>
        <v/>
      </c>
    </row>
    <row r="110" spans="1:15" outlineLevel="2" x14ac:dyDescent="0.2">
      <c r="A110" t="str">
        <f t="shared" si="1"/>
        <v>600000034-437770.04</v>
      </c>
      <c r="B110" t="s">
        <v>0</v>
      </c>
      <c r="C110" t="s">
        <v>1</v>
      </c>
      <c r="D110" t="s">
        <v>178</v>
      </c>
      <c r="E110" t="s">
        <v>665</v>
      </c>
      <c r="F110" s="1">
        <v>37986</v>
      </c>
      <c r="G110" t="s">
        <v>1</v>
      </c>
      <c r="H110" s="1"/>
      <c r="I110" s="2">
        <v>-437770.04</v>
      </c>
      <c r="J110" s="2">
        <v>0</v>
      </c>
      <c r="K110" t="s">
        <v>173</v>
      </c>
      <c r="L110" t="s">
        <v>1</v>
      </c>
      <c r="M110" t="s">
        <v>1</v>
      </c>
      <c r="N110" s="2">
        <v>-437770.04</v>
      </c>
      <c r="O110" t="str">
        <f>IFERROR(VLOOKUP($A110,Accounts!$A:$G,3,FALSE),"")</f>
        <v/>
      </c>
    </row>
    <row r="111" spans="1:15" outlineLevel="2" x14ac:dyDescent="0.2">
      <c r="A111" t="str">
        <f t="shared" si="1"/>
        <v>600000031223686.5</v>
      </c>
      <c r="B111" t="s">
        <v>0</v>
      </c>
      <c r="C111" t="s">
        <v>1</v>
      </c>
      <c r="D111" t="s">
        <v>178</v>
      </c>
      <c r="E111" t="s">
        <v>666</v>
      </c>
      <c r="F111" s="1">
        <v>37955</v>
      </c>
      <c r="G111" t="s">
        <v>1</v>
      </c>
      <c r="H111" s="1"/>
      <c r="I111" s="2">
        <v>223686.5</v>
      </c>
      <c r="J111" s="2">
        <v>0</v>
      </c>
      <c r="K111" t="s">
        <v>173</v>
      </c>
      <c r="L111" t="s">
        <v>1</v>
      </c>
      <c r="M111" t="s">
        <v>1</v>
      </c>
      <c r="N111" s="2">
        <v>223686.5</v>
      </c>
      <c r="O111" t="str">
        <f>IFERROR(VLOOKUP($A111,Accounts!$A:$G,3,FALSE),"")</f>
        <v/>
      </c>
    </row>
    <row r="112" spans="1:15" outlineLevel="2" x14ac:dyDescent="0.2">
      <c r="A112" t="str">
        <f t="shared" si="1"/>
        <v>600000028227848.06</v>
      </c>
      <c r="B112" t="s">
        <v>0</v>
      </c>
      <c r="C112" t="s">
        <v>1</v>
      </c>
      <c r="D112" t="s">
        <v>178</v>
      </c>
      <c r="E112" t="s">
        <v>667</v>
      </c>
      <c r="F112" s="1">
        <v>37925</v>
      </c>
      <c r="G112" t="s">
        <v>1</v>
      </c>
      <c r="H112" s="1"/>
      <c r="I112" s="2">
        <v>227848.06</v>
      </c>
      <c r="J112" s="2">
        <v>0</v>
      </c>
      <c r="K112" t="s">
        <v>173</v>
      </c>
      <c r="L112" t="s">
        <v>1</v>
      </c>
      <c r="M112" t="s">
        <v>1</v>
      </c>
      <c r="N112" s="2">
        <v>227848.06</v>
      </c>
      <c r="O112" t="str">
        <f>IFERROR(VLOOKUP($A112,Accounts!$A:$G,3,FALSE),"")</f>
        <v/>
      </c>
    </row>
    <row r="113" spans="1:15" outlineLevel="2" x14ac:dyDescent="0.2">
      <c r="A113" t="str">
        <f t="shared" si="1"/>
        <v>60000002113677.74</v>
      </c>
      <c r="B113" t="s">
        <v>0</v>
      </c>
      <c r="C113" t="s">
        <v>1</v>
      </c>
      <c r="D113" t="s">
        <v>178</v>
      </c>
      <c r="E113" t="s">
        <v>669</v>
      </c>
      <c r="F113" s="1">
        <v>37864</v>
      </c>
      <c r="G113" t="s">
        <v>1</v>
      </c>
      <c r="H113" s="1"/>
      <c r="I113" s="2">
        <v>13677.74</v>
      </c>
      <c r="J113" s="2">
        <v>0</v>
      </c>
      <c r="K113" t="s">
        <v>173</v>
      </c>
      <c r="L113" t="s">
        <v>1</v>
      </c>
      <c r="M113" t="s">
        <v>1</v>
      </c>
      <c r="N113" s="2">
        <v>13677.74</v>
      </c>
      <c r="O113" t="str">
        <f>IFERROR(VLOOKUP($A113,Accounts!$A:$G,3,FALSE),"")</f>
        <v/>
      </c>
    </row>
    <row r="114" spans="1:15" outlineLevel="2" x14ac:dyDescent="0.2">
      <c r="A114" t="str">
        <f t="shared" si="1"/>
        <v>600000025700334.43</v>
      </c>
      <c r="B114" t="s">
        <v>0</v>
      </c>
      <c r="C114" t="s">
        <v>1</v>
      </c>
      <c r="D114" t="s">
        <v>178</v>
      </c>
      <c r="E114" t="s">
        <v>668</v>
      </c>
      <c r="F114" s="1">
        <v>37894</v>
      </c>
      <c r="G114" t="s">
        <v>1</v>
      </c>
      <c r="H114" s="1"/>
      <c r="I114" s="2">
        <v>700334.43</v>
      </c>
      <c r="J114" s="2">
        <v>0</v>
      </c>
      <c r="K114" t="s">
        <v>173</v>
      </c>
      <c r="L114" t="s">
        <v>1</v>
      </c>
      <c r="M114" t="s">
        <v>1</v>
      </c>
      <c r="N114" s="2">
        <v>700334.43</v>
      </c>
      <c r="O114" t="str">
        <f>IFERROR(VLOOKUP($A114,Accounts!$A:$G,3,FALSE),"")</f>
        <v/>
      </c>
    </row>
    <row r="115" spans="1:15" outlineLevel="2" x14ac:dyDescent="0.2">
      <c r="A115" t="str">
        <f t="shared" si="1"/>
        <v>650933-49040.24</v>
      </c>
      <c r="B115" t="s">
        <v>0</v>
      </c>
      <c r="C115" t="s">
        <v>1</v>
      </c>
      <c r="D115" t="s">
        <v>178</v>
      </c>
      <c r="E115" t="s">
        <v>677</v>
      </c>
      <c r="F115" s="1">
        <v>38199</v>
      </c>
      <c r="G115" t="s">
        <v>1</v>
      </c>
      <c r="H115" s="1"/>
      <c r="I115" s="2">
        <v>-49040.24</v>
      </c>
      <c r="J115" s="2">
        <v>0</v>
      </c>
      <c r="K115" t="s">
        <v>171</v>
      </c>
      <c r="L115" t="s">
        <v>1</v>
      </c>
      <c r="M115" t="s">
        <v>1</v>
      </c>
      <c r="N115" s="2">
        <v>-49040.24</v>
      </c>
      <c r="O115" t="str">
        <f>IFERROR(VLOOKUP($A115,Accounts!$A:$G,3,FALSE),"")</f>
        <v/>
      </c>
    </row>
    <row r="116" spans="1:15" outlineLevel="2" x14ac:dyDescent="0.2">
      <c r="A116" t="str">
        <f t="shared" si="1"/>
        <v>650938-44703.89</v>
      </c>
      <c r="B116" t="s">
        <v>0</v>
      </c>
      <c r="C116" t="s">
        <v>1</v>
      </c>
      <c r="D116" t="s">
        <v>178</v>
      </c>
      <c r="E116" t="s">
        <v>676</v>
      </c>
      <c r="F116" s="1">
        <v>38199</v>
      </c>
      <c r="G116" t="s">
        <v>1</v>
      </c>
      <c r="H116" s="1"/>
      <c r="I116" s="2">
        <v>-44703.89</v>
      </c>
      <c r="J116" s="2">
        <v>0</v>
      </c>
      <c r="K116" t="s">
        <v>171</v>
      </c>
      <c r="L116" t="s">
        <v>1</v>
      </c>
      <c r="M116" t="s">
        <v>1</v>
      </c>
      <c r="N116" s="2">
        <v>-44703.89</v>
      </c>
      <c r="O116" t="str">
        <f>IFERROR(VLOOKUP($A116,Accounts!$A:$G,3,FALSE),"")</f>
        <v/>
      </c>
    </row>
    <row r="117" spans="1:15" outlineLevel="2" x14ac:dyDescent="0.2">
      <c r="A117" t="str">
        <f t="shared" si="1"/>
        <v>650935432659.77</v>
      </c>
      <c r="B117" t="s">
        <v>0</v>
      </c>
      <c r="C117" t="s">
        <v>1</v>
      </c>
      <c r="D117" t="s">
        <v>178</v>
      </c>
      <c r="E117" t="s">
        <v>683</v>
      </c>
      <c r="F117" s="1">
        <v>38199</v>
      </c>
      <c r="G117" t="s">
        <v>1</v>
      </c>
      <c r="H117" s="1"/>
      <c r="I117" s="2">
        <v>432659.77</v>
      </c>
      <c r="J117" s="2">
        <v>0</v>
      </c>
      <c r="K117" t="s">
        <v>171</v>
      </c>
      <c r="L117" t="s">
        <v>1</v>
      </c>
      <c r="M117" t="s">
        <v>1</v>
      </c>
      <c r="N117" s="2">
        <v>432659.77</v>
      </c>
      <c r="O117" t="str">
        <f>IFERROR(VLOOKUP($A117,Accounts!$A:$G,3,FALSE),"")</f>
        <v/>
      </c>
    </row>
    <row r="118" spans="1:15" outlineLevel="2" x14ac:dyDescent="0.2">
      <c r="A118" t="str">
        <f t="shared" si="1"/>
        <v>650933-517.36</v>
      </c>
      <c r="B118" t="s">
        <v>0</v>
      </c>
      <c r="C118" t="s">
        <v>1</v>
      </c>
      <c r="D118" t="s">
        <v>178</v>
      </c>
      <c r="E118" t="s">
        <v>677</v>
      </c>
      <c r="F118" s="1">
        <v>38199</v>
      </c>
      <c r="G118" t="s">
        <v>1</v>
      </c>
      <c r="H118" s="1"/>
      <c r="I118" s="2">
        <v>-517.36</v>
      </c>
      <c r="J118" s="2">
        <v>0</v>
      </c>
      <c r="K118" t="s">
        <v>171</v>
      </c>
      <c r="L118" t="s">
        <v>1</v>
      </c>
      <c r="M118" t="s">
        <v>1</v>
      </c>
      <c r="N118" s="2">
        <v>-517.36</v>
      </c>
      <c r="O118" t="str">
        <f>IFERROR(VLOOKUP($A118,Accounts!$A:$G,3,FALSE),"")</f>
        <v/>
      </c>
    </row>
    <row r="119" spans="1:15" outlineLevel="2" x14ac:dyDescent="0.2">
      <c r="A119" t="str">
        <f t="shared" si="1"/>
        <v>650940709.26</v>
      </c>
      <c r="B119" t="s">
        <v>0</v>
      </c>
      <c r="C119" t="s">
        <v>1</v>
      </c>
      <c r="D119" t="s">
        <v>178</v>
      </c>
      <c r="E119" t="s">
        <v>674</v>
      </c>
      <c r="F119" s="1">
        <v>38199</v>
      </c>
      <c r="G119" t="s">
        <v>1</v>
      </c>
      <c r="H119" s="1"/>
      <c r="I119" s="2">
        <v>709.26</v>
      </c>
      <c r="J119" s="2">
        <v>0</v>
      </c>
      <c r="K119" t="s">
        <v>171</v>
      </c>
      <c r="L119" t="s">
        <v>1</v>
      </c>
      <c r="M119" t="s">
        <v>1</v>
      </c>
      <c r="N119" s="2">
        <v>709.26</v>
      </c>
      <c r="O119" t="str">
        <f>IFERROR(VLOOKUP($A119,Accounts!$A:$G,3,FALSE),"")</f>
        <v/>
      </c>
    </row>
    <row r="120" spans="1:15" outlineLevel="2" x14ac:dyDescent="0.2">
      <c r="A120" t="str">
        <f t="shared" si="1"/>
        <v>650933230412.37</v>
      </c>
      <c r="B120" t="s">
        <v>0</v>
      </c>
      <c r="C120" t="s">
        <v>1</v>
      </c>
      <c r="D120" t="s">
        <v>178</v>
      </c>
      <c r="E120" t="s">
        <v>677</v>
      </c>
      <c r="F120" s="1">
        <v>38199</v>
      </c>
      <c r="G120" t="s">
        <v>1</v>
      </c>
      <c r="H120" s="1"/>
      <c r="I120" s="2">
        <v>230412.37</v>
      </c>
      <c r="J120" s="2">
        <v>0</v>
      </c>
      <c r="K120" t="s">
        <v>171</v>
      </c>
      <c r="L120" t="s">
        <v>1</v>
      </c>
      <c r="M120" t="s">
        <v>1</v>
      </c>
      <c r="N120" s="2">
        <v>230412.37</v>
      </c>
      <c r="O120" t="str">
        <f>IFERROR(VLOOKUP($A120,Accounts!$A:$G,3,FALSE),"")</f>
        <v/>
      </c>
    </row>
    <row r="121" spans="1:15" outlineLevel="2" x14ac:dyDescent="0.2">
      <c r="A121" t="str">
        <f t="shared" si="1"/>
        <v>650935-178489.23</v>
      </c>
      <c r="B121" t="s">
        <v>0</v>
      </c>
      <c r="C121" t="s">
        <v>1</v>
      </c>
      <c r="D121" t="s">
        <v>178</v>
      </c>
      <c r="E121" t="s">
        <v>683</v>
      </c>
      <c r="F121" s="1">
        <v>38199</v>
      </c>
      <c r="G121" t="s">
        <v>1</v>
      </c>
      <c r="H121" s="1"/>
      <c r="I121" s="2">
        <v>-178489.23</v>
      </c>
      <c r="J121" s="2">
        <v>0</v>
      </c>
      <c r="K121" t="s">
        <v>171</v>
      </c>
      <c r="L121" t="s">
        <v>1</v>
      </c>
      <c r="M121" t="s">
        <v>1</v>
      </c>
      <c r="N121" s="2">
        <v>-178489.23</v>
      </c>
      <c r="O121" t="str">
        <f>IFERROR(VLOOKUP($A121,Accounts!$A:$G,3,FALSE),"")</f>
        <v/>
      </c>
    </row>
    <row r="122" spans="1:15" outlineLevel="2" x14ac:dyDescent="0.2">
      <c r="A122" t="str">
        <f t="shared" si="1"/>
        <v>650935-43182.61</v>
      </c>
      <c r="B122" t="s">
        <v>0</v>
      </c>
      <c r="C122" t="s">
        <v>1</v>
      </c>
      <c r="D122" t="s">
        <v>178</v>
      </c>
      <c r="E122" t="s">
        <v>683</v>
      </c>
      <c r="F122" s="1">
        <v>38199</v>
      </c>
      <c r="G122" t="s">
        <v>1</v>
      </c>
      <c r="H122" s="1"/>
      <c r="I122" s="2">
        <v>-43182.61</v>
      </c>
      <c r="J122" s="2">
        <v>0</v>
      </c>
      <c r="K122" t="s">
        <v>171</v>
      </c>
      <c r="L122" t="s">
        <v>1</v>
      </c>
      <c r="M122" t="s">
        <v>1</v>
      </c>
      <c r="N122" s="2">
        <v>-43182.61</v>
      </c>
      <c r="O122" t="str">
        <f>IFERROR(VLOOKUP($A122,Accounts!$A:$G,3,FALSE),"")</f>
        <v/>
      </c>
    </row>
    <row r="123" spans="1:15" outlineLevel="2" x14ac:dyDescent="0.2">
      <c r="A123" t="str">
        <f t="shared" si="1"/>
        <v>650935-332864.18</v>
      </c>
      <c r="B123" t="s">
        <v>0</v>
      </c>
      <c r="C123" t="s">
        <v>1</v>
      </c>
      <c r="D123" t="s">
        <v>178</v>
      </c>
      <c r="E123" t="s">
        <v>683</v>
      </c>
      <c r="F123" s="1">
        <v>38199</v>
      </c>
      <c r="G123" t="s">
        <v>1</v>
      </c>
      <c r="H123" s="1"/>
      <c r="I123" s="2">
        <v>-332864.18</v>
      </c>
      <c r="J123" s="2">
        <v>0</v>
      </c>
      <c r="K123" t="s">
        <v>171</v>
      </c>
      <c r="L123" t="s">
        <v>1</v>
      </c>
      <c r="M123" t="s">
        <v>1</v>
      </c>
      <c r="N123" s="2">
        <v>-332864.18</v>
      </c>
      <c r="O123" t="str">
        <f>IFERROR(VLOOKUP($A123,Accounts!$A:$G,3,FALSE),"")</f>
        <v/>
      </c>
    </row>
    <row r="124" spans="1:15" outlineLevel="2" x14ac:dyDescent="0.2">
      <c r="A124" t="str">
        <f t="shared" si="1"/>
        <v>650940-121168.92</v>
      </c>
      <c r="B124" t="s">
        <v>0</v>
      </c>
      <c r="C124" t="s">
        <v>1</v>
      </c>
      <c r="D124" t="s">
        <v>178</v>
      </c>
      <c r="E124" t="s">
        <v>674</v>
      </c>
      <c r="F124" s="1">
        <v>38199</v>
      </c>
      <c r="G124" t="s">
        <v>1</v>
      </c>
      <c r="H124" s="1"/>
      <c r="I124" s="2">
        <v>-121168.92</v>
      </c>
      <c r="J124" s="2">
        <v>0</v>
      </c>
      <c r="K124" t="s">
        <v>171</v>
      </c>
      <c r="L124" t="s">
        <v>1</v>
      </c>
      <c r="M124" t="s">
        <v>1</v>
      </c>
      <c r="N124" s="2">
        <v>-121168.92</v>
      </c>
      <c r="O124" t="str">
        <f>IFERROR(VLOOKUP($A124,Accounts!$A:$G,3,FALSE),"")</f>
        <v/>
      </c>
    </row>
    <row r="125" spans="1:15" outlineLevel="2" x14ac:dyDescent="0.2">
      <c r="A125" t="str">
        <f t="shared" si="1"/>
        <v>650943-709.26</v>
      </c>
      <c r="B125" t="s">
        <v>0</v>
      </c>
      <c r="C125" t="s">
        <v>1</v>
      </c>
      <c r="D125" t="s">
        <v>178</v>
      </c>
      <c r="E125" t="s">
        <v>684</v>
      </c>
      <c r="F125" s="1">
        <v>38199</v>
      </c>
      <c r="G125" t="s">
        <v>1</v>
      </c>
      <c r="H125" s="1"/>
      <c r="I125" s="2">
        <v>-709.26</v>
      </c>
      <c r="J125" s="2">
        <v>0</v>
      </c>
      <c r="K125" t="s">
        <v>171</v>
      </c>
      <c r="L125" t="s">
        <v>1</v>
      </c>
      <c r="M125" t="s">
        <v>1</v>
      </c>
      <c r="N125" s="2">
        <v>-709.26</v>
      </c>
      <c r="O125" t="str">
        <f>IFERROR(VLOOKUP($A125,Accounts!$A:$G,3,FALSE),"")</f>
        <v/>
      </c>
    </row>
    <row r="126" spans="1:15" outlineLevel="2" x14ac:dyDescent="0.2">
      <c r="A126" t="str">
        <f t="shared" si="1"/>
        <v>650943-43373.37</v>
      </c>
      <c r="B126" t="s">
        <v>0</v>
      </c>
      <c r="C126" t="s">
        <v>1</v>
      </c>
      <c r="D126" t="s">
        <v>178</v>
      </c>
      <c r="E126" t="s">
        <v>684</v>
      </c>
      <c r="F126" s="1">
        <v>38199</v>
      </c>
      <c r="G126" t="s">
        <v>1</v>
      </c>
      <c r="H126" s="1"/>
      <c r="I126" s="2">
        <v>-43373.37</v>
      </c>
      <c r="J126" s="2">
        <v>0</v>
      </c>
      <c r="K126" t="s">
        <v>171</v>
      </c>
      <c r="L126" t="s">
        <v>1</v>
      </c>
      <c r="M126" t="s">
        <v>1</v>
      </c>
      <c r="N126" s="2">
        <v>-43373.37</v>
      </c>
      <c r="O126" t="str">
        <f>IFERROR(VLOOKUP($A126,Accounts!$A:$G,3,FALSE),"")</f>
        <v/>
      </c>
    </row>
    <row r="127" spans="1:15" outlineLevel="2" x14ac:dyDescent="0.2">
      <c r="A127" t="str">
        <f t="shared" si="1"/>
        <v>650943-30738.11</v>
      </c>
      <c r="B127" t="s">
        <v>0</v>
      </c>
      <c r="C127" t="s">
        <v>1</v>
      </c>
      <c r="D127" t="s">
        <v>178</v>
      </c>
      <c r="E127" t="s">
        <v>684</v>
      </c>
      <c r="F127" s="1">
        <v>38199</v>
      </c>
      <c r="G127" t="s">
        <v>1</v>
      </c>
      <c r="H127" s="1"/>
      <c r="I127" s="2">
        <v>-30738.11</v>
      </c>
      <c r="J127" s="2">
        <v>0</v>
      </c>
      <c r="K127" t="s">
        <v>171</v>
      </c>
      <c r="L127" t="s">
        <v>1</v>
      </c>
      <c r="M127" t="s">
        <v>1</v>
      </c>
      <c r="N127" s="2">
        <v>-30738.11</v>
      </c>
      <c r="O127" t="str">
        <f>IFERROR(VLOOKUP($A127,Accounts!$A:$G,3,FALSE),"")</f>
        <v/>
      </c>
    </row>
    <row r="128" spans="1:15" outlineLevel="2" x14ac:dyDescent="0.2">
      <c r="A128" t="str">
        <f t="shared" si="1"/>
        <v>650943391</v>
      </c>
      <c r="B128" t="s">
        <v>0</v>
      </c>
      <c r="C128" t="s">
        <v>1</v>
      </c>
      <c r="D128" t="s">
        <v>178</v>
      </c>
      <c r="E128" t="s">
        <v>684</v>
      </c>
      <c r="F128" s="1">
        <v>38199</v>
      </c>
      <c r="G128" t="s">
        <v>1</v>
      </c>
      <c r="H128" s="1"/>
      <c r="I128" s="2">
        <v>391</v>
      </c>
      <c r="J128" s="2">
        <v>0</v>
      </c>
      <c r="K128" t="s">
        <v>171</v>
      </c>
      <c r="L128" t="s">
        <v>1</v>
      </c>
      <c r="M128" t="s">
        <v>1</v>
      </c>
      <c r="N128" s="2">
        <v>391</v>
      </c>
      <c r="O128" t="str">
        <f>IFERROR(VLOOKUP($A128,Accounts!$A:$G,3,FALSE),"")</f>
        <v/>
      </c>
    </row>
    <row r="129" spans="1:15" outlineLevel="2" x14ac:dyDescent="0.2">
      <c r="A129" t="str">
        <f t="shared" si="1"/>
        <v>650943-44703.89</v>
      </c>
      <c r="B129" t="s">
        <v>0</v>
      </c>
      <c r="C129" t="s">
        <v>1</v>
      </c>
      <c r="D129" t="s">
        <v>178</v>
      </c>
      <c r="E129" t="s">
        <v>684</v>
      </c>
      <c r="F129" s="1">
        <v>38199</v>
      </c>
      <c r="G129" t="s">
        <v>1</v>
      </c>
      <c r="H129" s="1"/>
      <c r="I129" s="2">
        <v>-44703.89</v>
      </c>
      <c r="J129" s="2">
        <v>0</v>
      </c>
      <c r="K129" t="s">
        <v>171</v>
      </c>
      <c r="L129" t="s">
        <v>1</v>
      </c>
      <c r="M129" t="s">
        <v>1</v>
      </c>
      <c r="N129" s="2">
        <v>-44703.89</v>
      </c>
      <c r="O129" t="str">
        <f>IFERROR(VLOOKUP($A129,Accounts!$A:$G,3,FALSE),"")</f>
        <v/>
      </c>
    </row>
    <row r="130" spans="1:15" outlineLevel="2" x14ac:dyDescent="0.2">
      <c r="A130" t="str">
        <f t="shared" si="1"/>
        <v>650943-2035.29</v>
      </c>
      <c r="B130" t="s">
        <v>0</v>
      </c>
      <c r="C130" t="s">
        <v>1</v>
      </c>
      <c r="D130" t="s">
        <v>178</v>
      </c>
      <c r="E130" t="s">
        <v>684</v>
      </c>
      <c r="F130" s="1">
        <v>38199</v>
      </c>
      <c r="G130" t="s">
        <v>1</v>
      </c>
      <c r="H130" s="1"/>
      <c r="I130" s="2">
        <v>-2035.29</v>
      </c>
      <c r="J130" s="2">
        <v>0</v>
      </c>
      <c r="K130" t="s">
        <v>171</v>
      </c>
      <c r="L130" t="s">
        <v>1</v>
      </c>
      <c r="M130" t="s">
        <v>1</v>
      </c>
      <c r="N130" s="2">
        <v>-2035.29</v>
      </c>
      <c r="O130" t="str">
        <f>IFERROR(VLOOKUP($A130,Accounts!$A:$G,3,FALSE),"")</f>
        <v/>
      </c>
    </row>
    <row r="131" spans="1:15" outlineLevel="2" x14ac:dyDescent="0.2">
      <c r="A131" t="str">
        <f t="shared" si="1"/>
        <v>650943121168.92</v>
      </c>
      <c r="B131" t="s">
        <v>0</v>
      </c>
      <c r="C131" t="s">
        <v>1</v>
      </c>
      <c r="D131" t="s">
        <v>178</v>
      </c>
      <c r="E131" t="s">
        <v>684</v>
      </c>
      <c r="F131" s="1">
        <v>38199</v>
      </c>
      <c r="G131" t="s">
        <v>1</v>
      </c>
      <c r="H131" s="1"/>
      <c r="I131" s="2">
        <v>121168.92</v>
      </c>
      <c r="J131" s="2">
        <v>0</v>
      </c>
      <c r="K131" t="s">
        <v>171</v>
      </c>
      <c r="L131" t="s">
        <v>1</v>
      </c>
      <c r="M131" t="s">
        <v>1</v>
      </c>
      <c r="N131" s="2">
        <v>121168.92</v>
      </c>
      <c r="O131" t="str">
        <f>IFERROR(VLOOKUP($A131,Accounts!$A:$G,3,FALSE),"")</f>
        <v/>
      </c>
    </row>
    <row r="132" spans="1:15" outlineLevel="2" x14ac:dyDescent="0.2">
      <c r="A132" t="str">
        <f t="shared" si="1"/>
        <v>650945-129505.33</v>
      </c>
      <c r="B132" t="s">
        <v>0</v>
      </c>
      <c r="C132" t="s">
        <v>1</v>
      </c>
      <c r="D132" t="s">
        <v>178</v>
      </c>
      <c r="E132" t="s">
        <v>680</v>
      </c>
      <c r="F132" s="1">
        <v>38199</v>
      </c>
      <c r="G132" t="s">
        <v>1</v>
      </c>
      <c r="H132" s="1"/>
      <c r="I132" s="2">
        <v>-129505.33</v>
      </c>
      <c r="J132" s="2">
        <v>0</v>
      </c>
      <c r="K132" t="s">
        <v>171</v>
      </c>
      <c r="L132" t="s">
        <v>1</v>
      </c>
      <c r="M132" t="s">
        <v>1</v>
      </c>
      <c r="N132" s="2">
        <v>-129505.33</v>
      </c>
      <c r="O132" t="str">
        <f>IFERROR(VLOOKUP($A132,Accounts!$A:$G,3,FALSE),"")</f>
        <v/>
      </c>
    </row>
    <row r="133" spans="1:15" outlineLevel="2" x14ac:dyDescent="0.2">
      <c r="A133" t="str">
        <f t="shared" si="1"/>
        <v>650945-92554.63</v>
      </c>
      <c r="B133" t="s">
        <v>0</v>
      </c>
      <c r="C133" t="s">
        <v>1</v>
      </c>
      <c r="D133" t="s">
        <v>178</v>
      </c>
      <c r="E133" t="s">
        <v>680</v>
      </c>
      <c r="F133" s="1">
        <v>38199</v>
      </c>
      <c r="G133" t="s">
        <v>1</v>
      </c>
      <c r="H133" s="1"/>
      <c r="I133" s="2">
        <v>-92554.63</v>
      </c>
      <c r="J133" s="2">
        <v>0</v>
      </c>
      <c r="K133" t="s">
        <v>171</v>
      </c>
      <c r="L133" t="s">
        <v>1</v>
      </c>
      <c r="M133" t="s">
        <v>1</v>
      </c>
      <c r="N133" s="2">
        <v>-92554.63</v>
      </c>
      <c r="O133" t="str">
        <f>IFERROR(VLOOKUP($A133,Accounts!$A:$G,3,FALSE),"")</f>
        <v/>
      </c>
    </row>
    <row r="134" spans="1:15" outlineLevel="2" x14ac:dyDescent="0.2">
      <c r="A134" t="str">
        <f t="shared" si="1"/>
        <v>650935122147.28</v>
      </c>
      <c r="B134" t="s">
        <v>0</v>
      </c>
      <c r="C134" t="s">
        <v>1</v>
      </c>
      <c r="D134" t="s">
        <v>178</v>
      </c>
      <c r="E134" t="s">
        <v>683</v>
      </c>
      <c r="F134" s="1">
        <v>38199</v>
      </c>
      <c r="G134" t="s">
        <v>1</v>
      </c>
      <c r="H134" s="1"/>
      <c r="I134" s="2">
        <v>122147.28</v>
      </c>
      <c r="J134" s="2">
        <v>0</v>
      </c>
      <c r="K134" t="s">
        <v>171</v>
      </c>
      <c r="L134" t="s">
        <v>1</v>
      </c>
      <c r="M134" t="s">
        <v>1</v>
      </c>
      <c r="N134" s="2">
        <v>122147.28</v>
      </c>
      <c r="O134" t="str">
        <f>IFERROR(VLOOKUP($A134,Accounts!$A:$G,3,FALSE),"")</f>
        <v/>
      </c>
    </row>
    <row r="135" spans="1:15" outlineLevel="2" x14ac:dyDescent="0.2">
      <c r="A135" t="str">
        <f t="shared" si="1"/>
        <v>65094528377.73</v>
      </c>
      <c r="B135" t="s">
        <v>0</v>
      </c>
      <c r="C135" t="s">
        <v>1</v>
      </c>
      <c r="D135" t="s">
        <v>178</v>
      </c>
      <c r="E135" t="s">
        <v>680</v>
      </c>
      <c r="F135" s="1">
        <v>38199</v>
      </c>
      <c r="G135" t="s">
        <v>1</v>
      </c>
      <c r="H135" s="1"/>
      <c r="I135" s="2">
        <v>28377.73</v>
      </c>
      <c r="J135" s="2">
        <v>0</v>
      </c>
      <c r="K135" t="s">
        <v>171</v>
      </c>
      <c r="L135" t="s">
        <v>1</v>
      </c>
      <c r="M135" t="s">
        <v>1</v>
      </c>
      <c r="N135" s="2">
        <v>28377.73</v>
      </c>
      <c r="O135" t="str">
        <f>IFERROR(VLOOKUP($A135,Accounts!$A:$G,3,FALSE),"")</f>
        <v/>
      </c>
    </row>
    <row r="136" spans="1:15" outlineLevel="2" x14ac:dyDescent="0.2">
      <c r="A136" t="str">
        <f t="shared" si="1"/>
        <v>650945187884.89</v>
      </c>
      <c r="B136" t="s">
        <v>0</v>
      </c>
      <c r="C136" t="s">
        <v>1</v>
      </c>
      <c r="D136" t="s">
        <v>178</v>
      </c>
      <c r="E136" t="s">
        <v>680</v>
      </c>
      <c r="F136" s="1">
        <v>38199</v>
      </c>
      <c r="G136" t="s">
        <v>1</v>
      </c>
      <c r="H136" s="1"/>
      <c r="I136" s="2">
        <v>187884.89</v>
      </c>
      <c r="J136" s="2">
        <v>0</v>
      </c>
      <c r="K136" t="s">
        <v>171</v>
      </c>
      <c r="L136" t="s">
        <v>1</v>
      </c>
      <c r="M136" t="s">
        <v>1</v>
      </c>
      <c r="N136" s="2">
        <v>187884.89</v>
      </c>
      <c r="O136" t="str">
        <f>IFERROR(VLOOKUP($A136,Accounts!$A:$G,3,FALSE),"")</f>
        <v/>
      </c>
    </row>
    <row r="137" spans="1:15" outlineLevel="2" x14ac:dyDescent="0.2">
      <c r="A137" t="str">
        <f t="shared" si="1"/>
        <v>-301971.83</v>
      </c>
      <c r="B137" s="3" t="s">
        <v>1</v>
      </c>
      <c r="C137" s="3" t="s">
        <v>1</v>
      </c>
      <c r="D137" s="3" t="s">
        <v>1</v>
      </c>
      <c r="E137" s="3" t="s">
        <v>1</v>
      </c>
      <c r="F137" s="4"/>
      <c r="G137" s="3" t="s">
        <v>1</v>
      </c>
      <c r="H137" s="4"/>
      <c r="I137" s="5">
        <v>-301971.83</v>
      </c>
      <c r="J137" s="5">
        <v>0</v>
      </c>
      <c r="K137" s="3" t="s">
        <v>1</v>
      </c>
      <c r="L137" s="3" t="s">
        <v>1</v>
      </c>
      <c r="M137" s="3" t="s">
        <v>1</v>
      </c>
      <c r="N137" s="5">
        <v>-301971.83</v>
      </c>
      <c r="O137" t="str">
        <f>IFERROR(VLOOKUP($A137,Accounts!$A:$G,3,FALSE),"")</f>
        <v/>
      </c>
    </row>
    <row r="138" spans="1:15" outlineLevel="2" x14ac:dyDescent="0.2">
      <c r="A138" t="str">
        <f t="shared" ref="A138:A201" si="2">IFERROR(IF(J138=0,E138&amp;C138&amp;I138,G138&amp;B138&amp;J138),"")</f>
        <v>6054111-9.97</v>
      </c>
      <c r="B138" t="s">
        <v>0</v>
      </c>
      <c r="C138" t="s">
        <v>179</v>
      </c>
      <c r="D138" t="s">
        <v>180</v>
      </c>
      <c r="E138" t="s">
        <v>188</v>
      </c>
      <c r="F138" s="1">
        <v>39386</v>
      </c>
      <c r="G138" t="s">
        <v>1</v>
      </c>
      <c r="H138" s="1"/>
      <c r="I138" s="2">
        <v>-9.9700000000000006</v>
      </c>
      <c r="J138" s="2">
        <v>0</v>
      </c>
      <c r="K138" t="s">
        <v>177</v>
      </c>
      <c r="L138" t="s">
        <v>1</v>
      </c>
      <c r="M138" t="s">
        <v>183</v>
      </c>
      <c r="N138" s="2">
        <v>-9.9700000000000006</v>
      </c>
      <c r="O138" t="str">
        <f>IFERROR(VLOOKUP($A138,Accounts!$A:$G,3,FALSE),"")</f>
        <v/>
      </c>
    </row>
    <row r="139" spans="1:15" outlineLevel="2" x14ac:dyDescent="0.2">
      <c r="A139" t="str">
        <f t="shared" si="2"/>
        <v>60048719.97</v>
      </c>
      <c r="B139" t="s">
        <v>0</v>
      </c>
      <c r="C139" t="s">
        <v>179</v>
      </c>
      <c r="D139" t="s">
        <v>180</v>
      </c>
      <c r="E139" t="s">
        <v>186</v>
      </c>
      <c r="F139" s="1">
        <v>39478</v>
      </c>
      <c r="G139" t="s">
        <v>1</v>
      </c>
      <c r="H139" s="1"/>
      <c r="I139" s="2">
        <v>9.9700000000000006</v>
      </c>
      <c r="J139" s="2">
        <v>0</v>
      </c>
      <c r="K139" t="s">
        <v>187</v>
      </c>
      <c r="L139" t="s">
        <v>1</v>
      </c>
      <c r="M139" t="s">
        <v>183</v>
      </c>
      <c r="N139" s="2">
        <v>9.9700000000000006</v>
      </c>
      <c r="O139" t="str">
        <f>IFERROR(VLOOKUP($A139,Accounts!$A:$G,3,FALSE),"")</f>
        <v/>
      </c>
    </row>
    <row r="140" spans="1:15" outlineLevel="2" x14ac:dyDescent="0.2">
      <c r="A140" t="str">
        <f t="shared" si="2"/>
        <v>6065021-75778.02</v>
      </c>
      <c r="B140" t="s">
        <v>0</v>
      </c>
      <c r="C140" t="s">
        <v>179</v>
      </c>
      <c r="D140" t="s">
        <v>180</v>
      </c>
      <c r="E140" t="s">
        <v>184</v>
      </c>
      <c r="F140" s="1">
        <v>41274</v>
      </c>
      <c r="G140" t="s">
        <v>1</v>
      </c>
      <c r="H140" s="1"/>
      <c r="I140" s="2">
        <v>-75778.02</v>
      </c>
      <c r="J140" s="2">
        <v>0</v>
      </c>
      <c r="K140" t="s">
        <v>185</v>
      </c>
      <c r="L140" t="s">
        <v>1</v>
      </c>
      <c r="M140" t="s">
        <v>183</v>
      </c>
      <c r="N140" s="2">
        <v>-75778.02</v>
      </c>
      <c r="O140" t="str">
        <f>IFERROR(VLOOKUP($A140,Accounts!$A:$G,3,FALSE),"")</f>
        <v/>
      </c>
    </row>
    <row r="141" spans="1:15" outlineLevel="2" x14ac:dyDescent="0.2">
      <c r="A141" t="str">
        <f t="shared" si="2"/>
        <v>601483175778.02</v>
      </c>
      <c r="B141" t="s">
        <v>0</v>
      </c>
      <c r="C141" t="s">
        <v>179</v>
      </c>
      <c r="D141" t="s">
        <v>180</v>
      </c>
      <c r="E141" t="s">
        <v>181</v>
      </c>
      <c r="F141" s="1">
        <v>41729</v>
      </c>
      <c r="G141" t="s">
        <v>1</v>
      </c>
      <c r="H141" s="1"/>
      <c r="I141" s="2">
        <v>75778.02</v>
      </c>
      <c r="J141" s="2">
        <v>0</v>
      </c>
      <c r="K141" t="s">
        <v>182</v>
      </c>
      <c r="L141" t="s">
        <v>1</v>
      </c>
      <c r="M141" t="s">
        <v>183</v>
      </c>
      <c r="N141" s="2">
        <v>75778.02</v>
      </c>
      <c r="O141" t="str">
        <f>IFERROR(VLOOKUP($A141,Accounts!$A:$G,3,FALSE),"")</f>
        <v/>
      </c>
    </row>
    <row r="142" spans="1:15" outlineLevel="2" x14ac:dyDescent="0.2">
      <c r="A142" t="str">
        <f t="shared" si="2"/>
        <v>10</v>
      </c>
      <c r="B142" s="3" t="s">
        <v>1</v>
      </c>
      <c r="C142" s="3" t="s">
        <v>179</v>
      </c>
      <c r="D142" s="3" t="s">
        <v>1</v>
      </c>
      <c r="E142" s="3" t="s">
        <v>1</v>
      </c>
      <c r="F142" s="4"/>
      <c r="G142" s="3" t="s">
        <v>1</v>
      </c>
      <c r="H142" s="4"/>
      <c r="I142" s="5">
        <v>0</v>
      </c>
      <c r="J142" s="5">
        <v>0</v>
      </c>
      <c r="K142" s="3" t="s">
        <v>1</v>
      </c>
      <c r="L142" s="3" t="s">
        <v>1</v>
      </c>
      <c r="M142" s="3" t="s">
        <v>1</v>
      </c>
      <c r="N142" s="5">
        <v>0</v>
      </c>
      <c r="O142" t="str">
        <f>IFERROR(VLOOKUP($A142,Accounts!$A:$G,3,FALSE),"")</f>
        <v/>
      </c>
    </row>
    <row r="143" spans="1:15" outlineLevel="2" x14ac:dyDescent="0.2">
      <c r="A143" t="str">
        <f t="shared" si="2"/>
        <v>29000010841322918.54</v>
      </c>
      <c r="B143" t="s">
        <v>0</v>
      </c>
      <c r="C143" t="s">
        <v>4</v>
      </c>
      <c r="D143" t="s">
        <v>99</v>
      </c>
      <c r="E143" t="s">
        <v>473</v>
      </c>
      <c r="F143" s="1">
        <v>43479</v>
      </c>
      <c r="G143" t="s">
        <v>1</v>
      </c>
      <c r="H143" s="1"/>
      <c r="I143" s="2">
        <v>2918.54</v>
      </c>
      <c r="J143" s="2">
        <v>0</v>
      </c>
      <c r="K143" t="s">
        <v>474</v>
      </c>
      <c r="L143" t="s">
        <v>1</v>
      </c>
      <c r="M143" t="s">
        <v>189</v>
      </c>
      <c r="N143" s="2">
        <v>2918.54</v>
      </c>
      <c r="O143" t="str">
        <f>IFERROR(VLOOKUP($A143,Accounts!$A:$G,3,FALSE),"")</f>
        <v/>
      </c>
    </row>
    <row r="144" spans="1:15" outlineLevel="2" x14ac:dyDescent="0.2">
      <c r="A144" t="str">
        <f t="shared" si="2"/>
        <v>2400021465132-378.65</v>
      </c>
      <c r="B144" t="s">
        <v>0</v>
      </c>
      <c r="C144" t="s">
        <v>4</v>
      </c>
      <c r="D144" t="s">
        <v>169</v>
      </c>
      <c r="E144" t="s">
        <v>685</v>
      </c>
      <c r="F144" s="1">
        <v>38155</v>
      </c>
      <c r="G144" t="s">
        <v>1</v>
      </c>
      <c r="H144" s="1"/>
      <c r="I144" s="2">
        <v>-378.65</v>
      </c>
      <c r="J144" s="2">
        <v>0</v>
      </c>
      <c r="K144" t="s">
        <v>171</v>
      </c>
      <c r="L144" t="s">
        <v>1</v>
      </c>
      <c r="M144" t="s">
        <v>189</v>
      </c>
      <c r="N144" s="2">
        <v>-378.65</v>
      </c>
      <c r="O144" t="str">
        <f>IFERROR(VLOOKUP($A144,Accounts!$A:$G,3,FALSE),"")</f>
        <v/>
      </c>
    </row>
    <row r="145" spans="1:15" outlineLevel="2" x14ac:dyDescent="0.2">
      <c r="A145" t="str">
        <f t="shared" si="2"/>
        <v>2400020608132-7228.7</v>
      </c>
      <c r="B145" t="s">
        <v>0</v>
      </c>
      <c r="C145" t="s">
        <v>4</v>
      </c>
      <c r="D145" t="s">
        <v>169</v>
      </c>
      <c r="E145" t="s">
        <v>686</v>
      </c>
      <c r="F145" s="1">
        <v>38125</v>
      </c>
      <c r="G145" t="s">
        <v>1</v>
      </c>
      <c r="H145" s="1"/>
      <c r="I145" s="2">
        <v>-7228.7</v>
      </c>
      <c r="J145" s="2">
        <v>0</v>
      </c>
      <c r="K145" t="s">
        <v>171</v>
      </c>
      <c r="L145" t="s">
        <v>1</v>
      </c>
      <c r="M145" t="s">
        <v>189</v>
      </c>
      <c r="N145" s="2">
        <v>-7228.7</v>
      </c>
      <c r="O145" t="str">
        <f>IFERROR(VLOOKUP($A145,Accounts!$A:$G,3,FALSE),"")</f>
        <v/>
      </c>
    </row>
    <row r="146" spans="1:15" outlineLevel="2" x14ac:dyDescent="0.2">
      <c r="A146" t="str">
        <f t="shared" si="2"/>
        <v>6555581327607.35</v>
      </c>
      <c r="B146" t="s">
        <v>0</v>
      </c>
      <c r="C146" t="s">
        <v>4</v>
      </c>
      <c r="D146" t="s">
        <v>169</v>
      </c>
      <c r="E146" t="s">
        <v>170</v>
      </c>
      <c r="F146" s="1">
        <v>38223</v>
      </c>
      <c r="G146" t="s">
        <v>1</v>
      </c>
      <c r="H146" s="1"/>
      <c r="I146" s="2">
        <v>7607.35</v>
      </c>
      <c r="J146" s="2">
        <v>0</v>
      </c>
      <c r="K146" t="s">
        <v>171</v>
      </c>
      <c r="L146" t="s">
        <v>1</v>
      </c>
      <c r="M146" t="s">
        <v>189</v>
      </c>
      <c r="N146" s="2">
        <v>7607.35</v>
      </c>
      <c r="O146" t="str">
        <f>IFERROR(VLOOKUP($A146,Accounts!$A:$G,3,FALSE),"")</f>
        <v/>
      </c>
    </row>
    <row r="147" spans="1:15" outlineLevel="2" x14ac:dyDescent="0.2">
      <c r="A147" t="str">
        <f t="shared" si="2"/>
        <v>60219713216835.48</v>
      </c>
      <c r="B147" t="s">
        <v>0</v>
      </c>
      <c r="C147" t="s">
        <v>4</v>
      </c>
      <c r="D147" t="s">
        <v>95</v>
      </c>
      <c r="E147" t="s">
        <v>96</v>
      </c>
      <c r="F147" s="1">
        <v>39223</v>
      </c>
      <c r="G147" t="s">
        <v>1</v>
      </c>
      <c r="H147" s="1"/>
      <c r="I147" s="2">
        <v>16835.48</v>
      </c>
      <c r="J147" s="2">
        <v>0</v>
      </c>
      <c r="K147" t="s">
        <v>177</v>
      </c>
      <c r="L147" t="s">
        <v>1</v>
      </c>
      <c r="M147" t="s">
        <v>189</v>
      </c>
      <c r="N147" s="2">
        <v>16835.48</v>
      </c>
      <c r="O147" t="str">
        <f>IFERROR(VLOOKUP($A147,Accounts!$A:$G,3,FALSE),"")</f>
        <v/>
      </c>
    </row>
    <row r="148" spans="1:15" outlineLevel="2" x14ac:dyDescent="0.2">
      <c r="A148" t="str">
        <f t="shared" si="2"/>
        <v>655558132-2315.44</v>
      </c>
      <c r="B148" t="s">
        <v>0</v>
      </c>
      <c r="C148" t="s">
        <v>4</v>
      </c>
      <c r="D148" t="s">
        <v>178</v>
      </c>
      <c r="E148" t="s">
        <v>170</v>
      </c>
      <c r="F148" s="1">
        <v>38223</v>
      </c>
      <c r="G148" t="s">
        <v>1</v>
      </c>
      <c r="H148" s="1"/>
      <c r="I148" s="2">
        <v>-2315.44</v>
      </c>
      <c r="J148" s="2">
        <v>0</v>
      </c>
      <c r="K148" t="s">
        <v>171</v>
      </c>
      <c r="L148" t="s">
        <v>1</v>
      </c>
      <c r="M148" t="s">
        <v>189</v>
      </c>
      <c r="N148" s="2">
        <v>-2315.44</v>
      </c>
      <c r="O148" t="str">
        <f>IFERROR(VLOOKUP($A148,Accounts!$A:$G,3,FALSE),"")</f>
        <v/>
      </c>
    </row>
    <row r="149" spans="1:15" outlineLevel="2" x14ac:dyDescent="0.2">
      <c r="A149" t="str">
        <f t="shared" si="2"/>
        <v>14100800471322315.44</v>
      </c>
      <c r="B149" t="s">
        <v>0</v>
      </c>
      <c r="C149" t="s">
        <v>4</v>
      </c>
      <c r="D149" t="s">
        <v>178</v>
      </c>
      <c r="E149" t="s">
        <v>687</v>
      </c>
      <c r="F149" s="1">
        <v>38200</v>
      </c>
      <c r="G149" t="s">
        <v>1</v>
      </c>
      <c r="H149" s="1"/>
      <c r="I149" s="2">
        <v>2315.44</v>
      </c>
      <c r="J149" s="2">
        <v>0</v>
      </c>
      <c r="K149" t="s">
        <v>171</v>
      </c>
      <c r="L149" t="s">
        <v>1</v>
      </c>
      <c r="M149" t="s">
        <v>189</v>
      </c>
      <c r="N149" s="2">
        <v>2315.44</v>
      </c>
      <c r="O149" t="str">
        <f>IFERROR(VLOOKUP($A149,Accounts!$A:$G,3,FALSE),"")</f>
        <v/>
      </c>
    </row>
    <row r="150" spans="1:15" outlineLevel="2" x14ac:dyDescent="0.2">
      <c r="A150" t="str">
        <f t="shared" si="2"/>
        <v>240002011999-2315.44</v>
      </c>
      <c r="B150" t="s">
        <v>0</v>
      </c>
      <c r="C150" t="s">
        <v>4</v>
      </c>
      <c r="D150" t="s">
        <v>169</v>
      </c>
      <c r="E150" t="s">
        <v>1</v>
      </c>
      <c r="F150" s="1"/>
      <c r="G150" t="s">
        <v>688</v>
      </c>
      <c r="H150" s="1">
        <v>38114</v>
      </c>
      <c r="I150" s="2">
        <v>0</v>
      </c>
      <c r="J150" s="2">
        <v>-2315.44</v>
      </c>
      <c r="K150" t="s">
        <v>1</v>
      </c>
      <c r="L150" t="s">
        <v>171</v>
      </c>
      <c r="M150" t="s">
        <v>189</v>
      </c>
      <c r="N150" s="2">
        <v>-2315.44</v>
      </c>
      <c r="O150" t="str">
        <f>IFERROR(VLOOKUP($A150,Accounts!$A:$G,3,FALSE),"")</f>
        <v/>
      </c>
    </row>
    <row r="151" spans="1:15" outlineLevel="2" x14ac:dyDescent="0.2">
      <c r="A151" t="str">
        <f t="shared" si="2"/>
        <v>240002007199-2549.72</v>
      </c>
      <c r="B151" t="s">
        <v>0</v>
      </c>
      <c r="C151" t="s">
        <v>4</v>
      </c>
      <c r="D151" t="s">
        <v>169</v>
      </c>
      <c r="E151" t="s">
        <v>1</v>
      </c>
      <c r="F151" s="1"/>
      <c r="G151" t="s">
        <v>689</v>
      </c>
      <c r="H151" s="1">
        <v>38110</v>
      </c>
      <c r="I151" s="2">
        <v>0</v>
      </c>
      <c r="J151" s="2">
        <v>-2549.7199999999998</v>
      </c>
      <c r="K151" t="s">
        <v>1</v>
      </c>
      <c r="L151" t="s">
        <v>171</v>
      </c>
      <c r="M151" t="s">
        <v>189</v>
      </c>
      <c r="N151" s="2">
        <v>-2549.7199999999998</v>
      </c>
      <c r="O151" t="str">
        <f>IFERROR(VLOOKUP($A151,Accounts!$A:$G,3,FALSE),"")</f>
        <v/>
      </c>
    </row>
    <row r="152" spans="1:15" outlineLevel="2" x14ac:dyDescent="0.2">
      <c r="A152" t="str">
        <f t="shared" si="2"/>
        <v>651861994865.16</v>
      </c>
      <c r="B152" t="s">
        <v>0</v>
      </c>
      <c r="C152" t="s">
        <v>4</v>
      </c>
      <c r="D152" t="s">
        <v>169</v>
      </c>
      <c r="E152" t="s">
        <v>1</v>
      </c>
      <c r="F152" s="1"/>
      <c r="G152" t="s">
        <v>690</v>
      </c>
      <c r="H152" s="1">
        <v>38223</v>
      </c>
      <c r="I152" s="2">
        <v>0</v>
      </c>
      <c r="J152" s="2">
        <v>4865.16</v>
      </c>
      <c r="K152" t="s">
        <v>1</v>
      </c>
      <c r="L152" t="s">
        <v>171</v>
      </c>
      <c r="M152" t="s">
        <v>189</v>
      </c>
      <c r="N152" s="2">
        <v>4865.16</v>
      </c>
      <c r="O152" t="str">
        <f>IFERROR(VLOOKUP($A152,Accounts!$A:$G,3,FALSE),"")</f>
        <v/>
      </c>
    </row>
    <row r="153" spans="1:15" outlineLevel="2" x14ac:dyDescent="0.2">
      <c r="A153" t="str">
        <f t="shared" si="2"/>
        <v>140000009499-2918.54</v>
      </c>
      <c r="B153" t="s">
        <v>0</v>
      </c>
      <c r="C153" t="s">
        <v>4</v>
      </c>
      <c r="D153" t="s">
        <v>100</v>
      </c>
      <c r="E153" t="s">
        <v>1</v>
      </c>
      <c r="F153" s="1"/>
      <c r="G153" t="s">
        <v>475</v>
      </c>
      <c r="H153" s="1">
        <v>43487</v>
      </c>
      <c r="I153" s="2">
        <v>0</v>
      </c>
      <c r="J153" s="2">
        <v>-2918.54</v>
      </c>
      <c r="K153" t="s">
        <v>1</v>
      </c>
      <c r="L153" t="s">
        <v>474</v>
      </c>
      <c r="M153" t="s">
        <v>189</v>
      </c>
      <c r="N153" s="2">
        <v>-2918.54</v>
      </c>
      <c r="O153" t="str">
        <f>IFERROR(VLOOKUP($A153,Accounts!$A:$G,3,FALSE),"")</f>
        <v/>
      </c>
    </row>
    <row r="154" spans="1:15" outlineLevel="2" x14ac:dyDescent="0.2">
      <c r="A154" t="str">
        <f t="shared" si="2"/>
        <v>651871990.01</v>
      </c>
      <c r="B154" t="s">
        <v>0</v>
      </c>
      <c r="C154" t="s">
        <v>4</v>
      </c>
      <c r="D154" t="s">
        <v>95</v>
      </c>
      <c r="E154" t="s">
        <v>1</v>
      </c>
      <c r="F154" s="1"/>
      <c r="G154" t="s">
        <v>101</v>
      </c>
      <c r="H154" s="1">
        <v>38199</v>
      </c>
      <c r="I154" s="2">
        <v>0</v>
      </c>
      <c r="J154" s="2">
        <v>0.01</v>
      </c>
      <c r="K154" t="s">
        <v>1</v>
      </c>
      <c r="L154" t="s">
        <v>171</v>
      </c>
      <c r="M154" t="s">
        <v>189</v>
      </c>
      <c r="N154" s="2">
        <v>0.01</v>
      </c>
      <c r="O154" t="str">
        <f>IFERROR(VLOOKUP($A154,Accounts!$A:$G,3,FALSE),"")</f>
        <v/>
      </c>
    </row>
    <row r="155" spans="1:15" outlineLevel="2" x14ac:dyDescent="0.2">
      <c r="A155" t="str">
        <f t="shared" si="2"/>
        <v>65186199-378.65</v>
      </c>
      <c r="B155" t="s">
        <v>0</v>
      </c>
      <c r="C155" t="s">
        <v>4</v>
      </c>
      <c r="D155" t="s">
        <v>178</v>
      </c>
      <c r="E155" t="s">
        <v>1</v>
      </c>
      <c r="F155" s="1"/>
      <c r="G155" t="s">
        <v>690</v>
      </c>
      <c r="H155" s="1">
        <v>38223</v>
      </c>
      <c r="I155" s="2">
        <v>0</v>
      </c>
      <c r="J155" s="2">
        <v>-378.65</v>
      </c>
      <c r="K155" t="s">
        <v>1</v>
      </c>
      <c r="L155" t="s">
        <v>171</v>
      </c>
      <c r="M155" t="s">
        <v>189</v>
      </c>
      <c r="N155" s="2">
        <v>-378.65</v>
      </c>
      <c r="O155" t="str">
        <f>IFERROR(VLOOKUP($A155,Accounts!$A:$G,3,FALSE),"")</f>
        <v/>
      </c>
    </row>
    <row r="156" spans="1:15" outlineLevel="2" x14ac:dyDescent="0.2">
      <c r="A156" t="str">
        <f t="shared" si="2"/>
        <v>141007008999378.65</v>
      </c>
      <c r="B156" t="s">
        <v>0</v>
      </c>
      <c r="C156" t="s">
        <v>4</v>
      </c>
      <c r="D156" t="s">
        <v>178</v>
      </c>
      <c r="E156" t="s">
        <v>1</v>
      </c>
      <c r="F156" s="1"/>
      <c r="G156" t="s">
        <v>691</v>
      </c>
      <c r="H156" s="1">
        <v>38200</v>
      </c>
      <c r="I156" s="2">
        <v>0</v>
      </c>
      <c r="J156" s="2">
        <v>378.65</v>
      </c>
      <c r="K156" t="s">
        <v>1</v>
      </c>
      <c r="L156" t="s">
        <v>171</v>
      </c>
      <c r="M156" t="s">
        <v>189</v>
      </c>
      <c r="N156" s="2">
        <v>378.65</v>
      </c>
      <c r="O156" t="str">
        <f>IFERROR(VLOOKUP($A156,Accounts!$A:$G,3,FALSE),"")</f>
        <v/>
      </c>
    </row>
    <row r="157" spans="1:15" outlineLevel="2" x14ac:dyDescent="0.2">
      <c r="A157" t="str">
        <f t="shared" si="2"/>
        <v>-2918.53</v>
      </c>
      <c r="B157" s="3" t="s">
        <v>1</v>
      </c>
      <c r="C157" s="3" t="s">
        <v>4</v>
      </c>
      <c r="D157" s="3" t="s">
        <v>1</v>
      </c>
      <c r="E157" s="3" t="s">
        <v>1</v>
      </c>
      <c r="F157" s="4"/>
      <c r="G157" s="3" t="s">
        <v>1</v>
      </c>
      <c r="H157" s="4"/>
      <c r="I157" s="5">
        <v>19754.02</v>
      </c>
      <c r="J157" s="5">
        <v>-2918.53</v>
      </c>
      <c r="K157" s="3" t="s">
        <v>1</v>
      </c>
      <c r="L157" s="3" t="s">
        <v>1</v>
      </c>
      <c r="M157" s="3" t="s">
        <v>1</v>
      </c>
      <c r="N157" s="5">
        <v>16835.490000000002</v>
      </c>
      <c r="O157" t="str">
        <f>IFERROR(VLOOKUP($A157,Accounts!$A:$G,3,FALSE),"")</f>
        <v/>
      </c>
    </row>
    <row r="158" spans="1:15" outlineLevel="2" x14ac:dyDescent="0.2">
      <c r="A158" t="str">
        <f t="shared" si="2"/>
        <v>2400020732142-922.65</v>
      </c>
      <c r="B158" t="s">
        <v>0</v>
      </c>
      <c r="C158" t="s">
        <v>190</v>
      </c>
      <c r="D158" t="s">
        <v>169</v>
      </c>
      <c r="E158" t="s">
        <v>692</v>
      </c>
      <c r="F158" s="1">
        <v>38133</v>
      </c>
      <c r="G158" t="s">
        <v>1</v>
      </c>
      <c r="H158" s="1"/>
      <c r="I158" s="2">
        <v>-922.65</v>
      </c>
      <c r="J158" s="2">
        <v>0</v>
      </c>
      <c r="K158" t="s">
        <v>171</v>
      </c>
      <c r="L158" t="s">
        <v>1</v>
      </c>
      <c r="M158" t="s">
        <v>191</v>
      </c>
      <c r="N158" s="2">
        <v>-922.65</v>
      </c>
      <c r="O158" t="str">
        <f>IFERROR(VLOOKUP($A158,Accounts!$A:$G,3,FALSE),"")</f>
        <v/>
      </c>
    </row>
    <row r="159" spans="1:15" outlineLevel="2" x14ac:dyDescent="0.2">
      <c r="A159" t="str">
        <f t="shared" si="2"/>
        <v>655558142922.65</v>
      </c>
      <c r="B159" t="s">
        <v>0</v>
      </c>
      <c r="C159" t="s">
        <v>190</v>
      </c>
      <c r="D159" t="s">
        <v>169</v>
      </c>
      <c r="E159" t="s">
        <v>170</v>
      </c>
      <c r="F159" s="1">
        <v>38223</v>
      </c>
      <c r="G159" t="s">
        <v>1</v>
      </c>
      <c r="H159" s="1"/>
      <c r="I159" s="2">
        <v>922.65</v>
      </c>
      <c r="J159" s="2">
        <v>0</v>
      </c>
      <c r="K159" t="s">
        <v>171</v>
      </c>
      <c r="L159" t="s">
        <v>1</v>
      </c>
      <c r="M159" t="s">
        <v>191</v>
      </c>
      <c r="N159" s="2">
        <v>922.65</v>
      </c>
      <c r="O159" t="str">
        <f>IFERROR(VLOOKUP($A159,Accounts!$A:$G,3,FALSE),"")</f>
        <v/>
      </c>
    </row>
    <row r="160" spans="1:15" outlineLevel="2" x14ac:dyDescent="0.2">
      <c r="A160" t="str">
        <f t="shared" si="2"/>
        <v>60011999-301.05</v>
      </c>
      <c r="B160" t="s">
        <v>0</v>
      </c>
      <c r="C160" t="s">
        <v>190</v>
      </c>
      <c r="D160" t="s">
        <v>97</v>
      </c>
      <c r="E160" t="s">
        <v>1</v>
      </c>
      <c r="F160" s="1"/>
      <c r="G160" t="s">
        <v>203</v>
      </c>
      <c r="H160" s="1">
        <v>38199</v>
      </c>
      <c r="I160" s="2">
        <v>0</v>
      </c>
      <c r="J160" s="2">
        <v>-301.05</v>
      </c>
      <c r="K160" t="s">
        <v>1</v>
      </c>
      <c r="L160" t="s">
        <v>171</v>
      </c>
      <c r="M160" t="s">
        <v>191</v>
      </c>
      <c r="N160" s="2">
        <v>-301.05</v>
      </c>
      <c r="O160" t="str">
        <f>IFERROR(VLOOKUP($A160,Accounts!$A:$G,3,FALSE),"")</f>
        <v/>
      </c>
    </row>
    <row r="161" spans="1:15" outlineLevel="2" x14ac:dyDescent="0.2">
      <c r="A161" t="str">
        <f t="shared" si="2"/>
        <v>600119997372.48</v>
      </c>
      <c r="B161" t="s">
        <v>0</v>
      </c>
      <c r="C161" t="s">
        <v>190</v>
      </c>
      <c r="D161" t="s">
        <v>97</v>
      </c>
      <c r="E161" t="s">
        <v>1</v>
      </c>
      <c r="F161" s="1"/>
      <c r="G161" t="s">
        <v>203</v>
      </c>
      <c r="H161" s="1">
        <v>38199</v>
      </c>
      <c r="I161" s="2">
        <v>0</v>
      </c>
      <c r="J161" s="2">
        <v>7372.48</v>
      </c>
      <c r="K161" t="s">
        <v>1</v>
      </c>
      <c r="L161" t="s">
        <v>171</v>
      </c>
      <c r="M161" t="s">
        <v>191</v>
      </c>
      <c r="N161" s="2">
        <v>7372.48</v>
      </c>
      <c r="O161" t="str">
        <f>IFERROR(VLOOKUP($A161,Accounts!$A:$G,3,FALSE),"")</f>
        <v/>
      </c>
    </row>
    <row r="162" spans="1:15" outlineLevel="2" x14ac:dyDescent="0.2">
      <c r="A162" t="str">
        <f t="shared" si="2"/>
        <v>60013899301.05</v>
      </c>
      <c r="B162" t="s">
        <v>0</v>
      </c>
      <c r="C162" t="s">
        <v>190</v>
      </c>
      <c r="D162" t="s">
        <v>97</v>
      </c>
      <c r="E162" t="s">
        <v>1</v>
      </c>
      <c r="F162" s="1"/>
      <c r="G162" t="s">
        <v>202</v>
      </c>
      <c r="H162" s="1">
        <v>38199</v>
      </c>
      <c r="I162" s="2">
        <v>0</v>
      </c>
      <c r="J162" s="2">
        <v>301.05</v>
      </c>
      <c r="K162" t="s">
        <v>1</v>
      </c>
      <c r="L162" t="s">
        <v>171</v>
      </c>
      <c r="M162" t="s">
        <v>191</v>
      </c>
      <c r="N162" s="2">
        <v>301.05</v>
      </c>
      <c r="O162" t="str">
        <f>IFERROR(VLOOKUP($A162,Accounts!$A:$G,3,FALSE),"")</f>
        <v/>
      </c>
    </row>
    <row r="163" spans="1:15" outlineLevel="2" x14ac:dyDescent="0.2">
      <c r="A163" t="str">
        <f t="shared" si="2"/>
        <v>60146699-7372.48</v>
      </c>
      <c r="B163" t="s">
        <v>0</v>
      </c>
      <c r="C163" t="s">
        <v>190</v>
      </c>
      <c r="D163" t="s">
        <v>97</v>
      </c>
      <c r="E163" t="s">
        <v>1</v>
      </c>
      <c r="F163" s="1"/>
      <c r="G163" t="s">
        <v>201</v>
      </c>
      <c r="H163" s="1">
        <v>38199</v>
      </c>
      <c r="I163" s="2">
        <v>0</v>
      </c>
      <c r="J163" s="2">
        <v>-7372.48</v>
      </c>
      <c r="K163" t="s">
        <v>1</v>
      </c>
      <c r="L163" t="s">
        <v>171</v>
      </c>
      <c r="M163" t="s">
        <v>191</v>
      </c>
      <c r="N163" s="2">
        <v>-7372.48</v>
      </c>
      <c r="O163" t="str">
        <f>IFERROR(VLOOKUP($A163,Accounts!$A:$G,3,FALSE),"")</f>
        <v/>
      </c>
    </row>
    <row r="164" spans="1:15" outlineLevel="2" x14ac:dyDescent="0.2">
      <c r="A164" t="str">
        <f t="shared" si="2"/>
        <v>60148699390.6</v>
      </c>
      <c r="B164" t="s">
        <v>0</v>
      </c>
      <c r="C164" t="s">
        <v>190</v>
      </c>
      <c r="D164" t="s">
        <v>97</v>
      </c>
      <c r="E164" t="s">
        <v>1</v>
      </c>
      <c r="F164" s="1"/>
      <c r="G164" t="s">
        <v>200</v>
      </c>
      <c r="H164" s="1">
        <v>38336</v>
      </c>
      <c r="I164" s="2">
        <v>0</v>
      </c>
      <c r="J164" s="2">
        <v>390.6</v>
      </c>
      <c r="K164" t="s">
        <v>1</v>
      </c>
      <c r="L164" t="s">
        <v>171</v>
      </c>
      <c r="M164" t="s">
        <v>191</v>
      </c>
      <c r="N164" s="2">
        <v>390.6</v>
      </c>
      <c r="O164" t="str">
        <f>IFERROR(VLOOKUP($A164,Accounts!$A:$G,3,FALSE),"")</f>
        <v/>
      </c>
    </row>
    <row r="165" spans="1:15" outlineLevel="2" x14ac:dyDescent="0.2">
      <c r="A165" t="str">
        <f t="shared" si="2"/>
        <v>60000199301.8</v>
      </c>
      <c r="B165" t="s">
        <v>0</v>
      </c>
      <c r="C165" t="s">
        <v>190</v>
      </c>
      <c r="D165" t="s">
        <v>97</v>
      </c>
      <c r="E165" t="s">
        <v>1</v>
      </c>
      <c r="F165" s="1"/>
      <c r="G165" t="s">
        <v>199</v>
      </c>
      <c r="H165" s="1">
        <v>38367</v>
      </c>
      <c r="I165" s="2">
        <v>0</v>
      </c>
      <c r="J165" s="2">
        <v>301.8</v>
      </c>
      <c r="K165" t="s">
        <v>1</v>
      </c>
      <c r="L165" t="s">
        <v>194</v>
      </c>
      <c r="M165" t="s">
        <v>191</v>
      </c>
      <c r="N165" s="2">
        <v>301.8</v>
      </c>
      <c r="O165" t="str">
        <f>IFERROR(VLOOKUP($A165,Accounts!$A:$G,3,FALSE),"")</f>
        <v/>
      </c>
    </row>
    <row r="166" spans="1:15" outlineLevel="2" x14ac:dyDescent="0.2">
      <c r="A166" t="str">
        <f t="shared" si="2"/>
        <v>6000149972.66</v>
      </c>
      <c r="B166" t="s">
        <v>0</v>
      </c>
      <c r="C166" t="s">
        <v>190</v>
      </c>
      <c r="D166" t="s">
        <v>97</v>
      </c>
      <c r="E166" t="s">
        <v>1</v>
      </c>
      <c r="F166" s="1"/>
      <c r="G166" t="s">
        <v>198</v>
      </c>
      <c r="H166" s="1">
        <v>38457</v>
      </c>
      <c r="I166" s="2">
        <v>0</v>
      </c>
      <c r="J166" s="2">
        <v>72.66</v>
      </c>
      <c r="K166" t="s">
        <v>1</v>
      </c>
      <c r="L166" t="s">
        <v>194</v>
      </c>
      <c r="M166" t="s">
        <v>191</v>
      </c>
      <c r="N166" s="2">
        <v>72.66</v>
      </c>
      <c r="O166" t="str">
        <f>IFERROR(VLOOKUP($A166,Accounts!$A:$G,3,FALSE),"")</f>
        <v/>
      </c>
    </row>
    <row r="167" spans="1:15" outlineLevel="2" x14ac:dyDescent="0.2">
      <c r="A167" t="str">
        <f t="shared" si="2"/>
        <v>60001499-390.6</v>
      </c>
      <c r="B167" t="s">
        <v>0</v>
      </c>
      <c r="C167" t="s">
        <v>190</v>
      </c>
      <c r="D167" t="s">
        <v>97</v>
      </c>
      <c r="E167" t="s">
        <v>1</v>
      </c>
      <c r="F167" s="1"/>
      <c r="G167" t="s">
        <v>198</v>
      </c>
      <c r="H167" s="1">
        <v>38457</v>
      </c>
      <c r="I167" s="2">
        <v>0</v>
      </c>
      <c r="J167" s="2">
        <v>-390.6</v>
      </c>
      <c r="K167" t="s">
        <v>1</v>
      </c>
      <c r="L167" t="s">
        <v>194</v>
      </c>
      <c r="M167" t="s">
        <v>191</v>
      </c>
      <c r="N167" s="2">
        <v>-390.6</v>
      </c>
      <c r="O167" t="str">
        <f>IFERROR(VLOOKUP($A167,Accounts!$A:$G,3,FALSE),"")</f>
        <v/>
      </c>
    </row>
    <row r="168" spans="1:15" outlineLevel="2" x14ac:dyDescent="0.2">
      <c r="A168" t="str">
        <f t="shared" si="2"/>
        <v>60001799-301.8</v>
      </c>
      <c r="B168" t="s">
        <v>0</v>
      </c>
      <c r="C168" t="s">
        <v>190</v>
      </c>
      <c r="D168" t="s">
        <v>97</v>
      </c>
      <c r="E168" t="s">
        <v>1</v>
      </c>
      <c r="F168" s="1"/>
      <c r="G168" t="s">
        <v>197</v>
      </c>
      <c r="H168" s="1">
        <v>38487</v>
      </c>
      <c r="I168" s="2">
        <v>0</v>
      </c>
      <c r="J168" s="2">
        <v>-301.8</v>
      </c>
      <c r="K168" t="s">
        <v>1</v>
      </c>
      <c r="L168" t="s">
        <v>194</v>
      </c>
      <c r="M168" t="s">
        <v>191</v>
      </c>
      <c r="N168" s="2">
        <v>-301.8</v>
      </c>
      <c r="O168" t="str">
        <f>IFERROR(VLOOKUP($A168,Accounts!$A:$G,3,FALSE),"")</f>
        <v/>
      </c>
    </row>
    <row r="169" spans="1:15" outlineLevel="2" x14ac:dyDescent="0.2">
      <c r="A169" t="str">
        <f t="shared" si="2"/>
        <v>60002599127.95</v>
      </c>
      <c r="B169" t="s">
        <v>0</v>
      </c>
      <c r="C169" t="s">
        <v>190</v>
      </c>
      <c r="D169" t="s">
        <v>97</v>
      </c>
      <c r="E169" t="s">
        <v>1</v>
      </c>
      <c r="F169" s="1"/>
      <c r="G169" t="s">
        <v>196</v>
      </c>
      <c r="H169" s="1">
        <v>38548</v>
      </c>
      <c r="I169" s="2">
        <v>0</v>
      </c>
      <c r="J169" s="2">
        <v>127.95</v>
      </c>
      <c r="K169" t="s">
        <v>1</v>
      </c>
      <c r="L169" t="s">
        <v>194</v>
      </c>
      <c r="M169" t="s">
        <v>191</v>
      </c>
      <c r="N169" s="2">
        <v>127.95</v>
      </c>
      <c r="O169" t="str">
        <f>IFERROR(VLOOKUP($A169,Accounts!$A:$G,3,FALSE),"")</f>
        <v/>
      </c>
    </row>
    <row r="170" spans="1:15" outlineLevel="2" x14ac:dyDescent="0.2">
      <c r="A170" t="str">
        <f t="shared" si="2"/>
        <v>60002799-72.66</v>
      </c>
      <c r="B170" t="s">
        <v>0</v>
      </c>
      <c r="C170" t="s">
        <v>190</v>
      </c>
      <c r="D170" t="s">
        <v>97</v>
      </c>
      <c r="E170" t="s">
        <v>1</v>
      </c>
      <c r="F170" s="1"/>
      <c r="G170" t="s">
        <v>195</v>
      </c>
      <c r="H170" s="1">
        <v>38579</v>
      </c>
      <c r="I170" s="2">
        <v>0</v>
      </c>
      <c r="J170" s="2">
        <v>-72.66</v>
      </c>
      <c r="K170" t="s">
        <v>1</v>
      </c>
      <c r="L170" t="s">
        <v>194</v>
      </c>
      <c r="M170" t="s">
        <v>191</v>
      </c>
      <c r="N170" s="2">
        <v>-72.66</v>
      </c>
      <c r="O170" t="str">
        <f>IFERROR(VLOOKUP($A170,Accounts!$A:$G,3,FALSE),"")</f>
        <v/>
      </c>
    </row>
    <row r="171" spans="1:15" outlineLevel="2" x14ac:dyDescent="0.2">
      <c r="A171" t="str">
        <f t="shared" si="2"/>
        <v>60003999421.18</v>
      </c>
      <c r="B171" t="s">
        <v>0</v>
      </c>
      <c r="C171" t="s">
        <v>190</v>
      </c>
      <c r="D171" t="s">
        <v>97</v>
      </c>
      <c r="E171" t="s">
        <v>1</v>
      </c>
      <c r="F171" s="1"/>
      <c r="G171" t="s">
        <v>193</v>
      </c>
      <c r="H171" s="1">
        <v>38671</v>
      </c>
      <c r="I171" s="2">
        <v>0</v>
      </c>
      <c r="J171" s="2">
        <v>421.18</v>
      </c>
      <c r="K171" t="s">
        <v>1</v>
      </c>
      <c r="L171" t="s">
        <v>194</v>
      </c>
      <c r="M171" t="s">
        <v>191</v>
      </c>
      <c r="N171" s="2">
        <v>421.18</v>
      </c>
      <c r="O171" t="str">
        <f>IFERROR(VLOOKUP($A171,Accounts!$A:$G,3,FALSE),"")</f>
        <v/>
      </c>
    </row>
    <row r="172" spans="1:15" outlineLevel="2" x14ac:dyDescent="0.2">
      <c r="A172" t="str">
        <f t="shared" si="2"/>
        <v>60003999-127.95</v>
      </c>
      <c r="B172" t="s">
        <v>0</v>
      </c>
      <c r="C172" t="s">
        <v>190</v>
      </c>
      <c r="D172" t="s">
        <v>97</v>
      </c>
      <c r="E172" t="s">
        <v>1</v>
      </c>
      <c r="F172" s="1"/>
      <c r="G172" t="s">
        <v>193</v>
      </c>
      <c r="H172" s="1">
        <v>38671</v>
      </c>
      <c r="I172" s="2">
        <v>0</v>
      </c>
      <c r="J172" s="2">
        <v>-127.95</v>
      </c>
      <c r="K172" t="s">
        <v>1</v>
      </c>
      <c r="L172" t="s">
        <v>194</v>
      </c>
      <c r="M172" t="s">
        <v>191</v>
      </c>
      <c r="N172" s="2">
        <v>-127.95</v>
      </c>
      <c r="O172" t="str">
        <f>IFERROR(VLOOKUP($A172,Accounts!$A:$G,3,FALSE),"")</f>
        <v/>
      </c>
    </row>
    <row r="173" spans="1:15" outlineLevel="2" x14ac:dyDescent="0.2">
      <c r="A173" t="str">
        <f t="shared" si="2"/>
        <v>60000599-421.18</v>
      </c>
      <c r="B173" t="s">
        <v>0</v>
      </c>
      <c r="C173" t="s">
        <v>190</v>
      </c>
      <c r="D173" t="s">
        <v>97</v>
      </c>
      <c r="E173" t="s">
        <v>1</v>
      </c>
      <c r="F173" s="1"/>
      <c r="G173" t="s">
        <v>693</v>
      </c>
      <c r="H173" s="1">
        <v>38791</v>
      </c>
      <c r="I173" s="2">
        <v>0</v>
      </c>
      <c r="J173" s="2">
        <v>-421.18</v>
      </c>
      <c r="K173" t="s">
        <v>1</v>
      </c>
      <c r="L173" t="s">
        <v>192</v>
      </c>
      <c r="M173" t="s">
        <v>191</v>
      </c>
      <c r="N173" s="2">
        <v>-421.18</v>
      </c>
      <c r="O173" t="str">
        <f>IFERROR(VLOOKUP($A173,Accounts!$A:$G,3,FALSE),"")</f>
        <v/>
      </c>
    </row>
    <row r="174" spans="1:15" outlineLevel="2" x14ac:dyDescent="0.2">
      <c r="A174" t="str">
        <f t="shared" si="2"/>
        <v>60002199-4869.64</v>
      </c>
      <c r="B174" t="s">
        <v>0</v>
      </c>
      <c r="C174" t="s">
        <v>190</v>
      </c>
      <c r="D174" t="s">
        <v>95</v>
      </c>
      <c r="E174" t="s">
        <v>1</v>
      </c>
      <c r="F174" s="1"/>
      <c r="G174" t="s">
        <v>217</v>
      </c>
      <c r="H174" s="1">
        <v>38518</v>
      </c>
      <c r="I174" s="2">
        <v>0</v>
      </c>
      <c r="J174" s="2">
        <v>-4869.6400000000003</v>
      </c>
      <c r="K174" t="s">
        <v>1</v>
      </c>
      <c r="L174" t="s">
        <v>194</v>
      </c>
      <c r="M174" t="s">
        <v>191</v>
      </c>
      <c r="N174" s="2">
        <v>-4869.6400000000003</v>
      </c>
      <c r="O174" t="str">
        <f>IFERROR(VLOOKUP($A174,Accounts!$A:$G,3,FALSE),"")</f>
        <v/>
      </c>
    </row>
    <row r="175" spans="1:15" outlineLevel="2" x14ac:dyDescent="0.2">
      <c r="A175" t="str">
        <f t="shared" si="2"/>
        <v>60002599845.76</v>
      </c>
      <c r="B175" t="s">
        <v>0</v>
      </c>
      <c r="C175" t="s">
        <v>190</v>
      </c>
      <c r="D175" t="s">
        <v>95</v>
      </c>
      <c r="E175" t="s">
        <v>1</v>
      </c>
      <c r="F175" s="1"/>
      <c r="G175" t="s">
        <v>196</v>
      </c>
      <c r="H175" s="1">
        <v>38548</v>
      </c>
      <c r="I175" s="2">
        <v>0</v>
      </c>
      <c r="J175" s="2">
        <v>845.76</v>
      </c>
      <c r="K175" t="s">
        <v>1</v>
      </c>
      <c r="L175" t="s">
        <v>194</v>
      </c>
      <c r="M175" t="s">
        <v>191</v>
      </c>
      <c r="N175" s="2">
        <v>845.76</v>
      </c>
      <c r="O175" t="str">
        <f>IFERROR(VLOOKUP($A175,Accounts!$A:$G,3,FALSE),"")</f>
        <v/>
      </c>
    </row>
    <row r="176" spans="1:15" outlineLevel="2" x14ac:dyDescent="0.2">
      <c r="A176" t="str">
        <f t="shared" si="2"/>
        <v>60002599-9488.94</v>
      </c>
      <c r="B176" t="s">
        <v>0</v>
      </c>
      <c r="C176" t="s">
        <v>190</v>
      </c>
      <c r="D176" t="s">
        <v>95</v>
      </c>
      <c r="E176" t="s">
        <v>1</v>
      </c>
      <c r="F176" s="1"/>
      <c r="G176" t="s">
        <v>196</v>
      </c>
      <c r="H176" s="1">
        <v>38548</v>
      </c>
      <c r="I176" s="2">
        <v>0</v>
      </c>
      <c r="J176" s="2">
        <v>-9488.94</v>
      </c>
      <c r="K176" t="s">
        <v>1</v>
      </c>
      <c r="L176" t="s">
        <v>194</v>
      </c>
      <c r="M176" t="s">
        <v>191</v>
      </c>
      <c r="N176" s="2">
        <v>-9488.94</v>
      </c>
      <c r="O176" t="str">
        <f>IFERROR(VLOOKUP($A176,Accounts!$A:$G,3,FALSE),"")</f>
        <v/>
      </c>
    </row>
    <row r="177" spans="1:15" outlineLevel="2" x14ac:dyDescent="0.2">
      <c r="A177" t="str">
        <f t="shared" si="2"/>
        <v>600025994869.64</v>
      </c>
      <c r="B177" t="s">
        <v>0</v>
      </c>
      <c r="C177" t="s">
        <v>190</v>
      </c>
      <c r="D177" t="s">
        <v>95</v>
      </c>
      <c r="E177" t="s">
        <v>1</v>
      </c>
      <c r="F177" s="1"/>
      <c r="G177" t="s">
        <v>196</v>
      </c>
      <c r="H177" s="1">
        <v>38548</v>
      </c>
      <c r="I177" s="2">
        <v>0</v>
      </c>
      <c r="J177" s="2">
        <v>4869.6400000000003</v>
      </c>
      <c r="K177" t="s">
        <v>1</v>
      </c>
      <c r="L177" t="s">
        <v>194</v>
      </c>
      <c r="M177" t="s">
        <v>191</v>
      </c>
      <c r="N177" s="2">
        <v>4869.6400000000003</v>
      </c>
      <c r="O177" t="str">
        <f>IFERROR(VLOOKUP($A177,Accounts!$A:$G,3,FALSE),"")</f>
        <v/>
      </c>
    </row>
    <row r="178" spans="1:15" outlineLevel="2" x14ac:dyDescent="0.2">
      <c r="A178" t="str">
        <f t="shared" si="2"/>
        <v>6000279911127.54</v>
      </c>
      <c r="B178" t="s">
        <v>0</v>
      </c>
      <c r="C178" t="s">
        <v>190</v>
      </c>
      <c r="D178" t="s">
        <v>95</v>
      </c>
      <c r="E178" t="s">
        <v>1</v>
      </c>
      <c r="F178" s="1"/>
      <c r="G178" t="s">
        <v>195</v>
      </c>
      <c r="H178" s="1">
        <v>38579</v>
      </c>
      <c r="I178" s="2">
        <v>0</v>
      </c>
      <c r="J178" s="2">
        <v>11127.54</v>
      </c>
      <c r="K178" t="s">
        <v>1</v>
      </c>
      <c r="L178" t="s">
        <v>194</v>
      </c>
      <c r="M178" t="s">
        <v>191</v>
      </c>
      <c r="N178" s="2">
        <v>11127.54</v>
      </c>
      <c r="O178" t="str">
        <f>IFERROR(VLOOKUP($A178,Accounts!$A:$G,3,FALSE),"")</f>
        <v/>
      </c>
    </row>
    <row r="179" spans="1:15" outlineLevel="2" x14ac:dyDescent="0.2">
      <c r="A179" t="str">
        <f t="shared" si="2"/>
        <v>60002799-5584.22</v>
      </c>
      <c r="B179" t="s">
        <v>0</v>
      </c>
      <c r="C179" t="s">
        <v>190</v>
      </c>
      <c r="D179" t="s">
        <v>95</v>
      </c>
      <c r="E179" t="s">
        <v>1</v>
      </c>
      <c r="F179" s="1"/>
      <c r="G179" t="s">
        <v>195</v>
      </c>
      <c r="H179" s="1">
        <v>38579</v>
      </c>
      <c r="I179" s="2">
        <v>0</v>
      </c>
      <c r="J179" s="2">
        <v>-5584.22</v>
      </c>
      <c r="K179" t="s">
        <v>1</v>
      </c>
      <c r="L179" t="s">
        <v>194</v>
      </c>
      <c r="M179" t="s">
        <v>191</v>
      </c>
      <c r="N179" s="2">
        <v>-5584.22</v>
      </c>
      <c r="O179" t="str">
        <f>IFERROR(VLOOKUP($A179,Accounts!$A:$G,3,FALSE),"")</f>
        <v/>
      </c>
    </row>
    <row r="180" spans="1:15" outlineLevel="2" x14ac:dyDescent="0.2">
      <c r="A180" t="str">
        <f t="shared" si="2"/>
        <v>60002799-1847.1</v>
      </c>
      <c r="B180" t="s">
        <v>0</v>
      </c>
      <c r="C180" t="s">
        <v>190</v>
      </c>
      <c r="D180" t="s">
        <v>95</v>
      </c>
      <c r="E180" t="s">
        <v>1</v>
      </c>
      <c r="F180" s="1"/>
      <c r="G180" t="s">
        <v>195</v>
      </c>
      <c r="H180" s="1">
        <v>38579</v>
      </c>
      <c r="I180" s="2">
        <v>0</v>
      </c>
      <c r="J180" s="2">
        <v>-1847.1</v>
      </c>
      <c r="K180" t="s">
        <v>1</v>
      </c>
      <c r="L180" t="s">
        <v>194</v>
      </c>
      <c r="M180" t="s">
        <v>191</v>
      </c>
      <c r="N180" s="2">
        <v>-1847.1</v>
      </c>
      <c r="O180" t="str">
        <f>IFERROR(VLOOKUP($A180,Accounts!$A:$G,3,FALSE),"")</f>
        <v/>
      </c>
    </row>
    <row r="181" spans="1:15" outlineLevel="2" x14ac:dyDescent="0.2">
      <c r="A181" t="str">
        <f t="shared" si="2"/>
        <v>600033995154.1</v>
      </c>
      <c r="B181" t="s">
        <v>0</v>
      </c>
      <c r="C181" t="s">
        <v>190</v>
      </c>
      <c r="D181" t="s">
        <v>95</v>
      </c>
      <c r="E181" t="s">
        <v>1</v>
      </c>
      <c r="F181" s="1"/>
      <c r="G181" t="s">
        <v>207</v>
      </c>
      <c r="H181" s="1">
        <v>38610</v>
      </c>
      <c r="I181" s="2">
        <v>0</v>
      </c>
      <c r="J181" s="2">
        <v>5154.1000000000004</v>
      </c>
      <c r="K181" t="s">
        <v>1</v>
      </c>
      <c r="L181" t="s">
        <v>194</v>
      </c>
      <c r="M181" t="s">
        <v>191</v>
      </c>
      <c r="N181" s="2">
        <v>5154.1000000000004</v>
      </c>
      <c r="O181" t="str">
        <f>IFERROR(VLOOKUP($A181,Accounts!$A:$G,3,FALSE),"")</f>
        <v/>
      </c>
    </row>
    <row r="182" spans="1:15" outlineLevel="2" x14ac:dyDescent="0.2">
      <c r="A182" t="str">
        <f t="shared" si="2"/>
        <v>60003399-6946.51</v>
      </c>
      <c r="B182" t="s">
        <v>0</v>
      </c>
      <c r="C182" t="s">
        <v>190</v>
      </c>
      <c r="D182" t="s">
        <v>95</v>
      </c>
      <c r="E182" t="s">
        <v>1</v>
      </c>
      <c r="F182" s="1"/>
      <c r="G182" t="s">
        <v>207</v>
      </c>
      <c r="H182" s="1">
        <v>38610</v>
      </c>
      <c r="I182" s="2">
        <v>0</v>
      </c>
      <c r="J182" s="2">
        <v>-6946.51</v>
      </c>
      <c r="K182" t="s">
        <v>1</v>
      </c>
      <c r="L182" t="s">
        <v>194</v>
      </c>
      <c r="M182" t="s">
        <v>191</v>
      </c>
      <c r="N182" s="2">
        <v>-6946.51</v>
      </c>
      <c r="O182" t="str">
        <f>IFERROR(VLOOKUP($A182,Accounts!$A:$G,3,FALSE),"")</f>
        <v/>
      </c>
    </row>
    <row r="183" spans="1:15" outlineLevel="2" x14ac:dyDescent="0.2">
      <c r="A183" t="str">
        <f t="shared" si="2"/>
        <v>600033991847.1</v>
      </c>
      <c r="B183" t="s">
        <v>0</v>
      </c>
      <c r="C183" t="s">
        <v>190</v>
      </c>
      <c r="D183" t="s">
        <v>95</v>
      </c>
      <c r="E183" t="s">
        <v>1</v>
      </c>
      <c r="F183" s="1"/>
      <c r="G183" t="s">
        <v>207</v>
      </c>
      <c r="H183" s="1">
        <v>38610</v>
      </c>
      <c r="I183" s="2">
        <v>0</v>
      </c>
      <c r="J183" s="2">
        <v>1847.1</v>
      </c>
      <c r="K183" t="s">
        <v>1</v>
      </c>
      <c r="L183" t="s">
        <v>194</v>
      </c>
      <c r="M183" t="s">
        <v>191</v>
      </c>
      <c r="N183" s="2">
        <v>1847.1</v>
      </c>
      <c r="O183" t="str">
        <f>IFERROR(VLOOKUP($A183,Accounts!$A:$G,3,FALSE),"")</f>
        <v/>
      </c>
    </row>
    <row r="184" spans="1:15" outlineLevel="2" x14ac:dyDescent="0.2">
      <c r="A184" t="str">
        <f t="shared" si="2"/>
        <v>6000379912557.15</v>
      </c>
      <c r="B184" t="s">
        <v>0</v>
      </c>
      <c r="C184" t="s">
        <v>190</v>
      </c>
      <c r="D184" t="s">
        <v>95</v>
      </c>
      <c r="E184" t="s">
        <v>1</v>
      </c>
      <c r="F184" s="1"/>
      <c r="G184" t="s">
        <v>208</v>
      </c>
      <c r="H184" s="1">
        <v>38640</v>
      </c>
      <c r="I184" s="2">
        <v>0</v>
      </c>
      <c r="J184" s="2">
        <v>12557.15</v>
      </c>
      <c r="K184" t="s">
        <v>1</v>
      </c>
      <c r="L184" t="s">
        <v>194</v>
      </c>
      <c r="M184" t="s">
        <v>191</v>
      </c>
      <c r="N184" s="2">
        <v>12557.15</v>
      </c>
      <c r="O184" t="str">
        <f>IFERROR(VLOOKUP($A184,Accounts!$A:$G,3,FALSE),"")</f>
        <v/>
      </c>
    </row>
    <row r="185" spans="1:15" outlineLevel="2" x14ac:dyDescent="0.2">
      <c r="A185" t="str">
        <f t="shared" si="2"/>
        <v>60003799-3176.19</v>
      </c>
      <c r="B185" t="s">
        <v>0</v>
      </c>
      <c r="C185" t="s">
        <v>190</v>
      </c>
      <c r="D185" t="s">
        <v>95</v>
      </c>
      <c r="E185" t="s">
        <v>1</v>
      </c>
      <c r="F185" s="1"/>
      <c r="G185" t="s">
        <v>208</v>
      </c>
      <c r="H185" s="1">
        <v>38640</v>
      </c>
      <c r="I185" s="2">
        <v>0</v>
      </c>
      <c r="J185" s="2">
        <v>-3176.19</v>
      </c>
      <c r="K185" t="s">
        <v>1</v>
      </c>
      <c r="L185" t="s">
        <v>194</v>
      </c>
      <c r="M185" t="s">
        <v>191</v>
      </c>
      <c r="N185" s="2">
        <v>-3176.19</v>
      </c>
      <c r="O185" t="str">
        <f>IFERROR(VLOOKUP($A185,Accounts!$A:$G,3,FALSE),"")</f>
        <v/>
      </c>
    </row>
    <row r="186" spans="1:15" outlineLevel="2" x14ac:dyDescent="0.2">
      <c r="A186" t="str">
        <f t="shared" si="2"/>
        <v>60003799-922.65</v>
      </c>
      <c r="B186" t="s">
        <v>0</v>
      </c>
      <c r="C186" t="s">
        <v>190</v>
      </c>
      <c r="D186" t="s">
        <v>95</v>
      </c>
      <c r="E186" t="s">
        <v>1</v>
      </c>
      <c r="F186" s="1"/>
      <c r="G186" t="s">
        <v>208</v>
      </c>
      <c r="H186" s="1">
        <v>38640</v>
      </c>
      <c r="I186" s="2">
        <v>0</v>
      </c>
      <c r="J186" s="2">
        <v>-922.65</v>
      </c>
      <c r="K186" t="s">
        <v>1</v>
      </c>
      <c r="L186" t="s">
        <v>194</v>
      </c>
      <c r="M186" t="s">
        <v>191</v>
      </c>
      <c r="N186" s="2">
        <v>-922.65</v>
      </c>
      <c r="O186" t="str">
        <f>IFERROR(VLOOKUP($A186,Accounts!$A:$G,3,FALSE),"")</f>
        <v/>
      </c>
    </row>
    <row r="187" spans="1:15" outlineLevel="2" x14ac:dyDescent="0.2">
      <c r="A187" t="str">
        <f t="shared" si="2"/>
        <v>60147299922.65</v>
      </c>
      <c r="B187" t="s">
        <v>0</v>
      </c>
      <c r="C187" t="s">
        <v>190</v>
      </c>
      <c r="D187" t="s">
        <v>95</v>
      </c>
      <c r="E187" t="s">
        <v>1</v>
      </c>
      <c r="F187" s="1"/>
      <c r="G187" t="s">
        <v>211</v>
      </c>
      <c r="H187" s="1">
        <v>38245</v>
      </c>
      <c r="I187" s="2">
        <v>0</v>
      </c>
      <c r="J187" s="2">
        <v>922.65</v>
      </c>
      <c r="K187" t="s">
        <v>1</v>
      </c>
      <c r="L187" t="s">
        <v>171</v>
      </c>
      <c r="M187" t="s">
        <v>191</v>
      </c>
      <c r="N187" s="2">
        <v>922.65</v>
      </c>
      <c r="O187" t="str">
        <f>IFERROR(VLOOKUP($A187,Accounts!$A:$G,3,FALSE),"")</f>
        <v/>
      </c>
    </row>
    <row r="188" spans="1:15" outlineLevel="2" x14ac:dyDescent="0.2">
      <c r="A188" t="str">
        <f t="shared" si="2"/>
        <v>60016799922.65</v>
      </c>
      <c r="B188" t="s">
        <v>0</v>
      </c>
      <c r="C188" t="s">
        <v>190</v>
      </c>
      <c r="D188" t="s">
        <v>95</v>
      </c>
      <c r="E188" t="s">
        <v>1</v>
      </c>
      <c r="F188" s="1"/>
      <c r="G188" t="s">
        <v>212</v>
      </c>
      <c r="H188" s="1">
        <v>38199</v>
      </c>
      <c r="I188" s="2">
        <v>0</v>
      </c>
      <c r="J188" s="2">
        <v>922.65</v>
      </c>
      <c r="K188" t="s">
        <v>1</v>
      </c>
      <c r="L188" t="s">
        <v>171</v>
      </c>
      <c r="M188" t="s">
        <v>191</v>
      </c>
      <c r="N188" s="2">
        <v>922.65</v>
      </c>
      <c r="O188" t="str">
        <f>IFERROR(VLOOKUP($A188,Accounts!$A:$G,3,FALSE),"")</f>
        <v/>
      </c>
    </row>
    <row r="189" spans="1:15" outlineLevel="2" x14ac:dyDescent="0.2">
      <c r="A189" t="str">
        <f t="shared" si="2"/>
        <v>600039993275.95</v>
      </c>
      <c r="B189" t="s">
        <v>0</v>
      </c>
      <c r="C189" t="s">
        <v>190</v>
      </c>
      <c r="D189" t="s">
        <v>95</v>
      </c>
      <c r="E189" t="s">
        <v>1</v>
      </c>
      <c r="F189" s="1"/>
      <c r="G189" t="s">
        <v>193</v>
      </c>
      <c r="H189" s="1">
        <v>38671</v>
      </c>
      <c r="I189" s="2">
        <v>0</v>
      </c>
      <c r="J189" s="2">
        <v>3275.95</v>
      </c>
      <c r="K189" t="s">
        <v>1</v>
      </c>
      <c r="L189" t="s">
        <v>194</v>
      </c>
      <c r="M189" t="s">
        <v>191</v>
      </c>
      <c r="N189" s="2">
        <v>3275.95</v>
      </c>
      <c r="O189" t="str">
        <f>IFERROR(VLOOKUP($A189,Accounts!$A:$G,3,FALSE),"")</f>
        <v/>
      </c>
    </row>
    <row r="190" spans="1:15" outlineLevel="2" x14ac:dyDescent="0.2">
      <c r="A190" t="str">
        <f t="shared" si="2"/>
        <v>60003999-922.65</v>
      </c>
      <c r="B190" t="s">
        <v>0</v>
      </c>
      <c r="C190" t="s">
        <v>190</v>
      </c>
      <c r="D190" t="s">
        <v>95</v>
      </c>
      <c r="E190" t="s">
        <v>1</v>
      </c>
      <c r="F190" s="1"/>
      <c r="G190" t="s">
        <v>193</v>
      </c>
      <c r="H190" s="1">
        <v>38671</v>
      </c>
      <c r="I190" s="2">
        <v>0</v>
      </c>
      <c r="J190" s="2">
        <v>-922.65</v>
      </c>
      <c r="K190" t="s">
        <v>1</v>
      </c>
      <c r="L190" t="s">
        <v>194</v>
      </c>
      <c r="M190" t="s">
        <v>191</v>
      </c>
      <c r="N190" s="2">
        <v>-922.65</v>
      </c>
      <c r="O190" t="str">
        <f>IFERROR(VLOOKUP($A190,Accounts!$A:$G,3,FALSE),"")</f>
        <v/>
      </c>
    </row>
    <row r="191" spans="1:15" outlineLevel="2" x14ac:dyDescent="0.2">
      <c r="A191" t="str">
        <f t="shared" si="2"/>
        <v>60003999922.65</v>
      </c>
      <c r="B191" t="s">
        <v>0</v>
      </c>
      <c r="C191" t="s">
        <v>190</v>
      </c>
      <c r="D191" t="s">
        <v>95</v>
      </c>
      <c r="E191" t="s">
        <v>1</v>
      </c>
      <c r="F191" s="1"/>
      <c r="G191" t="s">
        <v>193</v>
      </c>
      <c r="H191" s="1">
        <v>38671</v>
      </c>
      <c r="I191" s="2">
        <v>0</v>
      </c>
      <c r="J191" s="2">
        <v>922.65</v>
      </c>
      <c r="K191" t="s">
        <v>1</v>
      </c>
      <c r="L191" t="s">
        <v>194</v>
      </c>
      <c r="M191" t="s">
        <v>191</v>
      </c>
      <c r="N191" s="2">
        <v>922.65</v>
      </c>
      <c r="O191" t="str">
        <f>IFERROR(VLOOKUP($A191,Accounts!$A:$G,3,FALSE),"")</f>
        <v/>
      </c>
    </row>
    <row r="192" spans="1:15" outlineLevel="2" x14ac:dyDescent="0.2">
      <c r="A192" t="str">
        <f t="shared" si="2"/>
        <v>600044997241.87</v>
      </c>
      <c r="B192" t="s">
        <v>0</v>
      </c>
      <c r="C192" t="s">
        <v>190</v>
      </c>
      <c r="D192" t="s">
        <v>95</v>
      </c>
      <c r="E192" t="s">
        <v>1</v>
      </c>
      <c r="F192" s="1"/>
      <c r="G192" t="s">
        <v>209</v>
      </c>
      <c r="H192" s="1">
        <v>38701</v>
      </c>
      <c r="I192" s="2">
        <v>0</v>
      </c>
      <c r="J192" s="2">
        <v>7241.87</v>
      </c>
      <c r="K192" t="s">
        <v>1</v>
      </c>
      <c r="L192" t="s">
        <v>194</v>
      </c>
      <c r="M192" t="s">
        <v>191</v>
      </c>
      <c r="N192" s="2">
        <v>7241.87</v>
      </c>
      <c r="O192" t="str">
        <f>IFERROR(VLOOKUP($A192,Accounts!$A:$G,3,FALSE),"")</f>
        <v/>
      </c>
    </row>
    <row r="193" spans="1:15" outlineLevel="2" x14ac:dyDescent="0.2">
      <c r="A193" t="str">
        <f t="shared" si="2"/>
        <v>6000009942286.77</v>
      </c>
      <c r="B193" t="s">
        <v>0</v>
      </c>
      <c r="C193" t="s">
        <v>190</v>
      </c>
      <c r="D193" t="s">
        <v>95</v>
      </c>
      <c r="E193" t="s">
        <v>1</v>
      </c>
      <c r="F193" s="1"/>
      <c r="G193" t="s">
        <v>694</v>
      </c>
      <c r="H193" s="1">
        <v>38732</v>
      </c>
      <c r="I193" s="2">
        <v>0</v>
      </c>
      <c r="J193" s="2">
        <v>42286.77</v>
      </c>
      <c r="K193" t="s">
        <v>1</v>
      </c>
      <c r="L193" t="s">
        <v>192</v>
      </c>
      <c r="M193" t="s">
        <v>191</v>
      </c>
      <c r="N193" s="2">
        <v>42286.77</v>
      </c>
      <c r="O193" t="str">
        <f>IFERROR(VLOOKUP($A193,Accounts!$A:$G,3,FALSE),"")</f>
        <v/>
      </c>
    </row>
    <row r="194" spans="1:15" outlineLevel="2" x14ac:dyDescent="0.2">
      <c r="A194" t="str">
        <f t="shared" si="2"/>
        <v>600000995288.86</v>
      </c>
      <c r="B194" t="s">
        <v>0</v>
      </c>
      <c r="C194" t="s">
        <v>190</v>
      </c>
      <c r="D194" t="s">
        <v>95</v>
      </c>
      <c r="E194" t="s">
        <v>1</v>
      </c>
      <c r="F194" s="1"/>
      <c r="G194" t="s">
        <v>694</v>
      </c>
      <c r="H194" s="1">
        <v>38732</v>
      </c>
      <c r="I194" s="2">
        <v>0</v>
      </c>
      <c r="J194" s="2">
        <v>5288.86</v>
      </c>
      <c r="K194" t="s">
        <v>1</v>
      </c>
      <c r="L194" t="s">
        <v>192</v>
      </c>
      <c r="M194" t="s">
        <v>191</v>
      </c>
      <c r="N194" s="2">
        <v>5288.86</v>
      </c>
      <c r="O194" t="str">
        <f>IFERROR(VLOOKUP($A194,Accounts!$A:$G,3,FALSE),"")</f>
        <v/>
      </c>
    </row>
    <row r="195" spans="1:15" outlineLevel="2" x14ac:dyDescent="0.2">
      <c r="A195" t="str">
        <f t="shared" si="2"/>
        <v>60016499922.65</v>
      </c>
      <c r="B195" t="s">
        <v>0</v>
      </c>
      <c r="C195" t="s">
        <v>190</v>
      </c>
      <c r="D195" t="s">
        <v>95</v>
      </c>
      <c r="E195" t="s">
        <v>1</v>
      </c>
      <c r="F195" s="1"/>
      <c r="G195" t="s">
        <v>213</v>
      </c>
      <c r="H195" s="1">
        <v>38199</v>
      </c>
      <c r="I195" s="2">
        <v>0</v>
      </c>
      <c r="J195" s="2">
        <v>922.65</v>
      </c>
      <c r="K195" t="s">
        <v>1</v>
      </c>
      <c r="L195" t="s">
        <v>171</v>
      </c>
      <c r="M195" t="s">
        <v>191</v>
      </c>
      <c r="N195" s="2">
        <v>922.65</v>
      </c>
      <c r="O195" t="str">
        <f>IFERROR(VLOOKUP($A195,Accounts!$A:$G,3,FALSE),"")</f>
        <v/>
      </c>
    </row>
    <row r="196" spans="1:15" outlineLevel="2" x14ac:dyDescent="0.2">
      <c r="A196" t="str">
        <f t="shared" si="2"/>
        <v>60016499-922.65</v>
      </c>
      <c r="B196" t="s">
        <v>0</v>
      </c>
      <c r="C196" t="s">
        <v>190</v>
      </c>
      <c r="D196" t="s">
        <v>95</v>
      </c>
      <c r="E196" t="s">
        <v>1</v>
      </c>
      <c r="F196" s="1"/>
      <c r="G196" t="s">
        <v>213</v>
      </c>
      <c r="H196" s="1">
        <v>38199</v>
      </c>
      <c r="I196" s="2">
        <v>0</v>
      </c>
      <c r="J196" s="2">
        <v>-922.65</v>
      </c>
      <c r="K196" t="s">
        <v>1</v>
      </c>
      <c r="L196" t="s">
        <v>171</v>
      </c>
      <c r="M196" t="s">
        <v>191</v>
      </c>
      <c r="N196" s="2">
        <v>-922.65</v>
      </c>
      <c r="O196" t="str">
        <f>IFERROR(VLOOKUP($A196,Accounts!$A:$G,3,FALSE),"")</f>
        <v/>
      </c>
    </row>
    <row r="197" spans="1:15" outlineLevel="2" x14ac:dyDescent="0.2">
      <c r="A197" t="str">
        <f t="shared" si="2"/>
        <v>60000199-42286.77</v>
      </c>
      <c r="B197" t="s">
        <v>0</v>
      </c>
      <c r="C197" t="s">
        <v>190</v>
      </c>
      <c r="D197" t="s">
        <v>95</v>
      </c>
      <c r="E197" t="s">
        <v>1</v>
      </c>
      <c r="F197" s="1"/>
      <c r="G197" t="s">
        <v>199</v>
      </c>
      <c r="H197" s="1">
        <v>38748</v>
      </c>
      <c r="I197" s="2">
        <v>0</v>
      </c>
      <c r="J197" s="2">
        <v>-42286.77</v>
      </c>
      <c r="K197" t="s">
        <v>1</v>
      </c>
      <c r="L197" t="s">
        <v>192</v>
      </c>
      <c r="M197" t="s">
        <v>191</v>
      </c>
      <c r="N197" s="2">
        <v>-42286.77</v>
      </c>
      <c r="O197" t="str">
        <f>IFERROR(VLOOKUP($A197,Accounts!$A:$G,3,FALSE),"")</f>
        <v/>
      </c>
    </row>
    <row r="198" spans="1:15" outlineLevel="2" x14ac:dyDescent="0.2">
      <c r="A198" t="str">
        <f t="shared" si="2"/>
        <v>60015299-922.65</v>
      </c>
      <c r="B198" t="s">
        <v>0</v>
      </c>
      <c r="C198" t="s">
        <v>190</v>
      </c>
      <c r="D198" t="s">
        <v>95</v>
      </c>
      <c r="E198" t="s">
        <v>1</v>
      </c>
      <c r="F198" s="1"/>
      <c r="G198" t="s">
        <v>215</v>
      </c>
      <c r="H198" s="1">
        <v>38199</v>
      </c>
      <c r="I198" s="2">
        <v>0</v>
      </c>
      <c r="J198" s="2">
        <v>-922.65</v>
      </c>
      <c r="K198" t="s">
        <v>1</v>
      </c>
      <c r="L198" t="s">
        <v>171</v>
      </c>
      <c r="M198" t="s">
        <v>191</v>
      </c>
      <c r="N198" s="2">
        <v>-922.65</v>
      </c>
      <c r="O198" t="str">
        <f>IFERROR(VLOOKUP($A198,Accounts!$A:$G,3,FALSE),"")</f>
        <v/>
      </c>
    </row>
    <row r="199" spans="1:15" outlineLevel="2" x14ac:dyDescent="0.2">
      <c r="A199" t="str">
        <f t="shared" si="2"/>
        <v>600010991219.09</v>
      </c>
      <c r="B199" t="s">
        <v>0</v>
      </c>
      <c r="C199" t="s">
        <v>190</v>
      </c>
      <c r="D199" t="s">
        <v>95</v>
      </c>
      <c r="E199" t="s">
        <v>1</v>
      </c>
      <c r="F199" s="1"/>
      <c r="G199" t="s">
        <v>218</v>
      </c>
      <c r="H199" s="1">
        <v>38426</v>
      </c>
      <c r="I199" s="2">
        <v>0</v>
      </c>
      <c r="J199" s="2">
        <v>1219.0899999999999</v>
      </c>
      <c r="K199" t="s">
        <v>1</v>
      </c>
      <c r="L199" t="s">
        <v>194</v>
      </c>
      <c r="M199" t="s">
        <v>191</v>
      </c>
      <c r="N199" s="2">
        <v>1219.0899999999999</v>
      </c>
      <c r="O199" t="str">
        <f>IFERROR(VLOOKUP($A199,Accounts!$A:$G,3,FALSE),"")</f>
        <v/>
      </c>
    </row>
    <row r="200" spans="1:15" outlineLevel="2" x14ac:dyDescent="0.2">
      <c r="A200" t="str">
        <f t="shared" si="2"/>
        <v>600014992080.33</v>
      </c>
      <c r="B200" t="s">
        <v>0</v>
      </c>
      <c r="C200" t="s">
        <v>190</v>
      </c>
      <c r="D200" t="s">
        <v>95</v>
      </c>
      <c r="E200" t="s">
        <v>1</v>
      </c>
      <c r="F200" s="1"/>
      <c r="G200" t="s">
        <v>198</v>
      </c>
      <c r="H200" s="1">
        <v>38457</v>
      </c>
      <c r="I200" s="2">
        <v>0</v>
      </c>
      <c r="J200" s="2">
        <v>2080.33</v>
      </c>
      <c r="K200" t="s">
        <v>1</v>
      </c>
      <c r="L200" t="s">
        <v>194</v>
      </c>
      <c r="M200" t="s">
        <v>191</v>
      </c>
      <c r="N200" s="2">
        <v>2080.33</v>
      </c>
      <c r="O200" t="str">
        <f>IFERROR(VLOOKUP($A200,Accounts!$A:$G,3,FALSE),"")</f>
        <v/>
      </c>
    </row>
    <row r="201" spans="1:15" outlineLevel="2" x14ac:dyDescent="0.2">
      <c r="A201" t="str">
        <f t="shared" si="2"/>
        <v>60001499-3176.82</v>
      </c>
      <c r="B201" t="s">
        <v>0</v>
      </c>
      <c r="C201" t="s">
        <v>190</v>
      </c>
      <c r="D201" t="s">
        <v>95</v>
      </c>
      <c r="E201" t="s">
        <v>1</v>
      </c>
      <c r="F201" s="1"/>
      <c r="G201" t="s">
        <v>198</v>
      </c>
      <c r="H201" s="1">
        <v>38457</v>
      </c>
      <c r="I201" s="2">
        <v>0</v>
      </c>
      <c r="J201" s="2">
        <v>-3176.82</v>
      </c>
      <c r="K201" t="s">
        <v>1</v>
      </c>
      <c r="L201" t="s">
        <v>194</v>
      </c>
      <c r="M201" t="s">
        <v>191</v>
      </c>
      <c r="N201" s="2">
        <v>-3176.82</v>
      </c>
      <c r="O201" t="str">
        <f>IFERROR(VLOOKUP($A201,Accounts!$A:$G,3,FALSE),"")</f>
        <v/>
      </c>
    </row>
    <row r="202" spans="1:15" outlineLevel="2" x14ac:dyDescent="0.2">
      <c r="A202" t="str">
        <f t="shared" ref="A202:A265" si="3">IFERROR(IF(J202=0,E202&amp;C202&amp;I202,G202&amp;B202&amp;J202),"")</f>
        <v>60001499-670.47</v>
      </c>
      <c r="B202" t="s">
        <v>0</v>
      </c>
      <c r="C202" t="s">
        <v>190</v>
      </c>
      <c r="D202" t="s">
        <v>95</v>
      </c>
      <c r="E202" t="s">
        <v>1</v>
      </c>
      <c r="F202" s="1"/>
      <c r="G202" t="s">
        <v>198</v>
      </c>
      <c r="H202" s="1">
        <v>38457</v>
      </c>
      <c r="I202" s="2">
        <v>0</v>
      </c>
      <c r="J202" s="2">
        <v>-670.47</v>
      </c>
      <c r="K202" t="s">
        <v>1</v>
      </c>
      <c r="L202" t="s">
        <v>194</v>
      </c>
      <c r="M202" t="s">
        <v>191</v>
      </c>
      <c r="N202" s="2">
        <v>-670.47</v>
      </c>
      <c r="O202" t="str">
        <f>IFERROR(VLOOKUP($A202,Accounts!$A:$G,3,FALSE),"")</f>
        <v/>
      </c>
    </row>
    <row r="203" spans="1:15" outlineLevel="2" x14ac:dyDescent="0.2">
      <c r="A203" t="str">
        <f t="shared" si="3"/>
        <v>6000179913388.74</v>
      </c>
      <c r="B203" t="s">
        <v>0</v>
      </c>
      <c r="C203" t="s">
        <v>190</v>
      </c>
      <c r="D203" t="s">
        <v>95</v>
      </c>
      <c r="E203" t="s">
        <v>1</v>
      </c>
      <c r="F203" s="1"/>
      <c r="G203" t="s">
        <v>197</v>
      </c>
      <c r="H203" s="1">
        <v>38487</v>
      </c>
      <c r="I203" s="2">
        <v>0</v>
      </c>
      <c r="J203" s="2">
        <v>13388.74</v>
      </c>
      <c r="K203" t="s">
        <v>1</v>
      </c>
      <c r="L203" t="s">
        <v>194</v>
      </c>
      <c r="M203" t="s">
        <v>191</v>
      </c>
      <c r="N203" s="2">
        <v>13388.74</v>
      </c>
      <c r="O203" t="str">
        <f>IFERROR(VLOOKUP($A203,Accounts!$A:$G,3,FALSE),"")</f>
        <v/>
      </c>
    </row>
    <row r="204" spans="1:15" outlineLevel="2" x14ac:dyDescent="0.2">
      <c r="A204" t="str">
        <f t="shared" si="3"/>
        <v>60001799-13104.82</v>
      </c>
      <c r="B204" t="s">
        <v>0</v>
      </c>
      <c r="C204" t="s">
        <v>190</v>
      </c>
      <c r="D204" t="s">
        <v>95</v>
      </c>
      <c r="E204" t="s">
        <v>1</v>
      </c>
      <c r="F204" s="1"/>
      <c r="G204" t="s">
        <v>197</v>
      </c>
      <c r="H204" s="1">
        <v>38487</v>
      </c>
      <c r="I204" s="2">
        <v>0</v>
      </c>
      <c r="J204" s="2">
        <v>-13104.82</v>
      </c>
      <c r="K204" t="s">
        <v>1</v>
      </c>
      <c r="L204" t="s">
        <v>194</v>
      </c>
      <c r="M204" t="s">
        <v>191</v>
      </c>
      <c r="N204" s="2">
        <v>-13104.82</v>
      </c>
      <c r="O204" t="str">
        <f>IFERROR(VLOOKUP($A204,Accounts!$A:$G,3,FALSE),"")</f>
        <v/>
      </c>
    </row>
    <row r="205" spans="1:15" outlineLevel="2" x14ac:dyDescent="0.2">
      <c r="A205" t="str">
        <f t="shared" si="3"/>
        <v>60001799670.47</v>
      </c>
      <c r="B205" t="s">
        <v>0</v>
      </c>
      <c r="C205" t="s">
        <v>190</v>
      </c>
      <c r="D205" t="s">
        <v>95</v>
      </c>
      <c r="E205" t="s">
        <v>1</v>
      </c>
      <c r="F205" s="1"/>
      <c r="G205" t="s">
        <v>197</v>
      </c>
      <c r="H205" s="1">
        <v>38487</v>
      </c>
      <c r="I205" s="2">
        <v>0</v>
      </c>
      <c r="J205" s="2">
        <v>670.47</v>
      </c>
      <c r="K205" t="s">
        <v>1</v>
      </c>
      <c r="L205" t="s">
        <v>194</v>
      </c>
      <c r="M205" t="s">
        <v>191</v>
      </c>
      <c r="N205" s="2">
        <v>670.47</v>
      </c>
      <c r="O205" t="str">
        <f>IFERROR(VLOOKUP($A205,Accounts!$A:$G,3,FALSE),"")</f>
        <v/>
      </c>
    </row>
    <row r="206" spans="1:15" outlineLevel="2" x14ac:dyDescent="0.2">
      <c r="A206" t="str">
        <f t="shared" si="3"/>
        <v>600020994771.21</v>
      </c>
      <c r="B206" t="s">
        <v>0</v>
      </c>
      <c r="C206" t="s">
        <v>190</v>
      </c>
      <c r="D206" t="s">
        <v>95</v>
      </c>
      <c r="E206" t="s">
        <v>1</v>
      </c>
      <c r="F206" s="1"/>
      <c r="G206" t="s">
        <v>216</v>
      </c>
      <c r="H206" s="1">
        <v>38518</v>
      </c>
      <c r="I206" s="2">
        <v>0</v>
      </c>
      <c r="J206" s="2">
        <v>4771.21</v>
      </c>
      <c r="K206" t="s">
        <v>1</v>
      </c>
      <c r="L206" t="s">
        <v>194</v>
      </c>
      <c r="M206" t="s">
        <v>191</v>
      </c>
      <c r="N206" s="2">
        <v>4771.21</v>
      </c>
      <c r="O206" t="str">
        <f>IFERROR(VLOOKUP($A206,Accounts!$A:$G,3,FALSE),"")</f>
        <v/>
      </c>
    </row>
    <row r="207" spans="1:15" outlineLevel="2" x14ac:dyDescent="0.2">
      <c r="A207" t="str">
        <f t="shared" si="3"/>
        <v>60002099-6344.16</v>
      </c>
      <c r="B207" t="s">
        <v>0</v>
      </c>
      <c r="C207" t="s">
        <v>190</v>
      </c>
      <c r="D207" t="s">
        <v>95</v>
      </c>
      <c r="E207" t="s">
        <v>1</v>
      </c>
      <c r="F207" s="1"/>
      <c r="G207" t="s">
        <v>216</v>
      </c>
      <c r="H207" s="1">
        <v>38518</v>
      </c>
      <c r="I207" s="2">
        <v>0</v>
      </c>
      <c r="J207" s="2">
        <v>-6344.16</v>
      </c>
      <c r="K207" t="s">
        <v>1</v>
      </c>
      <c r="L207" t="s">
        <v>194</v>
      </c>
      <c r="M207" t="s">
        <v>191</v>
      </c>
      <c r="N207" s="2">
        <v>-6344.16</v>
      </c>
      <c r="O207" t="str">
        <f>IFERROR(VLOOKUP($A207,Accounts!$A:$G,3,FALSE),"")</f>
        <v/>
      </c>
    </row>
    <row r="208" spans="1:15" outlineLevel="2" x14ac:dyDescent="0.2">
      <c r="A208" t="str">
        <f t="shared" si="3"/>
        <v>60001099-2064.85</v>
      </c>
      <c r="B208" t="s">
        <v>0</v>
      </c>
      <c r="C208" t="s">
        <v>190</v>
      </c>
      <c r="D208" t="s">
        <v>95</v>
      </c>
      <c r="E208" t="s">
        <v>1</v>
      </c>
      <c r="F208" s="1"/>
      <c r="G208" t="s">
        <v>218</v>
      </c>
      <c r="H208" s="1">
        <v>38426</v>
      </c>
      <c r="I208" s="2">
        <v>0</v>
      </c>
      <c r="J208" s="2">
        <v>-2064.85</v>
      </c>
      <c r="K208" t="s">
        <v>1</v>
      </c>
      <c r="L208" t="s">
        <v>194</v>
      </c>
      <c r="M208" t="s">
        <v>191</v>
      </c>
      <c r="N208" s="2">
        <v>-2064.85</v>
      </c>
      <c r="O208" t="str">
        <f>IFERROR(VLOOKUP($A208,Accounts!$A:$G,3,FALSE),"")</f>
        <v/>
      </c>
    </row>
    <row r="209" spans="1:15" outlineLevel="2" x14ac:dyDescent="0.2">
      <c r="A209" t="str">
        <f t="shared" si="3"/>
        <v>600010998052.08</v>
      </c>
      <c r="B209" t="s">
        <v>0</v>
      </c>
      <c r="C209" t="s">
        <v>190</v>
      </c>
      <c r="D209" t="s">
        <v>95</v>
      </c>
      <c r="E209" t="s">
        <v>1</v>
      </c>
      <c r="F209" s="1"/>
      <c r="G209" t="s">
        <v>218</v>
      </c>
      <c r="H209" s="1">
        <v>38426</v>
      </c>
      <c r="I209" s="2">
        <v>0</v>
      </c>
      <c r="J209" s="2">
        <v>8052.08</v>
      </c>
      <c r="K209" t="s">
        <v>1</v>
      </c>
      <c r="L209" t="s">
        <v>194</v>
      </c>
      <c r="M209" t="s">
        <v>191</v>
      </c>
      <c r="N209" s="2">
        <v>8052.08</v>
      </c>
      <c r="O209" t="str">
        <f>IFERROR(VLOOKUP($A209,Accounts!$A:$G,3,FALSE),"")</f>
        <v/>
      </c>
    </row>
    <row r="210" spans="1:15" outlineLevel="2" x14ac:dyDescent="0.2">
      <c r="A210" t="str">
        <f t="shared" si="3"/>
        <v>60000799-1219.09</v>
      </c>
      <c r="B210" t="s">
        <v>0</v>
      </c>
      <c r="C210" t="s">
        <v>190</v>
      </c>
      <c r="D210" t="s">
        <v>95</v>
      </c>
      <c r="E210" t="s">
        <v>1</v>
      </c>
      <c r="F210" s="1"/>
      <c r="G210" t="s">
        <v>204</v>
      </c>
      <c r="H210" s="1">
        <v>38398</v>
      </c>
      <c r="I210" s="2">
        <v>0</v>
      </c>
      <c r="J210" s="2">
        <v>-1219.0899999999999</v>
      </c>
      <c r="K210" t="s">
        <v>1</v>
      </c>
      <c r="L210" t="s">
        <v>194</v>
      </c>
      <c r="M210" t="s">
        <v>191</v>
      </c>
      <c r="N210" s="2">
        <v>-1219.0899999999999</v>
      </c>
      <c r="O210" t="str">
        <f>IFERROR(VLOOKUP($A210,Accounts!$A:$G,3,FALSE),"")</f>
        <v/>
      </c>
    </row>
    <row r="211" spans="1:15" outlineLevel="2" x14ac:dyDescent="0.2">
      <c r="A211" t="str">
        <f t="shared" si="3"/>
        <v>600007991648.45</v>
      </c>
      <c r="B211" t="s">
        <v>0</v>
      </c>
      <c r="C211" t="s">
        <v>190</v>
      </c>
      <c r="D211" t="s">
        <v>95</v>
      </c>
      <c r="E211" t="s">
        <v>1</v>
      </c>
      <c r="F211" s="1"/>
      <c r="G211" t="s">
        <v>204</v>
      </c>
      <c r="H211" s="1">
        <v>38398</v>
      </c>
      <c r="I211" s="2">
        <v>0</v>
      </c>
      <c r="J211" s="2">
        <v>1648.45</v>
      </c>
      <c r="K211" t="s">
        <v>1</v>
      </c>
      <c r="L211" t="s">
        <v>194</v>
      </c>
      <c r="M211" t="s">
        <v>191</v>
      </c>
      <c r="N211" s="2">
        <v>1648.45</v>
      </c>
      <c r="O211" t="str">
        <f>IFERROR(VLOOKUP($A211,Accounts!$A:$G,3,FALSE),"")</f>
        <v/>
      </c>
    </row>
    <row r="212" spans="1:15" outlineLevel="2" x14ac:dyDescent="0.2">
      <c r="A212" t="str">
        <f t="shared" si="3"/>
        <v>60000799-9270.79</v>
      </c>
      <c r="B212" t="s">
        <v>0</v>
      </c>
      <c r="C212" t="s">
        <v>190</v>
      </c>
      <c r="D212" t="s">
        <v>95</v>
      </c>
      <c r="E212" t="s">
        <v>1</v>
      </c>
      <c r="F212" s="1"/>
      <c r="G212" t="s">
        <v>204</v>
      </c>
      <c r="H212" s="1">
        <v>38398</v>
      </c>
      <c r="I212" s="2">
        <v>0</v>
      </c>
      <c r="J212" s="2">
        <v>-9270.7900000000009</v>
      </c>
      <c r="K212" t="s">
        <v>1</v>
      </c>
      <c r="L212" t="s">
        <v>194</v>
      </c>
      <c r="M212" t="s">
        <v>191</v>
      </c>
      <c r="N212" s="2">
        <v>-9270.7900000000009</v>
      </c>
      <c r="O212" t="str">
        <f>IFERROR(VLOOKUP($A212,Accounts!$A:$G,3,FALSE),"")</f>
        <v/>
      </c>
    </row>
    <row r="213" spans="1:15" outlineLevel="2" x14ac:dyDescent="0.2">
      <c r="A213" t="str">
        <f t="shared" si="3"/>
        <v>600007993903.74</v>
      </c>
      <c r="B213" t="s">
        <v>0</v>
      </c>
      <c r="C213" t="s">
        <v>190</v>
      </c>
      <c r="D213" t="s">
        <v>95</v>
      </c>
      <c r="E213" t="s">
        <v>1</v>
      </c>
      <c r="F213" s="1"/>
      <c r="G213" t="s">
        <v>204</v>
      </c>
      <c r="H213" s="1">
        <v>38398</v>
      </c>
      <c r="I213" s="2">
        <v>0</v>
      </c>
      <c r="J213" s="2">
        <v>3903.74</v>
      </c>
      <c r="K213" t="s">
        <v>1</v>
      </c>
      <c r="L213" t="s">
        <v>194</v>
      </c>
      <c r="M213" t="s">
        <v>191</v>
      </c>
      <c r="N213" s="2">
        <v>3903.74</v>
      </c>
      <c r="O213" t="str">
        <f>IFERROR(VLOOKUP($A213,Accounts!$A:$G,3,FALSE),"")</f>
        <v/>
      </c>
    </row>
    <row r="214" spans="1:15" outlineLevel="2" x14ac:dyDescent="0.2">
      <c r="A214" t="str">
        <f t="shared" si="3"/>
        <v>60000199-1648.45</v>
      </c>
      <c r="B214" t="s">
        <v>0</v>
      </c>
      <c r="C214" t="s">
        <v>190</v>
      </c>
      <c r="D214" t="s">
        <v>95</v>
      </c>
      <c r="E214" t="s">
        <v>1</v>
      </c>
      <c r="F214" s="1"/>
      <c r="G214" t="s">
        <v>199</v>
      </c>
      <c r="H214" s="1">
        <v>38367</v>
      </c>
      <c r="I214" s="2">
        <v>0</v>
      </c>
      <c r="J214" s="2">
        <v>-1648.45</v>
      </c>
      <c r="K214" t="s">
        <v>1</v>
      </c>
      <c r="L214" t="s">
        <v>194</v>
      </c>
      <c r="M214" t="s">
        <v>191</v>
      </c>
      <c r="N214" s="2">
        <v>-1648.45</v>
      </c>
      <c r="O214" t="str">
        <f>IFERROR(VLOOKUP($A214,Accounts!$A:$G,3,FALSE),"")</f>
        <v/>
      </c>
    </row>
    <row r="215" spans="1:15" outlineLevel="2" x14ac:dyDescent="0.2">
      <c r="A215" t="str">
        <f t="shared" si="3"/>
        <v>60000199-7670.07</v>
      </c>
      <c r="B215" t="s">
        <v>0</v>
      </c>
      <c r="C215" t="s">
        <v>190</v>
      </c>
      <c r="D215" t="s">
        <v>95</v>
      </c>
      <c r="E215" t="s">
        <v>1</v>
      </c>
      <c r="F215" s="1"/>
      <c r="G215" t="s">
        <v>199</v>
      </c>
      <c r="H215" s="1">
        <v>38367</v>
      </c>
      <c r="I215" s="2">
        <v>0</v>
      </c>
      <c r="J215" s="2">
        <v>-7670.07</v>
      </c>
      <c r="K215" t="s">
        <v>1</v>
      </c>
      <c r="L215" t="s">
        <v>194</v>
      </c>
      <c r="M215" t="s">
        <v>191</v>
      </c>
      <c r="N215" s="2">
        <v>-7670.07</v>
      </c>
      <c r="O215" t="str">
        <f>IFERROR(VLOOKUP($A215,Accounts!$A:$G,3,FALSE),"")</f>
        <v/>
      </c>
    </row>
    <row r="216" spans="1:15" outlineLevel="2" x14ac:dyDescent="0.2">
      <c r="A216" t="str">
        <f t="shared" si="3"/>
        <v>60000199845.76</v>
      </c>
      <c r="B216" t="s">
        <v>0</v>
      </c>
      <c r="C216" t="s">
        <v>190</v>
      </c>
      <c r="D216" t="s">
        <v>95</v>
      </c>
      <c r="E216" t="s">
        <v>1</v>
      </c>
      <c r="F216" s="1"/>
      <c r="G216" t="s">
        <v>199</v>
      </c>
      <c r="H216" s="1">
        <v>38367</v>
      </c>
      <c r="I216" s="2">
        <v>0</v>
      </c>
      <c r="J216" s="2">
        <v>845.76</v>
      </c>
      <c r="K216" t="s">
        <v>1</v>
      </c>
      <c r="L216" t="s">
        <v>194</v>
      </c>
      <c r="M216" t="s">
        <v>191</v>
      </c>
      <c r="N216" s="2">
        <v>845.76</v>
      </c>
      <c r="O216" t="str">
        <f>IFERROR(VLOOKUP($A216,Accounts!$A:$G,3,FALSE),"")</f>
        <v/>
      </c>
    </row>
    <row r="217" spans="1:15" outlineLevel="2" x14ac:dyDescent="0.2">
      <c r="A217" t="str">
        <f t="shared" si="3"/>
        <v>60148699-2080.33</v>
      </c>
      <c r="B217" t="s">
        <v>0</v>
      </c>
      <c r="C217" t="s">
        <v>190</v>
      </c>
      <c r="D217" t="s">
        <v>95</v>
      </c>
      <c r="E217" t="s">
        <v>1</v>
      </c>
      <c r="F217" s="1"/>
      <c r="G217" t="s">
        <v>200</v>
      </c>
      <c r="H217" s="1">
        <v>38336</v>
      </c>
      <c r="I217" s="2">
        <v>0</v>
      </c>
      <c r="J217" s="2">
        <v>-2080.33</v>
      </c>
      <c r="K217" t="s">
        <v>1</v>
      </c>
      <c r="L217" t="s">
        <v>171</v>
      </c>
      <c r="M217" t="s">
        <v>191</v>
      </c>
      <c r="N217" s="2">
        <v>-2080.33</v>
      </c>
      <c r="O217" t="str">
        <f>IFERROR(VLOOKUP($A217,Accounts!$A:$G,3,FALSE),"")</f>
        <v/>
      </c>
    </row>
    <row r="218" spans="1:15" outlineLevel="2" x14ac:dyDescent="0.2">
      <c r="A218" t="str">
        <f t="shared" si="3"/>
        <v>601479993903.74</v>
      </c>
      <c r="B218" t="s">
        <v>0</v>
      </c>
      <c r="C218" t="s">
        <v>190</v>
      </c>
      <c r="D218" t="s">
        <v>95</v>
      </c>
      <c r="E218" t="s">
        <v>1</v>
      </c>
      <c r="F218" s="1"/>
      <c r="G218" t="s">
        <v>205</v>
      </c>
      <c r="H218" s="1">
        <v>38306</v>
      </c>
      <c r="I218" s="2">
        <v>0</v>
      </c>
      <c r="J218" s="2">
        <v>3903.74</v>
      </c>
      <c r="K218" t="s">
        <v>1</v>
      </c>
      <c r="L218" t="s">
        <v>171</v>
      </c>
      <c r="M218" t="s">
        <v>191</v>
      </c>
      <c r="N218" s="2">
        <v>3903.74</v>
      </c>
      <c r="O218" t="str">
        <f>IFERROR(VLOOKUP($A218,Accounts!$A:$G,3,FALSE),"")</f>
        <v/>
      </c>
    </row>
    <row r="219" spans="1:15" outlineLevel="2" x14ac:dyDescent="0.2">
      <c r="A219" t="str">
        <f t="shared" si="3"/>
        <v>60147999-11955.82</v>
      </c>
      <c r="B219" t="s">
        <v>0</v>
      </c>
      <c r="C219" t="s">
        <v>190</v>
      </c>
      <c r="D219" t="s">
        <v>95</v>
      </c>
      <c r="E219" t="s">
        <v>1</v>
      </c>
      <c r="F219" s="1"/>
      <c r="G219" t="s">
        <v>205</v>
      </c>
      <c r="H219" s="1">
        <v>38306</v>
      </c>
      <c r="I219" s="2">
        <v>0</v>
      </c>
      <c r="J219" s="2">
        <v>-11955.82</v>
      </c>
      <c r="K219" t="s">
        <v>1</v>
      </c>
      <c r="L219" t="s">
        <v>171</v>
      </c>
      <c r="M219" t="s">
        <v>191</v>
      </c>
      <c r="N219" s="2">
        <v>-11955.82</v>
      </c>
      <c r="O219" t="str">
        <f>IFERROR(VLOOKUP($A219,Accounts!$A:$G,3,FALSE),"")</f>
        <v/>
      </c>
    </row>
    <row r="220" spans="1:15" outlineLevel="2" x14ac:dyDescent="0.2">
      <c r="A220" t="str">
        <f t="shared" si="3"/>
        <v>60147799-3903.74</v>
      </c>
      <c r="B220" t="s">
        <v>0</v>
      </c>
      <c r="C220" t="s">
        <v>190</v>
      </c>
      <c r="D220" t="s">
        <v>95</v>
      </c>
      <c r="E220" t="s">
        <v>1</v>
      </c>
      <c r="F220" s="1"/>
      <c r="G220" t="s">
        <v>206</v>
      </c>
      <c r="H220" s="1">
        <v>38275</v>
      </c>
      <c r="I220" s="2">
        <v>0</v>
      </c>
      <c r="J220" s="2">
        <v>-3903.74</v>
      </c>
      <c r="K220" t="s">
        <v>1</v>
      </c>
      <c r="L220" t="s">
        <v>171</v>
      </c>
      <c r="M220" t="s">
        <v>191</v>
      </c>
      <c r="N220" s="2">
        <v>-3903.74</v>
      </c>
      <c r="O220" t="str">
        <f>IFERROR(VLOOKUP($A220,Accounts!$A:$G,3,FALSE),"")</f>
        <v/>
      </c>
    </row>
    <row r="221" spans="1:15" outlineLevel="2" x14ac:dyDescent="0.2">
      <c r="A221" t="str">
        <f t="shared" si="3"/>
        <v>60147799-845.76</v>
      </c>
      <c r="B221" t="s">
        <v>0</v>
      </c>
      <c r="C221" t="s">
        <v>190</v>
      </c>
      <c r="D221" t="s">
        <v>95</v>
      </c>
      <c r="E221" t="s">
        <v>1</v>
      </c>
      <c r="F221" s="1"/>
      <c r="G221" t="s">
        <v>206</v>
      </c>
      <c r="H221" s="1">
        <v>38275</v>
      </c>
      <c r="I221" s="2">
        <v>0</v>
      </c>
      <c r="J221" s="2">
        <v>-845.76</v>
      </c>
      <c r="K221" t="s">
        <v>1</v>
      </c>
      <c r="L221" t="s">
        <v>171</v>
      </c>
      <c r="M221" t="s">
        <v>191</v>
      </c>
      <c r="N221" s="2">
        <v>-845.76</v>
      </c>
      <c r="O221" t="str">
        <f>IFERROR(VLOOKUP($A221,Accounts!$A:$G,3,FALSE),"")</f>
        <v/>
      </c>
    </row>
    <row r="222" spans="1:15" outlineLevel="2" x14ac:dyDescent="0.2">
      <c r="A222" t="str">
        <f t="shared" si="3"/>
        <v>60016399-922.65</v>
      </c>
      <c r="B222" t="s">
        <v>0</v>
      </c>
      <c r="C222" t="s">
        <v>190</v>
      </c>
      <c r="D222" t="s">
        <v>95</v>
      </c>
      <c r="E222" t="s">
        <v>1</v>
      </c>
      <c r="F222" s="1"/>
      <c r="G222" t="s">
        <v>214</v>
      </c>
      <c r="H222" s="1">
        <v>38199</v>
      </c>
      <c r="I222" s="2">
        <v>0</v>
      </c>
      <c r="J222" s="2">
        <v>-922.65</v>
      </c>
      <c r="K222" t="s">
        <v>1</v>
      </c>
      <c r="L222" t="s">
        <v>171</v>
      </c>
      <c r="M222" t="s">
        <v>191</v>
      </c>
      <c r="N222" s="2">
        <v>-922.65</v>
      </c>
      <c r="O222" t="str">
        <f>IFERROR(VLOOKUP($A222,Accounts!$A:$G,3,FALSE),"")</f>
        <v/>
      </c>
    </row>
    <row r="223" spans="1:15" outlineLevel="2" x14ac:dyDescent="0.2">
      <c r="A223" t="str">
        <f t="shared" si="3"/>
        <v>600003994098.84</v>
      </c>
      <c r="B223" t="s">
        <v>0</v>
      </c>
      <c r="C223" t="s">
        <v>190</v>
      </c>
      <c r="D223" t="s">
        <v>95</v>
      </c>
      <c r="E223" t="s">
        <v>1</v>
      </c>
      <c r="F223" s="1"/>
      <c r="G223" t="s">
        <v>210</v>
      </c>
      <c r="H223" s="1">
        <v>38763</v>
      </c>
      <c r="I223" s="2">
        <v>0</v>
      </c>
      <c r="J223" s="2">
        <v>4098.84</v>
      </c>
      <c r="K223" t="s">
        <v>1</v>
      </c>
      <c r="L223" t="s">
        <v>192</v>
      </c>
      <c r="M223" t="s">
        <v>191</v>
      </c>
      <c r="N223" s="2">
        <v>4098.84</v>
      </c>
      <c r="O223" t="str">
        <f>IFERROR(VLOOKUP($A223,Accounts!$A:$G,3,FALSE),"")</f>
        <v/>
      </c>
    </row>
    <row r="224" spans="1:15" outlineLevel="2" x14ac:dyDescent="0.2">
      <c r="A224" t="str">
        <f t="shared" si="3"/>
        <v>600200992011.48</v>
      </c>
      <c r="B224" t="s">
        <v>0</v>
      </c>
      <c r="C224" t="s">
        <v>190</v>
      </c>
      <c r="D224" t="s">
        <v>178</v>
      </c>
      <c r="E224" t="s">
        <v>1</v>
      </c>
      <c r="F224" s="1"/>
      <c r="G224" t="s">
        <v>219</v>
      </c>
      <c r="H224" s="1">
        <v>38199</v>
      </c>
      <c r="I224" s="2">
        <v>0</v>
      </c>
      <c r="J224" s="2">
        <v>2011.48</v>
      </c>
      <c r="K224" t="s">
        <v>1</v>
      </c>
      <c r="L224" t="s">
        <v>171</v>
      </c>
      <c r="M224" t="s">
        <v>191</v>
      </c>
      <c r="N224" s="2">
        <v>2011.48</v>
      </c>
      <c r="O224" t="str">
        <f>IFERROR(VLOOKUP($A224,Accounts!$A:$G,3,FALSE),"")</f>
        <v/>
      </c>
    </row>
    <row r="225" spans="1:15" outlineLevel="2" x14ac:dyDescent="0.2">
      <c r="A225" t="str">
        <f t="shared" si="3"/>
        <v>60020099-2011.48</v>
      </c>
      <c r="B225" t="s">
        <v>0</v>
      </c>
      <c r="C225" t="s">
        <v>190</v>
      </c>
      <c r="D225" t="s">
        <v>178</v>
      </c>
      <c r="E225" t="s">
        <v>1</v>
      </c>
      <c r="F225" s="1"/>
      <c r="G225" t="s">
        <v>219</v>
      </c>
      <c r="H225" s="1">
        <v>38199</v>
      </c>
      <c r="I225" s="2">
        <v>0</v>
      </c>
      <c r="J225" s="2">
        <v>-2011.48</v>
      </c>
      <c r="K225" t="s">
        <v>1</v>
      </c>
      <c r="L225" t="s">
        <v>171</v>
      </c>
      <c r="M225" t="s">
        <v>191</v>
      </c>
      <c r="N225" s="2">
        <v>-2011.48</v>
      </c>
      <c r="O225" t="str">
        <f>IFERROR(VLOOKUP($A225,Accounts!$A:$G,3,FALSE),"")</f>
        <v/>
      </c>
    </row>
    <row r="226" spans="1:15" outlineLevel="2" x14ac:dyDescent="0.2">
      <c r="A226" t="str">
        <f t="shared" si="3"/>
        <v>1420</v>
      </c>
      <c r="B226" s="3" t="s">
        <v>1</v>
      </c>
      <c r="C226" s="3" t="s">
        <v>190</v>
      </c>
      <c r="D226" s="3" t="s">
        <v>1</v>
      </c>
      <c r="E226" s="3" t="s">
        <v>1</v>
      </c>
      <c r="F226" s="4"/>
      <c r="G226" s="3" t="s">
        <v>1</v>
      </c>
      <c r="H226" s="4"/>
      <c r="I226" s="5">
        <v>0</v>
      </c>
      <c r="J226" s="5">
        <v>0</v>
      </c>
      <c r="K226" s="3" t="s">
        <v>1</v>
      </c>
      <c r="L226" s="3" t="s">
        <v>1</v>
      </c>
      <c r="M226" s="3" t="s">
        <v>1</v>
      </c>
      <c r="N226" s="5">
        <v>0</v>
      </c>
      <c r="O226" t="str">
        <f>IFERROR(VLOOKUP($A226,Accounts!$A:$G,3,FALSE),"")</f>
        <v/>
      </c>
    </row>
    <row r="227" spans="1:15" outlineLevel="2" x14ac:dyDescent="0.2">
      <c r="A227" t="str">
        <f t="shared" si="3"/>
        <v>6004201431000000</v>
      </c>
      <c r="B227" t="s">
        <v>0</v>
      </c>
      <c r="C227" t="s">
        <v>2</v>
      </c>
      <c r="D227" t="s">
        <v>220</v>
      </c>
      <c r="E227" t="s">
        <v>469</v>
      </c>
      <c r="F227" s="1">
        <v>43489</v>
      </c>
      <c r="G227" t="s">
        <v>1</v>
      </c>
      <c r="H227" s="1"/>
      <c r="I227" s="2">
        <v>1000000</v>
      </c>
      <c r="J227" s="2">
        <v>0</v>
      </c>
      <c r="K227" t="s">
        <v>474</v>
      </c>
      <c r="L227" t="s">
        <v>1</v>
      </c>
      <c r="M227" t="s">
        <v>695</v>
      </c>
      <c r="N227" s="2">
        <v>1000000</v>
      </c>
      <c r="O227" t="str">
        <f>IFERROR(VLOOKUP($A227,Accounts!$A:$G,3,FALSE),"")</f>
        <v/>
      </c>
    </row>
    <row r="228" spans="1:15" outlineLevel="2" x14ac:dyDescent="0.2">
      <c r="A228" t="str">
        <f t="shared" si="3"/>
        <v>60055414395.56</v>
      </c>
      <c r="B228" t="s">
        <v>0</v>
      </c>
      <c r="C228" t="s">
        <v>2</v>
      </c>
      <c r="D228" t="s">
        <v>634</v>
      </c>
      <c r="E228" t="s">
        <v>644</v>
      </c>
      <c r="F228" s="1">
        <v>43496</v>
      </c>
      <c r="G228" t="s">
        <v>1</v>
      </c>
      <c r="H228" s="1"/>
      <c r="I228" s="2">
        <v>95.56</v>
      </c>
      <c r="J228" s="2">
        <v>0</v>
      </c>
      <c r="K228" t="s">
        <v>474</v>
      </c>
      <c r="L228" t="s">
        <v>1</v>
      </c>
      <c r="M228" t="s">
        <v>695</v>
      </c>
      <c r="N228" s="2">
        <v>95.56</v>
      </c>
      <c r="O228" t="str">
        <f>IFERROR(VLOOKUP($A228,Accounts!$A:$G,3,FALSE),"")</f>
        <v/>
      </c>
    </row>
    <row r="229" spans="1:15" outlineLevel="2" x14ac:dyDescent="0.2">
      <c r="A229" t="str">
        <f t="shared" si="3"/>
        <v>29000024831431296.66</v>
      </c>
      <c r="B229" t="s">
        <v>0</v>
      </c>
      <c r="C229" t="s">
        <v>2</v>
      </c>
      <c r="D229" t="s">
        <v>99</v>
      </c>
      <c r="E229" t="s">
        <v>646</v>
      </c>
      <c r="F229" s="1">
        <v>43494</v>
      </c>
      <c r="G229" t="s">
        <v>1</v>
      </c>
      <c r="H229" s="1"/>
      <c r="I229" s="2">
        <v>1296.6600000000001</v>
      </c>
      <c r="J229" s="2">
        <v>0</v>
      </c>
      <c r="K229" t="s">
        <v>474</v>
      </c>
      <c r="L229" t="s">
        <v>1</v>
      </c>
      <c r="M229" t="s">
        <v>695</v>
      </c>
      <c r="N229" s="2">
        <v>1296.6600000000001</v>
      </c>
      <c r="O229" t="str">
        <f>IFERROR(VLOOKUP($A229,Accounts!$A:$G,3,FALSE),"")</f>
        <v/>
      </c>
    </row>
    <row r="230" spans="1:15" outlineLevel="2" x14ac:dyDescent="0.2">
      <c r="A230" t="str">
        <f t="shared" si="3"/>
        <v>29000024821432466.98</v>
      </c>
      <c r="B230" t="s">
        <v>0</v>
      </c>
      <c r="C230" t="s">
        <v>2</v>
      </c>
      <c r="D230" t="s">
        <v>99</v>
      </c>
      <c r="E230" t="s">
        <v>645</v>
      </c>
      <c r="F230" s="1">
        <v>43494</v>
      </c>
      <c r="G230" t="s">
        <v>1</v>
      </c>
      <c r="H230" s="1"/>
      <c r="I230" s="2">
        <v>2466.98</v>
      </c>
      <c r="J230" s="2">
        <v>0</v>
      </c>
      <c r="K230" t="s">
        <v>474</v>
      </c>
      <c r="L230" t="s">
        <v>1</v>
      </c>
      <c r="M230" t="s">
        <v>695</v>
      </c>
      <c r="N230" s="2">
        <v>2466.98</v>
      </c>
      <c r="O230" t="str">
        <f>IFERROR(VLOOKUP($A230,Accounts!$A:$G,3,FALSE),"")</f>
        <v/>
      </c>
    </row>
    <row r="231" spans="1:15" outlineLevel="2" x14ac:dyDescent="0.2">
      <c r="A231" t="str">
        <f t="shared" si="3"/>
        <v>290000235914310121.04</v>
      </c>
      <c r="B231" t="s">
        <v>0</v>
      </c>
      <c r="C231" t="s">
        <v>2</v>
      </c>
      <c r="D231" t="s">
        <v>99</v>
      </c>
      <c r="E231" t="s">
        <v>476</v>
      </c>
      <c r="F231" s="1">
        <v>43493</v>
      </c>
      <c r="G231" t="s">
        <v>1</v>
      </c>
      <c r="H231" s="1"/>
      <c r="I231" s="2">
        <v>10121.040000000001</v>
      </c>
      <c r="J231" s="2">
        <v>0</v>
      </c>
      <c r="K231" t="s">
        <v>474</v>
      </c>
      <c r="L231" t="s">
        <v>1</v>
      </c>
      <c r="M231" t="s">
        <v>695</v>
      </c>
      <c r="N231" s="2">
        <v>10121.040000000001</v>
      </c>
      <c r="O231" t="str">
        <f>IFERROR(VLOOKUP($A231,Accounts!$A:$G,3,FALSE),"")</f>
        <v/>
      </c>
    </row>
    <row r="232" spans="1:15" outlineLevel="2" x14ac:dyDescent="0.2">
      <c r="A232" t="str">
        <f t="shared" si="3"/>
        <v>290000230814311720.31</v>
      </c>
      <c r="B232" t="s">
        <v>0</v>
      </c>
      <c r="C232" t="s">
        <v>2</v>
      </c>
      <c r="D232" t="s">
        <v>99</v>
      </c>
      <c r="E232" t="s">
        <v>477</v>
      </c>
      <c r="F232" s="1">
        <v>43493</v>
      </c>
      <c r="G232" t="s">
        <v>1</v>
      </c>
      <c r="H232" s="1"/>
      <c r="I232" s="2">
        <v>11720.31</v>
      </c>
      <c r="J232" s="2">
        <v>0</v>
      </c>
      <c r="K232" t="s">
        <v>474</v>
      </c>
      <c r="L232" t="s">
        <v>1</v>
      </c>
      <c r="M232" t="s">
        <v>695</v>
      </c>
      <c r="N232" s="2">
        <v>11720.31</v>
      </c>
      <c r="O232" t="str">
        <f>IFERROR(VLOOKUP($A232,Accounts!$A:$G,3,FALSE),"")</f>
        <v/>
      </c>
    </row>
    <row r="233" spans="1:15" outlineLevel="2" x14ac:dyDescent="0.2">
      <c r="A233" t="str">
        <f t="shared" si="3"/>
        <v>29000015841436285.6</v>
      </c>
      <c r="B233" t="s">
        <v>0</v>
      </c>
      <c r="C233" t="s">
        <v>2</v>
      </c>
      <c r="D233" t="s">
        <v>99</v>
      </c>
      <c r="E233" t="s">
        <v>478</v>
      </c>
      <c r="F233" s="1">
        <v>43483</v>
      </c>
      <c r="G233" t="s">
        <v>1</v>
      </c>
      <c r="H233" s="1"/>
      <c r="I233" s="2">
        <v>6285.6</v>
      </c>
      <c r="J233" s="2">
        <v>0</v>
      </c>
      <c r="K233" t="s">
        <v>474</v>
      </c>
      <c r="L233" t="s">
        <v>1</v>
      </c>
      <c r="M233" t="s">
        <v>695</v>
      </c>
      <c r="N233" s="2">
        <v>6285.6</v>
      </c>
      <c r="O233" t="str">
        <f>IFERROR(VLOOKUP($A233,Accounts!$A:$G,3,FALSE),"")</f>
        <v/>
      </c>
    </row>
    <row r="234" spans="1:15" outlineLevel="2" x14ac:dyDescent="0.2">
      <c r="A234" t="str">
        <f t="shared" si="3"/>
        <v>2900001436143186.93</v>
      </c>
      <c r="B234" t="s">
        <v>0</v>
      </c>
      <c r="C234" t="s">
        <v>2</v>
      </c>
      <c r="D234" t="s">
        <v>99</v>
      </c>
      <c r="E234" t="s">
        <v>479</v>
      </c>
      <c r="F234" s="1">
        <v>43482</v>
      </c>
      <c r="G234" t="s">
        <v>1</v>
      </c>
      <c r="H234" s="1"/>
      <c r="I234" s="2">
        <v>186.93</v>
      </c>
      <c r="J234" s="2">
        <v>0</v>
      </c>
      <c r="K234" t="s">
        <v>474</v>
      </c>
      <c r="L234" t="s">
        <v>1</v>
      </c>
      <c r="M234" t="s">
        <v>695</v>
      </c>
      <c r="N234" s="2">
        <v>186.93</v>
      </c>
      <c r="O234" t="str">
        <f>IFERROR(VLOOKUP($A234,Accounts!$A:$G,3,FALSE),"")</f>
        <v/>
      </c>
    </row>
    <row r="235" spans="1:15" outlineLevel="2" x14ac:dyDescent="0.2">
      <c r="A235" t="str">
        <f t="shared" si="3"/>
        <v>29000014371437129.5</v>
      </c>
      <c r="B235" t="s">
        <v>0</v>
      </c>
      <c r="C235" t="s">
        <v>2</v>
      </c>
      <c r="D235" t="s">
        <v>99</v>
      </c>
      <c r="E235" t="s">
        <v>480</v>
      </c>
      <c r="F235" s="1">
        <v>43482</v>
      </c>
      <c r="G235" t="s">
        <v>1</v>
      </c>
      <c r="H235" s="1"/>
      <c r="I235" s="2">
        <v>7129.5</v>
      </c>
      <c r="J235" s="2">
        <v>0</v>
      </c>
      <c r="K235" t="s">
        <v>474</v>
      </c>
      <c r="L235" t="s">
        <v>1</v>
      </c>
      <c r="M235" t="s">
        <v>695</v>
      </c>
      <c r="N235" s="2">
        <v>7129.5</v>
      </c>
      <c r="O235" t="str">
        <f>IFERROR(VLOOKUP($A235,Accounts!$A:$G,3,FALSE),"")</f>
        <v/>
      </c>
    </row>
    <row r="236" spans="1:15" outlineLevel="2" x14ac:dyDescent="0.2">
      <c r="A236" t="str">
        <f t="shared" si="3"/>
        <v>600553143-26</v>
      </c>
      <c r="B236" t="s">
        <v>0</v>
      </c>
      <c r="C236" t="s">
        <v>2</v>
      </c>
      <c r="D236" t="s">
        <v>97</v>
      </c>
      <c r="E236" t="s">
        <v>392</v>
      </c>
      <c r="F236" s="1">
        <v>43496</v>
      </c>
      <c r="G236" t="s">
        <v>1</v>
      </c>
      <c r="H236" s="1"/>
      <c r="I236" s="2">
        <v>-26</v>
      </c>
      <c r="J236" s="2">
        <v>0</v>
      </c>
      <c r="K236" t="s">
        <v>474</v>
      </c>
      <c r="L236" t="s">
        <v>1</v>
      </c>
      <c r="M236" t="s">
        <v>695</v>
      </c>
      <c r="N236" s="2">
        <v>-26</v>
      </c>
      <c r="O236" t="str">
        <f>IFERROR(VLOOKUP($A236,Accounts!$A:$G,3,FALSE),"")</f>
        <v/>
      </c>
    </row>
    <row r="237" spans="1:15" outlineLevel="2" x14ac:dyDescent="0.2">
      <c r="A237" t="str">
        <f t="shared" si="3"/>
        <v>600553143-26.51</v>
      </c>
      <c r="B237" t="s">
        <v>0</v>
      </c>
      <c r="C237" t="s">
        <v>2</v>
      </c>
      <c r="D237" t="s">
        <v>97</v>
      </c>
      <c r="E237" t="s">
        <v>392</v>
      </c>
      <c r="F237" s="1">
        <v>43496</v>
      </c>
      <c r="G237" t="s">
        <v>1</v>
      </c>
      <c r="H237" s="1"/>
      <c r="I237" s="2">
        <v>-26.51</v>
      </c>
      <c r="J237" s="2">
        <v>0</v>
      </c>
      <c r="K237" t="s">
        <v>474</v>
      </c>
      <c r="L237" t="s">
        <v>1</v>
      </c>
      <c r="M237" t="s">
        <v>695</v>
      </c>
      <c r="N237" s="2">
        <v>-26.51</v>
      </c>
      <c r="O237" t="str">
        <f>IFERROR(VLOOKUP($A237,Accounts!$A:$G,3,FALSE),"")</f>
        <v/>
      </c>
    </row>
    <row r="238" spans="1:15" outlineLevel="2" x14ac:dyDescent="0.2">
      <c r="A238" t="str">
        <f t="shared" si="3"/>
        <v>140000034914326</v>
      </c>
      <c r="B238" t="s">
        <v>0</v>
      </c>
      <c r="C238" t="s">
        <v>2</v>
      </c>
      <c r="D238" t="s">
        <v>97</v>
      </c>
      <c r="E238" t="s">
        <v>647</v>
      </c>
      <c r="F238" s="1">
        <v>43495</v>
      </c>
      <c r="G238" t="s">
        <v>1</v>
      </c>
      <c r="H238" s="1"/>
      <c r="I238" s="2">
        <v>26</v>
      </c>
      <c r="J238" s="2">
        <v>0</v>
      </c>
      <c r="K238" t="s">
        <v>474</v>
      </c>
      <c r="L238" t="s">
        <v>1</v>
      </c>
      <c r="M238" t="s">
        <v>695</v>
      </c>
      <c r="N238" s="2">
        <v>26</v>
      </c>
      <c r="O238" t="str">
        <f>IFERROR(VLOOKUP($A238,Accounts!$A:$G,3,FALSE),"")</f>
        <v/>
      </c>
    </row>
    <row r="239" spans="1:15" outlineLevel="2" x14ac:dyDescent="0.2">
      <c r="A239" t="str">
        <f t="shared" si="3"/>
        <v>140000034914326.51</v>
      </c>
      <c r="B239" t="s">
        <v>0</v>
      </c>
      <c r="C239" t="s">
        <v>2</v>
      </c>
      <c r="D239" t="s">
        <v>97</v>
      </c>
      <c r="E239" t="s">
        <v>647</v>
      </c>
      <c r="F239" s="1">
        <v>43495</v>
      </c>
      <c r="G239" t="s">
        <v>1</v>
      </c>
      <c r="H239" s="1"/>
      <c r="I239" s="2">
        <v>26.51</v>
      </c>
      <c r="J239" s="2">
        <v>0</v>
      </c>
      <c r="K239" t="s">
        <v>474</v>
      </c>
      <c r="L239" t="s">
        <v>1</v>
      </c>
      <c r="M239" t="s">
        <v>695</v>
      </c>
      <c r="N239" s="2">
        <v>26.51</v>
      </c>
      <c r="O239" t="str">
        <f>IFERROR(VLOOKUP($A239,Accounts!$A:$G,3,FALSE),"")</f>
        <v/>
      </c>
    </row>
    <row r="240" spans="1:15" outlineLevel="2" x14ac:dyDescent="0.2">
      <c r="A240" t="str">
        <f t="shared" si="3"/>
        <v>2400020518143-1260</v>
      </c>
      <c r="B240" t="s">
        <v>0</v>
      </c>
      <c r="C240" t="s">
        <v>2</v>
      </c>
      <c r="D240" t="s">
        <v>169</v>
      </c>
      <c r="E240" t="s">
        <v>245</v>
      </c>
      <c r="F240" s="1">
        <v>38120</v>
      </c>
      <c r="G240" t="s">
        <v>1</v>
      </c>
      <c r="H240" s="1"/>
      <c r="I240" s="2">
        <v>-1260</v>
      </c>
      <c r="J240" s="2">
        <v>0</v>
      </c>
      <c r="K240" t="s">
        <v>171</v>
      </c>
      <c r="L240" t="s">
        <v>1</v>
      </c>
      <c r="M240" t="s">
        <v>695</v>
      </c>
      <c r="N240" s="2">
        <v>-1260</v>
      </c>
      <c r="O240" t="str">
        <f>IFERROR(VLOOKUP($A240,Accounts!$A:$G,3,FALSE),"")</f>
        <v/>
      </c>
    </row>
    <row r="241" spans="1:15" outlineLevel="2" x14ac:dyDescent="0.2">
      <c r="A241" t="str">
        <f t="shared" si="3"/>
        <v>2400020519143-1612.8</v>
      </c>
      <c r="B241" t="s">
        <v>0</v>
      </c>
      <c r="C241" t="s">
        <v>2</v>
      </c>
      <c r="D241" t="s">
        <v>169</v>
      </c>
      <c r="E241" t="s">
        <v>246</v>
      </c>
      <c r="F241" s="1">
        <v>38120</v>
      </c>
      <c r="G241" t="s">
        <v>1</v>
      </c>
      <c r="H241" s="1"/>
      <c r="I241" s="2">
        <v>-1612.8</v>
      </c>
      <c r="J241" s="2">
        <v>0</v>
      </c>
      <c r="K241" t="s">
        <v>171</v>
      </c>
      <c r="L241" t="s">
        <v>1</v>
      </c>
      <c r="M241" t="s">
        <v>695</v>
      </c>
      <c r="N241" s="2">
        <v>-1612.8</v>
      </c>
      <c r="O241" t="str">
        <f>IFERROR(VLOOKUP($A241,Accounts!$A:$G,3,FALSE),"")</f>
        <v/>
      </c>
    </row>
    <row r="242" spans="1:15" outlineLevel="2" x14ac:dyDescent="0.2">
      <c r="A242" t="str">
        <f t="shared" si="3"/>
        <v>2400020520143-1760.8</v>
      </c>
      <c r="B242" t="s">
        <v>0</v>
      </c>
      <c r="C242" t="s">
        <v>2</v>
      </c>
      <c r="D242" t="s">
        <v>169</v>
      </c>
      <c r="E242" t="s">
        <v>247</v>
      </c>
      <c r="F242" s="1">
        <v>38120</v>
      </c>
      <c r="G242" t="s">
        <v>1</v>
      </c>
      <c r="H242" s="1"/>
      <c r="I242" s="2">
        <v>-1760.8</v>
      </c>
      <c r="J242" s="2">
        <v>0</v>
      </c>
      <c r="K242" t="s">
        <v>171</v>
      </c>
      <c r="L242" t="s">
        <v>1</v>
      </c>
      <c r="M242" t="s">
        <v>695</v>
      </c>
      <c r="N242" s="2">
        <v>-1760.8</v>
      </c>
      <c r="O242" t="str">
        <f>IFERROR(VLOOKUP($A242,Accounts!$A:$G,3,FALSE),"")</f>
        <v/>
      </c>
    </row>
    <row r="243" spans="1:15" outlineLevel="2" x14ac:dyDescent="0.2">
      <c r="A243" t="str">
        <f t="shared" si="3"/>
        <v>2400020552143-10504.36</v>
      </c>
      <c r="B243" t="s">
        <v>0</v>
      </c>
      <c r="C243" t="s">
        <v>2</v>
      </c>
      <c r="D243" t="s">
        <v>169</v>
      </c>
      <c r="E243" t="s">
        <v>248</v>
      </c>
      <c r="F243" s="1">
        <v>38121</v>
      </c>
      <c r="G243" t="s">
        <v>1</v>
      </c>
      <c r="H243" s="1"/>
      <c r="I243" s="2">
        <v>-10504.36</v>
      </c>
      <c r="J243" s="2">
        <v>0</v>
      </c>
      <c r="K243" t="s">
        <v>171</v>
      </c>
      <c r="L243" t="s">
        <v>1</v>
      </c>
      <c r="M243" t="s">
        <v>695</v>
      </c>
      <c r="N243" s="2">
        <v>-10504.36</v>
      </c>
      <c r="O243" t="str">
        <f>IFERROR(VLOOKUP($A243,Accounts!$A:$G,3,FALSE),"")</f>
        <v/>
      </c>
    </row>
    <row r="244" spans="1:15" outlineLevel="2" x14ac:dyDescent="0.2">
      <c r="A244" t="str">
        <f t="shared" si="3"/>
        <v>2400020609143-6521.34</v>
      </c>
      <c r="B244" t="s">
        <v>0</v>
      </c>
      <c r="C244" t="s">
        <v>2</v>
      </c>
      <c r="D244" t="s">
        <v>169</v>
      </c>
      <c r="E244" t="s">
        <v>249</v>
      </c>
      <c r="F244" s="1">
        <v>38125</v>
      </c>
      <c r="G244" t="s">
        <v>1</v>
      </c>
      <c r="H244" s="1"/>
      <c r="I244" s="2">
        <v>-6521.34</v>
      </c>
      <c r="J244" s="2">
        <v>0</v>
      </c>
      <c r="K244" t="s">
        <v>171</v>
      </c>
      <c r="L244" t="s">
        <v>1</v>
      </c>
      <c r="M244" t="s">
        <v>695</v>
      </c>
      <c r="N244" s="2">
        <v>-6521.34</v>
      </c>
      <c r="O244" t="str">
        <f>IFERROR(VLOOKUP($A244,Accounts!$A:$G,3,FALSE),"")</f>
        <v/>
      </c>
    </row>
    <row r="245" spans="1:15" outlineLevel="2" x14ac:dyDescent="0.2">
      <c r="A245" t="str">
        <f t="shared" si="3"/>
        <v>2400020657143-2593.5</v>
      </c>
      <c r="B245" t="s">
        <v>0</v>
      </c>
      <c r="C245" t="s">
        <v>2</v>
      </c>
      <c r="D245" t="s">
        <v>169</v>
      </c>
      <c r="E245" t="s">
        <v>250</v>
      </c>
      <c r="F245" s="1">
        <v>38128</v>
      </c>
      <c r="G245" t="s">
        <v>1</v>
      </c>
      <c r="H245" s="1"/>
      <c r="I245" s="2">
        <v>-2593.5</v>
      </c>
      <c r="J245" s="2">
        <v>0</v>
      </c>
      <c r="K245" t="s">
        <v>171</v>
      </c>
      <c r="L245" t="s">
        <v>1</v>
      </c>
      <c r="M245" t="s">
        <v>695</v>
      </c>
      <c r="N245" s="2">
        <v>-2593.5</v>
      </c>
      <c r="O245" t="str">
        <f>IFERROR(VLOOKUP($A245,Accounts!$A:$G,3,FALSE),"")</f>
        <v/>
      </c>
    </row>
    <row r="246" spans="1:15" outlineLevel="2" x14ac:dyDescent="0.2">
      <c r="A246" t="str">
        <f t="shared" si="3"/>
        <v>2400020658143-2256</v>
      </c>
      <c r="B246" t="s">
        <v>0</v>
      </c>
      <c r="C246" t="s">
        <v>2</v>
      </c>
      <c r="D246" t="s">
        <v>169</v>
      </c>
      <c r="E246" t="s">
        <v>251</v>
      </c>
      <c r="F246" s="1">
        <v>38128</v>
      </c>
      <c r="G246" t="s">
        <v>1</v>
      </c>
      <c r="H246" s="1"/>
      <c r="I246" s="2">
        <v>-2256</v>
      </c>
      <c r="J246" s="2">
        <v>0</v>
      </c>
      <c r="K246" t="s">
        <v>171</v>
      </c>
      <c r="L246" t="s">
        <v>1</v>
      </c>
      <c r="M246" t="s">
        <v>695</v>
      </c>
      <c r="N246" s="2">
        <v>-2256</v>
      </c>
      <c r="O246" t="str">
        <f>IFERROR(VLOOKUP($A246,Accounts!$A:$G,3,FALSE),"")</f>
        <v/>
      </c>
    </row>
    <row r="247" spans="1:15" outlineLevel="2" x14ac:dyDescent="0.2">
      <c r="A247" t="str">
        <f t="shared" si="3"/>
        <v>2400020659143-1339</v>
      </c>
      <c r="B247" t="s">
        <v>0</v>
      </c>
      <c r="C247" t="s">
        <v>2</v>
      </c>
      <c r="D247" t="s">
        <v>169</v>
      </c>
      <c r="E247" t="s">
        <v>252</v>
      </c>
      <c r="F247" s="1">
        <v>38128</v>
      </c>
      <c r="G247" t="s">
        <v>1</v>
      </c>
      <c r="H247" s="1"/>
      <c r="I247" s="2">
        <v>-1339</v>
      </c>
      <c r="J247" s="2">
        <v>0</v>
      </c>
      <c r="K247" t="s">
        <v>171</v>
      </c>
      <c r="L247" t="s">
        <v>1</v>
      </c>
      <c r="M247" t="s">
        <v>695</v>
      </c>
      <c r="N247" s="2">
        <v>-1339</v>
      </c>
      <c r="O247" t="str">
        <f>IFERROR(VLOOKUP($A247,Accounts!$A:$G,3,FALSE),"")</f>
        <v/>
      </c>
    </row>
    <row r="248" spans="1:15" outlineLevel="2" x14ac:dyDescent="0.2">
      <c r="A248" t="str">
        <f t="shared" si="3"/>
        <v>2400020678143-2606.45</v>
      </c>
      <c r="B248" t="s">
        <v>0</v>
      </c>
      <c r="C248" t="s">
        <v>2</v>
      </c>
      <c r="D248" t="s">
        <v>169</v>
      </c>
      <c r="E248" t="s">
        <v>253</v>
      </c>
      <c r="F248" s="1">
        <v>38131</v>
      </c>
      <c r="G248" t="s">
        <v>1</v>
      </c>
      <c r="H248" s="1"/>
      <c r="I248" s="2">
        <v>-2606.4499999999998</v>
      </c>
      <c r="J248" s="2">
        <v>0</v>
      </c>
      <c r="K248" t="s">
        <v>171</v>
      </c>
      <c r="L248" t="s">
        <v>1</v>
      </c>
      <c r="M248" t="s">
        <v>695</v>
      </c>
      <c r="N248" s="2">
        <v>-2606.4499999999998</v>
      </c>
      <c r="O248" t="str">
        <f>IFERROR(VLOOKUP($A248,Accounts!$A:$G,3,FALSE),"")</f>
        <v/>
      </c>
    </row>
    <row r="249" spans="1:15" outlineLevel="2" x14ac:dyDescent="0.2">
      <c r="A249" t="str">
        <f t="shared" si="3"/>
        <v>2400020679143-652.13</v>
      </c>
      <c r="B249" t="s">
        <v>0</v>
      </c>
      <c r="C249" t="s">
        <v>2</v>
      </c>
      <c r="D249" t="s">
        <v>169</v>
      </c>
      <c r="E249" t="s">
        <v>254</v>
      </c>
      <c r="F249" s="1">
        <v>38131</v>
      </c>
      <c r="G249" t="s">
        <v>1</v>
      </c>
      <c r="H249" s="1"/>
      <c r="I249" s="2">
        <v>-652.13</v>
      </c>
      <c r="J249" s="2">
        <v>0</v>
      </c>
      <c r="K249" t="s">
        <v>171</v>
      </c>
      <c r="L249" t="s">
        <v>1</v>
      </c>
      <c r="M249" t="s">
        <v>695</v>
      </c>
      <c r="N249" s="2">
        <v>-652.13</v>
      </c>
      <c r="O249" t="str">
        <f>IFERROR(VLOOKUP($A249,Accounts!$A:$G,3,FALSE),"")</f>
        <v/>
      </c>
    </row>
    <row r="250" spans="1:15" outlineLevel="2" x14ac:dyDescent="0.2">
      <c r="A250" t="str">
        <f t="shared" si="3"/>
        <v>2400020680143-1474.2</v>
      </c>
      <c r="B250" t="s">
        <v>0</v>
      </c>
      <c r="C250" t="s">
        <v>2</v>
      </c>
      <c r="D250" t="s">
        <v>169</v>
      </c>
      <c r="E250" t="s">
        <v>255</v>
      </c>
      <c r="F250" s="1">
        <v>38131</v>
      </c>
      <c r="G250" t="s">
        <v>1</v>
      </c>
      <c r="H250" s="1"/>
      <c r="I250" s="2">
        <v>-1474.2</v>
      </c>
      <c r="J250" s="2">
        <v>0</v>
      </c>
      <c r="K250" t="s">
        <v>171</v>
      </c>
      <c r="L250" t="s">
        <v>1</v>
      </c>
      <c r="M250" t="s">
        <v>695</v>
      </c>
      <c r="N250" s="2">
        <v>-1474.2</v>
      </c>
      <c r="O250" t="str">
        <f>IFERROR(VLOOKUP($A250,Accounts!$A:$G,3,FALSE),"")</f>
        <v/>
      </c>
    </row>
    <row r="251" spans="1:15" outlineLevel="2" x14ac:dyDescent="0.2">
      <c r="A251" t="str">
        <f t="shared" si="3"/>
        <v>2400020681143-819</v>
      </c>
      <c r="B251" t="s">
        <v>0</v>
      </c>
      <c r="C251" t="s">
        <v>2</v>
      </c>
      <c r="D251" t="s">
        <v>169</v>
      </c>
      <c r="E251" t="s">
        <v>256</v>
      </c>
      <c r="F251" s="1">
        <v>38131</v>
      </c>
      <c r="G251" t="s">
        <v>1</v>
      </c>
      <c r="H251" s="1"/>
      <c r="I251" s="2">
        <v>-819</v>
      </c>
      <c r="J251" s="2">
        <v>0</v>
      </c>
      <c r="K251" t="s">
        <v>171</v>
      </c>
      <c r="L251" t="s">
        <v>1</v>
      </c>
      <c r="M251" t="s">
        <v>695</v>
      </c>
      <c r="N251" s="2">
        <v>-819</v>
      </c>
      <c r="O251" t="str">
        <f>IFERROR(VLOOKUP($A251,Accounts!$A:$G,3,FALSE),"")</f>
        <v/>
      </c>
    </row>
    <row r="252" spans="1:15" outlineLevel="2" x14ac:dyDescent="0.2">
      <c r="A252" t="str">
        <f t="shared" si="3"/>
        <v>2400020733143-2309.16</v>
      </c>
      <c r="B252" t="s">
        <v>0</v>
      </c>
      <c r="C252" t="s">
        <v>2</v>
      </c>
      <c r="D252" t="s">
        <v>169</v>
      </c>
      <c r="E252" t="s">
        <v>257</v>
      </c>
      <c r="F252" s="1">
        <v>38133</v>
      </c>
      <c r="G252" t="s">
        <v>1</v>
      </c>
      <c r="H252" s="1"/>
      <c r="I252" s="2">
        <v>-2309.16</v>
      </c>
      <c r="J252" s="2">
        <v>0</v>
      </c>
      <c r="K252" t="s">
        <v>171</v>
      </c>
      <c r="L252" t="s">
        <v>1</v>
      </c>
      <c r="M252" t="s">
        <v>695</v>
      </c>
      <c r="N252" s="2">
        <v>-2309.16</v>
      </c>
      <c r="O252" t="str">
        <f>IFERROR(VLOOKUP($A252,Accounts!$A:$G,3,FALSE),"")</f>
        <v/>
      </c>
    </row>
    <row r="253" spans="1:15" outlineLevel="2" x14ac:dyDescent="0.2">
      <c r="A253" t="str">
        <f t="shared" si="3"/>
        <v>2400020807143-4394.14</v>
      </c>
      <c r="B253" t="s">
        <v>0</v>
      </c>
      <c r="C253" t="s">
        <v>2</v>
      </c>
      <c r="D253" t="s">
        <v>169</v>
      </c>
      <c r="E253" t="s">
        <v>244</v>
      </c>
      <c r="F253" s="1">
        <v>38140</v>
      </c>
      <c r="G253" t="s">
        <v>1</v>
      </c>
      <c r="H253" s="1"/>
      <c r="I253" s="2">
        <v>-4394.1400000000003</v>
      </c>
      <c r="J253" s="2">
        <v>0</v>
      </c>
      <c r="K253" t="s">
        <v>171</v>
      </c>
      <c r="L253" t="s">
        <v>1</v>
      </c>
      <c r="M253" t="s">
        <v>695</v>
      </c>
      <c r="N253" s="2">
        <v>-4394.1400000000003</v>
      </c>
      <c r="O253" t="str">
        <f>IFERROR(VLOOKUP($A253,Accounts!$A:$G,3,FALSE),"")</f>
        <v/>
      </c>
    </row>
    <row r="254" spans="1:15" outlineLevel="2" x14ac:dyDescent="0.2">
      <c r="A254" t="str">
        <f t="shared" si="3"/>
        <v>2400020856143-3968</v>
      </c>
      <c r="B254" t="s">
        <v>0</v>
      </c>
      <c r="C254" t="s">
        <v>2</v>
      </c>
      <c r="D254" t="s">
        <v>169</v>
      </c>
      <c r="E254" t="s">
        <v>223</v>
      </c>
      <c r="F254" s="1">
        <v>38140</v>
      </c>
      <c r="G254" t="s">
        <v>1</v>
      </c>
      <c r="H254" s="1"/>
      <c r="I254" s="2">
        <v>-3968</v>
      </c>
      <c r="J254" s="2">
        <v>0</v>
      </c>
      <c r="K254" t="s">
        <v>171</v>
      </c>
      <c r="L254" t="s">
        <v>1</v>
      </c>
      <c r="M254" t="s">
        <v>695</v>
      </c>
      <c r="N254" s="2">
        <v>-3968</v>
      </c>
      <c r="O254" t="str">
        <f>IFERROR(VLOOKUP($A254,Accounts!$A:$G,3,FALSE),"")</f>
        <v/>
      </c>
    </row>
    <row r="255" spans="1:15" outlineLevel="2" x14ac:dyDescent="0.2">
      <c r="A255" t="str">
        <f t="shared" si="3"/>
        <v>2400020857143-3931.2</v>
      </c>
      <c r="B255" t="s">
        <v>0</v>
      </c>
      <c r="C255" t="s">
        <v>2</v>
      </c>
      <c r="D255" t="s">
        <v>169</v>
      </c>
      <c r="E255" t="s">
        <v>224</v>
      </c>
      <c r="F255" s="1">
        <v>38140</v>
      </c>
      <c r="G255" t="s">
        <v>1</v>
      </c>
      <c r="H255" s="1"/>
      <c r="I255" s="2">
        <v>-3931.2</v>
      </c>
      <c r="J255" s="2">
        <v>0</v>
      </c>
      <c r="K255" t="s">
        <v>171</v>
      </c>
      <c r="L255" t="s">
        <v>1</v>
      </c>
      <c r="M255" t="s">
        <v>695</v>
      </c>
      <c r="N255" s="2">
        <v>-3931.2</v>
      </c>
      <c r="O255" t="str">
        <f>IFERROR(VLOOKUP($A255,Accounts!$A:$G,3,FALSE),"")</f>
        <v/>
      </c>
    </row>
    <row r="256" spans="1:15" outlineLevel="2" x14ac:dyDescent="0.2">
      <c r="A256" t="str">
        <f t="shared" si="3"/>
        <v>2400021240143-6195.27</v>
      </c>
      <c r="B256" t="s">
        <v>0</v>
      </c>
      <c r="C256" t="s">
        <v>2</v>
      </c>
      <c r="D256" t="s">
        <v>169</v>
      </c>
      <c r="E256" t="s">
        <v>226</v>
      </c>
      <c r="F256" s="1">
        <v>38149</v>
      </c>
      <c r="G256" t="s">
        <v>1</v>
      </c>
      <c r="H256" s="1"/>
      <c r="I256" s="2">
        <v>-6195.27</v>
      </c>
      <c r="J256" s="2">
        <v>0</v>
      </c>
      <c r="K256" t="s">
        <v>171</v>
      </c>
      <c r="L256" t="s">
        <v>1</v>
      </c>
      <c r="M256" t="s">
        <v>695</v>
      </c>
      <c r="N256" s="2">
        <v>-6195.27</v>
      </c>
      <c r="O256" t="str">
        <f>IFERROR(VLOOKUP($A256,Accounts!$A:$G,3,FALSE),"")</f>
        <v/>
      </c>
    </row>
    <row r="257" spans="1:16" outlineLevel="2" x14ac:dyDescent="0.2">
      <c r="A257" t="str">
        <f t="shared" si="3"/>
        <v>2400021392143-978.2</v>
      </c>
      <c r="B257" t="s">
        <v>0</v>
      </c>
      <c r="C257" t="s">
        <v>2</v>
      </c>
      <c r="D257" t="s">
        <v>169</v>
      </c>
      <c r="E257" t="s">
        <v>227</v>
      </c>
      <c r="F257" s="1">
        <v>38154</v>
      </c>
      <c r="G257" t="s">
        <v>1</v>
      </c>
      <c r="H257" s="1"/>
      <c r="I257" s="2">
        <v>-978.2</v>
      </c>
      <c r="J257" s="2">
        <v>0</v>
      </c>
      <c r="K257" t="s">
        <v>171</v>
      </c>
      <c r="L257" t="s">
        <v>1</v>
      </c>
      <c r="M257" t="s">
        <v>695</v>
      </c>
      <c r="N257" s="2">
        <v>-978.2</v>
      </c>
      <c r="O257" t="str">
        <f>IFERROR(VLOOKUP($A257,Accounts!$A:$G,3,FALSE),"")</f>
        <v/>
      </c>
    </row>
    <row r="258" spans="1:16" outlineLevel="2" x14ac:dyDescent="0.2">
      <c r="A258" t="str">
        <f t="shared" si="3"/>
        <v>655558143100174.08</v>
      </c>
      <c r="B258" t="s">
        <v>0</v>
      </c>
      <c r="C258" t="s">
        <v>2</v>
      </c>
      <c r="D258" t="s">
        <v>169</v>
      </c>
      <c r="E258" t="s">
        <v>170</v>
      </c>
      <c r="F258" s="1">
        <v>38223</v>
      </c>
      <c r="G258" t="s">
        <v>1</v>
      </c>
      <c r="H258" s="1"/>
      <c r="I258" s="2">
        <v>100174.08</v>
      </c>
      <c r="J258" s="2">
        <v>0</v>
      </c>
      <c r="K258" t="s">
        <v>171</v>
      </c>
      <c r="L258" t="s">
        <v>1</v>
      </c>
      <c r="M258" t="s">
        <v>695</v>
      </c>
      <c r="N258" s="2">
        <v>100174.08</v>
      </c>
      <c r="O258" t="str">
        <f>IFERROR(VLOOKUP($A258,Accounts!$A:$G,3,FALSE),"")</f>
        <v/>
      </c>
    </row>
    <row r="259" spans="1:16" outlineLevel="2" x14ac:dyDescent="0.2">
      <c r="A259" t="str">
        <f t="shared" si="3"/>
        <v>2400024075143-2036.53</v>
      </c>
      <c r="B259" t="s">
        <v>0</v>
      </c>
      <c r="C259" t="s">
        <v>2</v>
      </c>
      <c r="D259" t="s">
        <v>169</v>
      </c>
      <c r="E259" t="s">
        <v>225</v>
      </c>
      <c r="F259" s="1">
        <v>38195</v>
      </c>
      <c r="G259" t="s">
        <v>1</v>
      </c>
      <c r="H259" s="1"/>
      <c r="I259" s="2">
        <v>-2036.53</v>
      </c>
      <c r="J259" s="2">
        <v>0</v>
      </c>
      <c r="K259" t="s">
        <v>171</v>
      </c>
      <c r="L259" t="s">
        <v>1</v>
      </c>
      <c r="M259" t="s">
        <v>695</v>
      </c>
      <c r="N259" s="2">
        <v>-2036.53</v>
      </c>
      <c r="O259" t="str">
        <f>IFERROR(VLOOKUP($A259,Accounts!$A:$G,3,FALSE),"")</f>
        <v/>
      </c>
    </row>
    <row r="260" spans="1:16" outlineLevel="2" x14ac:dyDescent="0.2">
      <c r="A260" t="str">
        <f t="shared" si="3"/>
        <v>2400023831143-10182.67</v>
      </c>
      <c r="B260" t="s">
        <v>0</v>
      </c>
      <c r="C260" t="s">
        <v>2</v>
      </c>
      <c r="D260" t="s">
        <v>169</v>
      </c>
      <c r="E260" t="s">
        <v>228</v>
      </c>
      <c r="F260" s="1">
        <v>38191</v>
      </c>
      <c r="G260" t="s">
        <v>1</v>
      </c>
      <c r="H260" s="1"/>
      <c r="I260" s="2">
        <v>-10182.67</v>
      </c>
      <c r="J260" s="2">
        <v>0</v>
      </c>
      <c r="K260" t="s">
        <v>171</v>
      </c>
      <c r="L260" t="s">
        <v>1</v>
      </c>
      <c r="M260" t="s">
        <v>695</v>
      </c>
      <c r="N260" s="2">
        <v>-10182.67</v>
      </c>
      <c r="O260" t="str">
        <f>IFERROR(VLOOKUP($A260,Accounts!$A:$G,3,FALSE),"")</f>
        <v/>
      </c>
      <c r="P260">
        <v>83.56</v>
      </c>
    </row>
    <row r="261" spans="1:16" outlineLevel="2" x14ac:dyDescent="0.2">
      <c r="A261" t="str">
        <f t="shared" si="3"/>
        <v>2400023830143-16292.28</v>
      </c>
      <c r="B261" t="s">
        <v>0</v>
      </c>
      <c r="C261" t="s">
        <v>2</v>
      </c>
      <c r="D261" t="s">
        <v>169</v>
      </c>
      <c r="E261" t="s">
        <v>229</v>
      </c>
      <c r="F261" s="1">
        <v>38191</v>
      </c>
      <c r="G261" t="s">
        <v>1</v>
      </c>
      <c r="H261" s="1"/>
      <c r="I261" s="2">
        <v>-16292.28</v>
      </c>
      <c r="J261" s="2">
        <v>0</v>
      </c>
      <c r="K261" t="s">
        <v>171</v>
      </c>
      <c r="L261" t="s">
        <v>1</v>
      </c>
      <c r="M261" t="s">
        <v>695</v>
      </c>
      <c r="N261" s="2">
        <v>-16292.28</v>
      </c>
      <c r="O261" t="str">
        <f>IFERROR(VLOOKUP($A261,Accounts!$A:$G,3,FALSE),"")</f>
        <v/>
      </c>
      <c r="P261">
        <v>30.08</v>
      </c>
    </row>
    <row r="262" spans="1:16" outlineLevel="2" x14ac:dyDescent="0.2">
      <c r="A262" t="str">
        <f t="shared" si="3"/>
        <v>2400023600143-959</v>
      </c>
      <c r="B262" t="s">
        <v>0</v>
      </c>
      <c r="C262" t="s">
        <v>2</v>
      </c>
      <c r="D262" t="s">
        <v>169</v>
      </c>
      <c r="E262" t="s">
        <v>231</v>
      </c>
      <c r="F262" s="1">
        <v>38189</v>
      </c>
      <c r="G262" t="s">
        <v>1</v>
      </c>
      <c r="H262" s="1"/>
      <c r="I262" s="2">
        <v>-959</v>
      </c>
      <c r="J262" s="2">
        <v>0</v>
      </c>
      <c r="K262" t="s">
        <v>171</v>
      </c>
      <c r="L262" t="s">
        <v>1</v>
      </c>
      <c r="M262" t="s">
        <v>695</v>
      </c>
      <c r="N262" s="2">
        <v>-959</v>
      </c>
      <c r="O262" t="str">
        <f>IFERROR(VLOOKUP($A262,Accounts!$A:$G,3,FALSE),"")</f>
        <v/>
      </c>
      <c r="P262">
        <v>27.47</v>
      </c>
    </row>
    <row r="263" spans="1:16" outlineLevel="2" x14ac:dyDescent="0.2">
      <c r="A263" t="str">
        <f t="shared" si="3"/>
        <v>2400023599143-959</v>
      </c>
      <c r="B263" t="s">
        <v>0</v>
      </c>
      <c r="C263" t="s">
        <v>2</v>
      </c>
      <c r="D263" t="s">
        <v>169</v>
      </c>
      <c r="E263" t="s">
        <v>232</v>
      </c>
      <c r="F263" s="1">
        <v>38189</v>
      </c>
      <c r="G263" t="s">
        <v>1</v>
      </c>
      <c r="H263" s="1"/>
      <c r="I263" s="2">
        <v>-959</v>
      </c>
      <c r="J263" s="2">
        <v>0</v>
      </c>
      <c r="K263" t="s">
        <v>171</v>
      </c>
      <c r="L263" t="s">
        <v>1</v>
      </c>
      <c r="M263" t="s">
        <v>695</v>
      </c>
      <c r="N263" s="2">
        <v>-959</v>
      </c>
      <c r="O263" t="str">
        <f>IFERROR(VLOOKUP($A263,Accounts!$A:$G,3,FALSE),"")</f>
        <v/>
      </c>
      <c r="P263">
        <v>26.74</v>
      </c>
    </row>
    <row r="264" spans="1:16" outlineLevel="2" x14ac:dyDescent="0.2">
      <c r="A264" t="str">
        <f t="shared" si="3"/>
        <v>2400023598143-2013.9</v>
      </c>
      <c r="B264" t="s">
        <v>0</v>
      </c>
      <c r="C264" t="s">
        <v>2</v>
      </c>
      <c r="D264" t="s">
        <v>169</v>
      </c>
      <c r="E264" t="s">
        <v>233</v>
      </c>
      <c r="F264" s="1">
        <v>38189</v>
      </c>
      <c r="G264" t="s">
        <v>1</v>
      </c>
      <c r="H264" s="1"/>
      <c r="I264" s="2">
        <v>-2013.9</v>
      </c>
      <c r="J264" s="2">
        <v>0</v>
      </c>
      <c r="K264" t="s">
        <v>171</v>
      </c>
      <c r="L264" t="s">
        <v>1</v>
      </c>
      <c r="M264" t="s">
        <v>695</v>
      </c>
      <c r="N264" s="2">
        <v>-2013.9</v>
      </c>
      <c r="O264" t="str">
        <f>IFERROR(VLOOKUP($A264,Accounts!$A:$G,3,FALSE),"")</f>
        <v/>
      </c>
      <c r="P264">
        <v>26.06</v>
      </c>
    </row>
    <row r="265" spans="1:16" outlineLevel="2" x14ac:dyDescent="0.2">
      <c r="A265" t="str">
        <f t="shared" si="3"/>
        <v>2400022048143-1525.95</v>
      </c>
      <c r="B265" t="s">
        <v>0</v>
      </c>
      <c r="C265" t="s">
        <v>2</v>
      </c>
      <c r="D265" t="s">
        <v>169</v>
      </c>
      <c r="E265" t="s">
        <v>239</v>
      </c>
      <c r="F265" s="1">
        <v>38169</v>
      </c>
      <c r="G265" t="s">
        <v>1</v>
      </c>
      <c r="H265" s="1"/>
      <c r="I265" s="2">
        <v>-1525.95</v>
      </c>
      <c r="J265" s="2">
        <v>0</v>
      </c>
      <c r="K265" t="s">
        <v>171</v>
      </c>
      <c r="L265" t="s">
        <v>1</v>
      </c>
      <c r="M265" t="s">
        <v>695</v>
      </c>
      <c r="N265" s="2">
        <v>-1525.95</v>
      </c>
      <c r="O265" t="str">
        <f>IFERROR(VLOOKUP($A265,Accounts!$A:$G,3,FALSE),"")</f>
        <v/>
      </c>
      <c r="P265">
        <v>26</v>
      </c>
    </row>
    <row r="266" spans="1:16" outlineLevel="2" x14ac:dyDescent="0.2">
      <c r="A266" t="str">
        <f t="shared" ref="A266:A329" si="4">IFERROR(IF(J266=0,E266&amp;C266&amp;I266,G266&amp;B266&amp;J266),"")</f>
        <v>2400022047143-291.93</v>
      </c>
      <c r="B266" t="s">
        <v>0</v>
      </c>
      <c r="C266" t="s">
        <v>2</v>
      </c>
      <c r="D266" t="s">
        <v>169</v>
      </c>
      <c r="E266" t="s">
        <v>240</v>
      </c>
      <c r="F266" s="1">
        <v>38169</v>
      </c>
      <c r="G266" t="s">
        <v>1</v>
      </c>
      <c r="H266" s="1"/>
      <c r="I266" s="2">
        <v>-291.93</v>
      </c>
      <c r="J266" s="2">
        <v>0</v>
      </c>
      <c r="K266" t="s">
        <v>171</v>
      </c>
      <c r="L266" t="s">
        <v>1</v>
      </c>
      <c r="M266" t="s">
        <v>695</v>
      </c>
      <c r="N266" s="2">
        <v>-291.93</v>
      </c>
      <c r="O266" t="str">
        <f>IFERROR(VLOOKUP($A266,Accounts!$A:$G,3,FALSE),"")</f>
        <v/>
      </c>
      <c r="P266">
        <v>26</v>
      </c>
    </row>
    <row r="267" spans="1:16" outlineLevel="2" x14ac:dyDescent="0.2">
      <c r="A267" t="str">
        <f t="shared" si="4"/>
        <v>2400021921143138.94</v>
      </c>
      <c r="B267" t="s">
        <v>0</v>
      </c>
      <c r="C267" t="s">
        <v>2</v>
      </c>
      <c r="D267" t="s">
        <v>169</v>
      </c>
      <c r="E267" t="s">
        <v>241</v>
      </c>
      <c r="F267" s="1">
        <v>38166</v>
      </c>
      <c r="G267" t="s">
        <v>1</v>
      </c>
      <c r="H267" s="1"/>
      <c r="I267" s="2">
        <v>138.94</v>
      </c>
      <c r="J267" s="2">
        <v>0</v>
      </c>
      <c r="K267" t="s">
        <v>171</v>
      </c>
      <c r="L267" t="s">
        <v>1</v>
      </c>
      <c r="M267" t="s">
        <v>695</v>
      </c>
      <c r="N267" s="2">
        <v>138.94</v>
      </c>
      <c r="O267" t="str">
        <f>IFERROR(VLOOKUP($A267,Accounts!$A:$G,3,FALSE),"")</f>
        <v/>
      </c>
      <c r="P267">
        <v>26</v>
      </c>
    </row>
    <row r="268" spans="1:16" outlineLevel="2" x14ac:dyDescent="0.2">
      <c r="A268" t="str">
        <f t="shared" si="4"/>
        <v>2400021910143-1459.66</v>
      </c>
      <c r="B268" t="s">
        <v>0</v>
      </c>
      <c r="C268" t="s">
        <v>2</v>
      </c>
      <c r="D268" t="s">
        <v>169</v>
      </c>
      <c r="E268" t="s">
        <v>242</v>
      </c>
      <c r="F268" s="1">
        <v>38166</v>
      </c>
      <c r="G268" t="s">
        <v>1</v>
      </c>
      <c r="H268" s="1"/>
      <c r="I268" s="2">
        <v>-1459.66</v>
      </c>
      <c r="J268" s="2">
        <v>0</v>
      </c>
      <c r="K268" t="s">
        <v>171</v>
      </c>
      <c r="L268" t="s">
        <v>1</v>
      </c>
      <c r="M268" t="s">
        <v>695</v>
      </c>
      <c r="N268" s="2">
        <v>-1459.66</v>
      </c>
      <c r="O268" t="str">
        <f>IFERROR(VLOOKUP($A268,Accounts!$A:$G,3,FALSE),"")</f>
        <v/>
      </c>
      <c r="P268">
        <v>26</v>
      </c>
    </row>
    <row r="269" spans="1:16" outlineLevel="2" x14ac:dyDescent="0.2">
      <c r="A269" t="str">
        <f t="shared" si="4"/>
        <v>2400021909143-2335.45</v>
      </c>
      <c r="B269" t="s">
        <v>0</v>
      </c>
      <c r="C269" t="s">
        <v>2</v>
      </c>
      <c r="D269" t="s">
        <v>169</v>
      </c>
      <c r="E269" t="s">
        <v>243</v>
      </c>
      <c r="F269" s="1">
        <v>38166</v>
      </c>
      <c r="G269" t="s">
        <v>1</v>
      </c>
      <c r="H269" s="1"/>
      <c r="I269" s="2">
        <v>-2335.4499999999998</v>
      </c>
      <c r="J269" s="2">
        <v>0</v>
      </c>
      <c r="K269" t="s">
        <v>171</v>
      </c>
      <c r="L269" t="s">
        <v>1</v>
      </c>
      <c r="M269" t="s">
        <v>695</v>
      </c>
      <c r="N269" s="2">
        <v>-2335.4499999999998</v>
      </c>
      <c r="O269" t="str">
        <f>IFERROR(VLOOKUP($A269,Accounts!$A:$G,3,FALSE),"")</f>
        <v/>
      </c>
      <c r="P269">
        <v>26</v>
      </c>
    </row>
    <row r="270" spans="1:16" outlineLevel="2" x14ac:dyDescent="0.2">
      <c r="A270" t="str">
        <f t="shared" si="4"/>
        <v>2400021908143-1988.55</v>
      </c>
      <c r="B270" t="s">
        <v>0</v>
      </c>
      <c r="C270" t="s">
        <v>2</v>
      </c>
      <c r="D270" t="s">
        <v>169</v>
      </c>
      <c r="E270" t="s">
        <v>238</v>
      </c>
      <c r="F270" s="1">
        <v>38166</v>
      </c>
      <c r="G270" t="s">
        <v>1</v>
      </c>
      <c r="H270" s="1"/>
      <c r="I270" s="2">
        <v>-1988.55</v>
      </c>
      <c r="J270" s="2">
        <v>0</v>
      </c>
      <c r="K270" t="s">
        <v>171</v>
      </c>
      <c r="L270" t="s">
        <v>1</v>
      </c>
      <c r="M270" t="s">
        <v>695</v>
      </c>
      <c r="N270" s="2">
        <v>-1988.55</v>
      </c>
      <c r="O270" t="str">
        <f>IFERROR(VLOOKUP($A270,Accounts!$A:$G,3,FALSE),"")</f>
        <v/>
      </c>
      <c r="P270">
        <v>26</v>
      </c>
    </row>
    <row r="271" spans="1:16" outlineLevel="2" x14ac:dyDescent="0.2">
      <c r="A271" t="str">
        <f t="shared" si="4"/>
        <v>2400021812143-3110.21</v>
      </c>
      <c r="B271" t="s">
        <v>0</v>
      </c>
      <c r="C271" t="s">
        <v>2</v>
      </c>
      <c r="D271" t="s">
        <v>169</v>
      </c>
      <c r="E271" t="s">
        <v>237</v>
      </c>
      <c r="F271" s="1">
        <v>38163</v>
      </c>
      <c r="G271" t="s">
        <v>1</v>
      </c>
      <c r="H271" s="1"/>
      <c r="I271" s="2">
        <v>-3110.21</v>
      </c>
      <c r="J271" s="2">
        <v>0</v>
      </c>
      <c r="K271" t="s">
        <v>171</v>
      </c>
      <c r="L271" t="s">
        <v>1</v>
      </c>
      <c r="M271" t="s">
        <v>695</v>
      </c>
      <c r="N271" s="2">
        <v>-3110.21</v>
      </c>
      <c r="O271" t="str">
        <f>IFERROR(VLOOKUP($A271,Accounts!$A:$G,3,FALSE),"")</f>
        <v/>
      </c>
      <c r="P271">
        <v>26</v>
      </c>
    </row>
    <row r="272" spans="1:16" outlineLevel="2" x14ac:dyDescent="0.2">
      <c r="A272" t="str">
        <f t="shared" si="4"/>
        <v>2400021811143-1493.02</v>
      </c>
      <c r="B272" t="s">
        <v>0</v>
      </c>
      <c r="C272" t="s">
        <v>2</v>
      </c>
      <c r="D272" t="s">
        <v>169</v>
      </c>
      <c r="E272" t="s">
        <v>236</v>
      </c>
      <c r="F272" s="1">
        <v>38163</v>
      </c>
      <c r="G272" t="s">
        <v>1</v>
      </c>
      <c r="H272" s="1"/>
      <c r="I272" s="2">
        <v>-1493.02</v>
      </c>
      <c r="J272" s="2">
        <v>0</v>
      </c>
      <c r="K272" t="s">
        <v>171</v>
      </c>
      <c r="L272" t="s">
        <v>1</v>
      </c>
      <c r="M272" t="s">
        <v>695</v>
      </c>
      <c r="N272" s="2">
        <v>-1493.02</v>
      </c>
      <c r="O272" t="str">
        <f>IFERROR(VLOOKUP($A272,Accounts!$A:$G,3,FALSE),"")</f>
        <v/>
      </c>
      <c r="P272">
        <v>18.329999999999998</v>
      </c>
    </row>
    <row r="273" spans="1:16" outlineLevel="2" x14ac:dyDescent="0.2">
      <c r="A273" t="str">
        <f t="shared" si="4"/>
        <v>2400021810143-1560.3</v>
      </c>
      <c r="B273" t="s">
        <v>0</v>
      </c>
      <c r="C273" t="s">
        <v>2</v>
      </c>
      <c r="D273" t="s">
        <v>169</v>
      </c>
      <c r="E273" t="s">
        <v>235</v>
      </c>
      <c r="F273" s="1">
        <v>38163</v>
      </c>
      <c r="G273" t="s">
        <v>1</v>
      </c>
      <c r="H273" s="1"/>
      <c r="I273" s="2">
        <v>-1560.3</v>
      </c>
      <c r="J273" s="2">
        <v>0</v>
      </c>
      <c r="K273" t="s">
        <v>171</v>
      </c>
      <c r="L273" t="s">
        <v>1</v>
      </c>
      <c r="M273" t="s">
        <v>695</v>
      </c>
      <c r="N273" s="2">
        <v>-1560.3</v>
      </c>
      <c r="O273" t="str">
        <f>IFERROR(VLOOKUP($A273,Accounts!$A:$G,3,FALSE),"")</f>
        <v/>
      </c>
      <c r="P273">
        <v>18</v>
      </c>
    </row>
    <row r="274" spans="1:16" outlineLevel="2" x14ac:dyDescent="0.2">
      <c r="A274" t="str">
        <f t="shared" si="4"/>
        <v>2400021809143-2996.72</v>
      </c>
      <c r="B274" t="s">
        <v>0</v>
      </c>
      <c r="C274" t="s">
        <v>2</v>
      </c>
      <c r="D274" t="s">
        <v>169</v>
      </c>
      <c r="E274" t="s">
        <v>234</v>
      </c>
      <c r="F274" s="1">
        <v>38163</v>
      </c>
      <c r="G274" t="s">
        <v>1</v>
      </c>
      <c r="H274" s="1"/>
      <c r="I274" s="2">
        <v>-2996.72</v>
      </c>
      <c r="J274" s="2">
        <v>0</v>
      </c>
      <c r="K274" t="s">
        <v>171</v>
      </c>
      <c r="L274" t="s">
        <v>1</v>
      </c>
      <c r="M274" t="s">
        <v>695</v>
      </c>
      <c r="N274" s="2">
        <v>-2996.72</v>
      </c>
      <c r="O274" t="str">
        <f>IFERROR(VLOOKUP($A274,Accounts!$A:$G,3,FALSE),"")</f>
        <v/>
      </c>
      <c r="P274">
        <v>18</v>
      </c>
    </row>
    <row r="275" spans="1:16" outlineLevel="2" x14ac:dyDescent="0.2">
      <c r="A275" t="str">
        <f t="shared" si="4"/>
        <v>24000215401434067.7</v>
      </c>
      <c r="B275" t="s">
        <v>0</v>
      </c>
      <c r="C275" t="s">
        <v>2</v>
      </c>
      <c r="D275" t="s">
        <v>169</v>
      </c>
      <c r="E275" t="s">
        <v>230</v>
      </c>
      <c r="F275" s="1">
        <v>38156</v>
      </c>
      <c r="G275" t="s">
        <v>1</v>
      </c>
      <c r="H275" s="1"/>
      <c r="I275" s="2">
        <v>4067.7</v>
      </c>
      <c r="J275" s="2">
        <v>0</v>
      </c>
      <c r="K275" t="s">
        <v>171</v>
      </c>
      <c r="L275" t="s">
        <v>1</v>
      </c>
      <c r="M275" t="s">
        <v>695</v>
      </c>
      <c r="N275" s="2">
        <v>4067.7</v>
      </c>
      <c r="O275" t="str">
        <f>IFERROR(VLOOKUP($A275,Accounts!$A:$G,3,FALSE),"")</f>
        <v/>
      </c>
      <c r="P275">
        <v>18</v>
      </c>
    </row>
    <row r="276" spans="1:16" outlineLevel="2" x14ac:dyDescent="0.2">
      <c r="A276" t="str">
        <f t="shared" si="4"/>
        <v>1400000270143-33261.2</v>
      </c>
      <c r="B276" t="s">
        <v>0</v>
      </c>
      <c r="C276" t="s">
        <v>2</v>
      </c>
      <c r="D276" t="s">
        <v>100</v>
      </c>
      <c r="E276" t="s">
        <v>482</v>
      </c>
      <c r="F276" s="1">
        <v>43493</v>
      </c>
      <c r="G276" t="s">
        <v>1</v>
      </c>
      <c r="H276" s="1"/>
      <c r="I276" s="2">
        <v>-33261.199999999997</v>
      </c>
      <c r="J276" s="2">
        <v>0</v>
      </c>
      <c r="K276" t="s">
        <v>474</v>
      </c>
      <c r="L276" t="s">
        <v>1</v>
      </c>
      <c r="M276" t="s">
        <v>695</v>
      </c>
      <c r="N276" s="2">
        <v>-33261.199999999997</v>
      </c>
      <c r="O276" t="str">
        <f>IFERROR(VLOOKUP($A276,Accounts!$A:$G,3,FALSE),"")</f>
        <v/>
      </c>
      <c r="P276">
        <v>18</v>
      </c>
    </row>
    <row r="277" spans="1:16" outlineLevel="2" x14ac:dyDescent="0.2">
      <c r="A277" t="str">
        <f t="shared" si="4"/>
        <v>1600000698143-663.65</v>
      </c>
      <c r="B277" t="s">
        <v>0</v>
      </c>
      <c r="C277" t="s">
        <v>2</v>
      </c>
      <c r="D277" t="s">
        <v>100</v>
      </c>
      <c r="E277" t="s">
        <v>486</v>
      </c>
      <c r="F277" s="1">
        <v>43493</v>
      </c>
      <c r="G277" t="s">
        <v>1</v>
      </c>
      <c r="H277" s="1"/>
      <c r="I277" s="2">
        <v>-663.65</v>
      </c>
      <c r="J277" s="2">
        <v>0</v>
      </c>
      <c r="K277" t="s">
        <v>474</v>
      </c>
      <c r="L277" t="s">
        <v>1</v>
      </c>
      <c r="M277" t="s">
        <v>695</v>
      </c>
      <c r="N277" s="2">
        <v>-663.65</v>
      </c>
      <c r="O277" t="str">
        <f>IFERROR(VLOOKUP($A277,Accounts!$A:$G,3,FALSE),"")</f>
        <v/>
      </c>
      <c r="P277">
        <v>18</v>
      </c>
    </row>
    <row r="278" spans="1:16" outlineLevel="2" x14ac:dyDescent="0.2">
      <c r="A278" t="str">
        <f t="shared" si="4"/>
        <v>1400000277143-3780</v>
      </c>
      <c r="B278" t="s">
        <v>0</v>
      </c>
      <c r="C278" t="s">
        <v>2</v>
      </c>
      <c r="D278" t="s">
        <v>100</v>
      </c>
      <c r="E278" t="s">
        <v>481</v>
      </c>
      <c r="F278" s="1">
        <v>43493</v>
      </c>
      <c r="G278" t="s">
        <v>1</v>
      </c>
      <c r="H278" s="1"/>
      <c r="I278" s="2">
        <v>-3780</v>
      </c>
      <c r="J278" s="2">
        <v>0</v>
      </c>
      <c r="K278" t="s">
        <v>474</v>
      </c>
      <c r="L278" t="s">
        <v>1</v>
      </c>
      <c r="M278" t="s">
        <v>695</v>
      </c>
      <c r="N278" s="2">
        <v>-3780</v>
      </c>
      <c r="O278" t="str">
        <f>IFERROR(VLOOKUP($A278,Accounts!$A:$G,3,FALSE),"")</f>
        <v/>
      </c>
      <c r="P278">
        <v>6</v>
      </c>
    </row>
    <row r="279" spans="1:16" outlineLevel="2" x14ac:dyDescent="0.2">
      <c r="A279" t="str">
        <f t="shared" si="4"/>
        <v>1400000299143-5877.04</v>
      </c>
      <c r="B279" t="s">
        <v>0</v>
      </c>
      <c r="C279" t="s">
        <v>2</v>
      </c>
      <c r="D279" t="s">
        <v>100</v>
      </c>
      <c r="E279" t="s">
        <v>483</v>
      </c>
      <c r="F279" s="1">
        <v>43493</v>
      </c>
      <c r="G279" t="s">
        <v>1</v>
      </c>
      <c r="H279" s="1"/>
      <c r="I279" s="2">
        <v>-5877.04</v>
      </c>
      <c r="J279" s="2">
        <v>0</v>
      </c>
      <c r="K279" t="s">
        <v>474</v>
      </c>
      <c r="L279" t="s">
        <v>1</v>
      </c>
      <c r="M279" t="s">
        <v>695</v>
      </c>
      <c r="N279" s="2">
        <v>-5877.04</v>
      </c>
      <c r="O279" t="str">
        <f>IFERROR(VLOOKUP($A279,Accounts!$A:$G,3,FALSE),"")</f>
        <v/>
      </c>
      <c r="P279">
        <v>6</v>
      </c>
    </row>
    <row r="280" spans="1:16" outlineLevel="1" x14ac:dyDescent="0.2">
      <c r="A280" t="str">
        <f t="shared" si="4"/>
        <v>1400000289143-200</v>
      </c>
      <c r="B280" t="s">
        <v>0</v>
      </c>
      <c r="C280" t="s">
        <v>2</v>
      </c>
      <c r="D280" t="s">
        <v>100</v>
      </c>
      <c r="E280" t="s">
        <v>484</v>
      </c>
      <c r="F280" s="1">
        <v>43493</v>
      </c>
      <c r="G280" t="s">
        <v>1</v>
      </c>
      <c r="H280" s="1"/>
      <c r="I280" s="2">
        <v>-200</v>
      </c>
      <c r="J280" s="2">
        <v>0</v>
      </c>
      <c r="K280" t="s">
        <v>474</v>
      </c>
      <c r="L280" t="s">
        <v>1</v>
      </c>
      <c r="M280" t="s">
        <v>695</v>
      </c>
      <c r="N280" s="2">
        <v>-200</v>
      </c>
      <c r="O280" t="str">
        <f>IFERROR(VLOOKUP($A280,Accounts!$A:$G,3,FALSE),"")</f>
        <v/>
      </c>
    </row>
    <row r="281" spans="1:16" outlineLevel="1" x14ac:dyDescent="0.2">
      <c r="A281" t="str">
        <f t="shared" si="4"/>
        <v>1600000699143-6919.89</v>
      </c>
      <c r="B281" t="s">
        <v>0</v>
      </c>
      <c r="C281" t="s">
        <v>2</v>
      </c>
      <c r="D281" t="s">
        <v>100</v>
      </c>
      <c r="E281" t="s">
        <v>485</v>
      </c>
      <c r="F281" s="1">
        <v>43493</v>
      </c>
      <c r="G281" t="s">
        <v>1</v>
      </c>
      <c r="H281" s="1"/>
      <c r="I281" s="2">
        <v>-6919.89</v>
      </c>
      <c r="J281" s="2">
        <v>0</v>
      </c>
      <c r="K281" t="s">
        <v>474</v>
      </c>
      <c r="L281" t="s">
        <v>1</v>
      </c>
      <c r="M281" t="s">
        <v>695</v>
      </c>
      <c r="N281" s="2">
        <v>-6919.89</v>
      </c>
      <c r="O281" t="str">
        <f>IFERROR(VLOOKUP($A281,Accounts!$A:$G,3,FALSE),"")</f>
        <v/>
      </c>
    </row>
    <row r="282" spans="1:16" outlineLevel="2" x14ac:dyDescent="0.2">
      <c r="A282" t="str">
        <f t="shared" si="4"/>
        <v>600550143-8932.41</v>
      </c>
      <c r="B282" t="s">
        <v>0</v>
      </c>
      <c r="C282" t="s">
        <v>2</v>
      </c>
      <c r="D282" t="s">
        <v>95</v>
      </c>
      <c r="E282" t="s">
        <v>648</v>
      </c>
      <c r="F282" s="1">
        <v>43496</v>
      </c>
      <c r="G282" t="s">
        <v>1</v>
      </c>
      <c r="H282" s="1"/>
      <c r="I282" s="2">
        <v>-8932.41</v>
      </c>
      <c r="J282" s="2">
        <v>0</v>
      </c>
      <c r="K282" t="s">
        <v>474</v>
      </c>
      <c r="L282" t="s">
        <v>1</v>
      </c>
      <c r="M282" t="s">
        <v>695</v>
      </c>
      <c r="N282" s="2">
        <v>-8932.41</v>
      </c>
      <c r="O282" t="str">
        <f>IFERROR(VLOOKUP($A282,Accounts!$A:$G,3,FALSE),"")</f>
        <v/>
      </c>
    </row>
    <row r="283" spans="1:16" outlineLevel="2" x14ac:dyDescent="0.2">
      <c r="A283" t="str">
        <f t="shared" si="4"/>
        <v>600550143-3827.2</v>
      </c>
      <c r="B283" t="s">
        <v>0</v>
      </c>
      <c r="C283" t="s">
        <v>2</v>
      </c>
      <c r="D283" t="s">
        <v>95</v>
      </c>
      <c r="E283" t="s">
        <v>648</v>
      </c>
      <c r="F283" s="1">
        <v>43496</v>
      </c>
      <c r="G283" t="s">
        <v>1</v>
      </c>
      <c r="H283" s="1"/>
      <c r="I283" s="2">
        <v>-3827.2</v>
      </c>
      <c r="J283" s="2">
        <v>0</v>
      </c>
      <c r="K283" t="s">
        <v>474</v>
      </c>
      <c r="L283" t="s">
        <v>1</v>
      </c>
      <c r="M283" t="s">
        <v>695</v>
      </c>
      <c r="N283" s="2">
        <v>-3827.2</v>
      </c>
      <c r="O283" t="str">
        <f>IFERROR(VLOOKUP($A283,Accounts!$A:$G,3,FALSE),"")</f>
        <v/>
      </c>
    </row>
    <row r="284" spans="1:16" outlineLevel="2" x14ac:dyDescent="0.2">
      <c r="A284" t="str">
        <f t="shared" si="4"/>
        <v>600550143-1054.81</v>
      </c>
      <c r="B284" t="s">
        <v>0</v>
      </c>
      <c r="C284" t="s">
        <v>2</v>
      </c>
      <c r="D284" t="s">
        <v>95</v>
      </c>
      <c r="E284" t="s">
        <v>648</v>
      </c>
      <c r="F284" s="1">
        <v>43496</v>
      </c>
      <c r="G284" t="s">
        <v>1</v>
      </c>
      <c r="H284" s="1"/>
      <c r="I284" s="2">
        <v>-1054.81</v>
      </c>
      <c r="J284" s="2">
        <v>0</v>
      </c>
      <c r="K284" t="s">
        <v>474</v>
      </c>
      <c r="L284" t="s">
        <v>1</v>
      </c>
      <c r="M284" t="s">
        <v>695</v>
      </c>
      <c r="N284" s="2">
        <v>-1054.81</v>
      </c>
      <c r="O284" t="str">
        <f>IFERROR(VLOOKUP($A284,Accounts!$A:$G,3,FALSE),"")</f>
        <v/>
      </c>
    </row>
    <row r="285" spans="1:16" outlineLevel="2" x14ac:dyDescent="0.2">
      <c r="A285" t="str">
        <f t="shared" si="4"/>
        <v>600550143-12888.63</v>
      </c>
      <c r="B285" t="s">
        <v>0</v>
      </c>
      <c r="C285" t="s">
        <v>2</v>
      </c>
      <c r="D285" t="s">
        <v>95</v>
      </c>
      <c r="E285" t="s">
        <v>648</v>
      </c>
      <c r="F285" s="1">
        <v>43496</v>
      </c>
      <c r="G285" t="s">
        <v>1</v>
      </c>
      <c r="H285" s="1"/>
      <c r="I285" s="2">
        <v>-12888.63</v>
      </c>
      <c r="J285" s="2">
        <v>0</v>
      </c>
      <c r="K285" t="s">
        <v>474</v>
      </c>
      <c r="L285" t="s">
        <v>1</v>
      </c>
      <c r="M285" t="s">
        <v>695</v>
      </c>
      <c r="N285" s="2">
        <v>-12888.63</v>
      </c>
      <c r="O285" t="str">
        <f>IFERROR(VLOOKUP($A285,Accounts!$A:$G,3,FALSE),"")</f>
        <v/>
      </c>
    </row>
    <row r="286" spans="1:16" outlineLevel="2" x14ac:dyDescent="0.2">
      <c r="A286" t="str">
        <f t="shared" si="4"/>
        <v>602197143123538.82</v>
      </c>
      <c r="B286" t="s">
        <v>0</v>
      </c>
      <c r="C286" t="s">
        <v>2</v>
      </c>
      <c r="D286" t="s">
        <v>95</v>
      </c>
      <c r="E286" t="s">
        <v>96</v>
      </c>
      <c r="F286" s="1">
        <v>39223</v>
      </c>
      <c r="G286" t="s">
        <v>1</v>
      </c>
      <c r="H286" s="1"/>
      <c r="I286" s="2">
        <v>123538.82</v>
      </c>
      <c r="J286" s="2">
        <v>0</v>
      </c>
      <c r="K286" t="s">
        <v>177</v>
      </c>
      <c r="L286" t="s">
        <v>1</v>
      </c>
      <c r="M286" t="s">
        <v>695</v>
      </c>
      <c r="N286" s="2">
        <v>123538.82</v>
      </c>
      <c r="O286" t="str">
        <f>IFERROR(VLOOKUP($A286,Accounts!$A:$G,3,FALSE),"")</f>
        <v/>
      </c>
    </row>
    <row r="287" spans="1:16" outlineLevel="2" x14ac:dyDescent="0.2">
      <c r="A287" t="str">
        <f t="shared" si="4"/>
        <v>14100801941435563.2</v>
      </c>
      <c r="B287" t="s">
        <v>0</v>
      </c>
      <c r="C287" t="s">
        <v>2</v>
      </c>
      <c r="D287" t="s">
        <v>178</v>
      </c>
      <c r="E287" t="s">
        <v>264</v>
      </c>
      <c r="F287" s="1">
        <v>38200</v>
      </c>
      <c r="G287" t="s">
        <v>1</v>
      </c>
      <c r="H287" s="1"/>
      <c r="I287" s="2">
        <v>5563.2</v>
      </c>
      <c r="J287" s="2">
        <v>0</v>
      </c>
      <c r="K287" t="s">
        <v>171</v>
      </c>
      <c r="L287" t="s">
        <v>1</v>
      </c>
      <c r="M287" t="s">
        <v>695</v>
      </c>
      <c r="N287" s="2">
        <v>5563.2</v>
      </c>
      <c r="O287" t="str">
        <f>IFERROR(VLOOKUP($A287,Accounts!$A:$G,3,FALSE),"")</f>
        <v/>
      </c>
    </row>
    <row r="288" spans="1:16" outlineLevel="2" x14ac:dyDescent="0.2">
      <c r="A288" t="str">
        <f t="shared" si="4"/>
        <v>14100801931431268.8</v>
      </c>
      <c r="B288" t="s">
        <v>0</v>
      </c>
      <c r="C288" t="s">
        <v>2</v>
      </c>
      <c r="D288" t="s">
        <v>178</v>
      </c>
      <c r="E288" t="s">
        <v>265</v>
      </c>
      <c r="F288" s="1">
        <v>38200</v>
      </c>
      <c r="G288" t="s">
        <v>1</v>
      </c>
      <c r="H288" s="1"/>
      <c r="I288" s="2">
        <v>1268.8</v>
      </c>
      <c r="J288" s="2">
        <v>0</v>
      </c>
      <c r="K288" t="s">
        <v>171</v>
      </c>
      <c r="L288" t="s">
        <v>1</v>
      </c>
      <c r="M288" t="s">
        <v>695</v>
      </c>
      <c r="N288" s="2">
        <v>1268.8</v>
      </c>
      <c r="O288" t="str">
        <f>IFERROR(VLOOKUP($A288,Accounts!$A:$G,3,FALSE),"")</f>
        <v/>
      </c>
    </row>
    <row r="289" spans="1:15" outlineLevel="2" x14ac:dyDescent="0.2">
      <c r="A289" t="str">
        <f t="shared" si="4"/>
        <v>14100801921433806.4</v>
      </c>
      <c r="B289" t="s">
        <v>0</v>
      </c>
      <c r="C289" t="s">
        <v>2</v>
      </c>
      <c r="D289" t="s">
        <v>178</v>
      </c>
      <c r="E289" t="s">
        <v>266</v>
      </c>
      <c r="F289" s="1">
        <v>38200</v>
      </c>
      <c r="G289" t="s">
        <v>1</v>
      </c>
      <c r="H289" s="1"/>
      <c r="I289" s="2">
        <v>3806.4</v>
      </c>
      <c r="J289" s="2">
        <v>0</v>
      </c>
      <c r="K289" t="s">
        <v>171</v>
      </c>
      <c r="L289" t="s">
        <v>1</v>
      </c>
      <c r="M289" t="s">
        <v>695</v>
      </c>
      <c r="N289" s="2">
        <v>3806.4</v>
      </c>
      <c r="O289" t="str">
        <f>IFERROR(VLOOKUP($A289,Accounts!$A:$G,3,FALSE),"")</f>
        <v/>
      </c>
    </row>
    <row r="290" spans="1:15" outlineLevel="2" x14ac:dyDescent="0.2">
      <c r="A290" t="str">
        <f t="shared" si="4"/>
        <v>14100801911433806.4</v>
      </c>
      <c r="B290" t="s">
        <v>0</v>
      </c>
      <c r="C290" t="s">
        <v>2</v>
      </c>
      <c r="D290" t="s">
        <v>178</v>
      </c>
      <c r="E290" t="s">
        <v>267</v>
      </c>
      <c r="F290" s="1">
        <v>38200</v>
      </c>
      <c r="G290" t="s">
        <v>1</v>
      </c>
      <c r="H290" s="1"/>
      <c r="I290" s="2">
        <v>3806.4</v>
      </c>
      <c r="J290" s="2">
        <v>0</v>
      </c>
      <c r="K290" t="s">
        <v>171</v>
      </c>
      <c r="L290" t="s">
        <v>1</v>
      </c>
      <c r="M290" t="s">
        <v>695</v>
      </c>
      <c r="N290" s="2">
        <v>3806.4</v>
      </c>
      <c r="O290" t="str">
        <f>IFERROR(VLOOKUP($A290,Accounts!$A:$G,3,FALSE),"")</f>
        <v/>
      </c>
    </row>
    <row r="291" spans="1:15" outlineLevel="2" x14ac:dyDescent="0.2">
      <c r="A291" t="str">
        <f t="shared" si="4"/>
        <v>14100802051433806.4</v>
      </c>
      <c r="B291" t="s">
        <v>0</v>
      </c>
      <c r="C291" t="s">
        <v>2</v>
      </c>
      <c r="D291" t="s">
        <v>178</v>
      </c>
      <c r="E291" t="s">
        <v>263</v>
      </c>
      <c r="F291" s="1">
        <v>38200</v>
      </c>
      <c r="G291" t="s">
        <v>1</v>
      </c>
      <c r="H291" s="1"/>
      <c r="I291" s="2">
        <v>3806.4</v>
      </c>
      <c r="J291" s="2">
        <v>0</v>
      </c>
      <c r="K291" t="s">
        <v>171</v>
      </c>
      <c r="L291" t="s">
        <v>1</v>
      </c>
      <c r="M291" t="s">
        <v>695</v>
      </c>
      <c r="N291" s="2">
        <v>3806.4</v>
      </c>
      <c r="O291" t="str">
        <f>IFERROR(VLOOKUP($A291,Accounts!$A:$G,3,FALSE),"")</f>
        <v/>
      </c>
    </row>
    <row r="292" spans="1:15" outlineLevel="1" x14ac:dyDescent="0.2">
      <c r="A292" t="str">
        <f t="shared" si="4"/>
        <v>14100802101431633.28</v>
      </c>
      <c r="B292" t="s">
        <v>0</v>
      </c>
      <c r="C292" t="s">
        <v>2</v>
      </c>
      <c r="D292" t="s">
        <v>178</v>
      </c>
      <c r="E292" t="s">
        <v>262</v>
      </c>
      <c r="F292" s="1">
        <v>38200</v>
      </c>
      <c r="G292" t="s">
        <v>1</v>
      </c>
      <c r="H292" s="1"/>
      <c r="I292" s="2">
        <v>1633.28</v>
      </c>
      <c r="J292" s="2">
        <v>0</v>
      </c>
      <c r="K292" t="s">
        <v>171</v>
      </c>
      <c r="L292" t="s">
        <v>1</v>
      </c>
      <c r="M292" t="s">
        <v>695</v>
      </c>
      <c r="N292" s="2">
        <v>1633.28</v>
      </c>
      <c r="O292" t="str">
        <f>IFERROR(VLOOKUP($A292,Accounts!$A:$G,3,FALSE),"")</f>
        <v/>
      </c>
    </row>
    <row r="293" spans="1:15" outlineLevel="2" x14ac:dyDescent="0.2">
      <c r="A293" t="str">
        <f t="shared" si="4"/>
        <v>14100802121432964</v>
      </c>
      <c r="B293" t="s">
        <v>0</v>
      </c>
      <c r="C293" t="s">
        <v>2</v>
      </c>
      <c r="D293" t="s">
        <v>178</v>
      </c>
      <c r="E293" t="s">
        <v>261</v>
      </c>
      <c r="F293" s="1">
        <v>38200</v>
      </c>
      <c r="G293" t="s">
        <v>1</v>
      </c>
      <c r="H293" s="1"/>
      <c r="I293" s="2">
        <v>2964</v>
      </c>
      <c r="J293" s="2">
        <v>0</v>
      </c>
      <c r="K293" t="s">
        <v>171</v>
      </c>
      <c r="L293" t="s">
        <v>1</v>
      </c>
      <c r="M293" t="s">
        <v>695</v>
      </c>
      <c r="N293" s="2">
        <v>2964</v>
      </c>
      <c r="O293" t="str">
        <f>IFERROR(VLOOKUP($A293,Accounts!$A:$G,3,FALSE),"")</f>
        <v/>
      </c>
    </row>
    <row r="294" spans="1:15" outlineLevel="2" x14ac:dyDescent="0.2">
      <c r="A294" t="str">
        <f t="shared" si="4"/>
        <v>1410080213143408.5</v>
      </c>
      <c r="B294" t="s">
        <v>0</v>
      </c>
      <c r="C294" t="s">
        <v>2</v>
      </c>
      <c r="D294" t="s">
        <v>178</v>
      </c>
      <c r="E294" t="s">
        <v>260</v>
      </c>
      <c r="F294" s="1">
        <v>38200</v>
      </c>
      <c r="G294" t="s">
        <v>1</v>
      </c>
      <c r="H294" s="1"/>
      <c r="I294" s="2">
        <v>408.5</v>
      </c>
      <c r="J294" s="2">
        <v>0</v>
      </c>
      <c r="K294" t="s">
        <v>171</v>
      </c>
      <c r="L294" t="s">
        <v>1</v>
      </c>
      <c r="M294" t="s">
        <v>695</v>
      </c>
      <c r="N294" s="2">
        <v>408.5</v>
      </c>
      <c r="O294" t="str">
        <f>IFERROR(VLOOKUP($A294,Accounts!$A:$G,3,FALSE),"")</f>
        <v/>
      </c>
    </row>
    <row r="295" spans="1:15" outlineLevel="2" x14ac:dyDescent="0.2">
      <c r="A295" t="str">
        <f t="shared" si="4"/>
        <v>14100802151432281.13</v>
      </c>
      <c r="B295" t="s">
        <v>0</v>
      </c>
      <c r="C295" t="s">
        <v>2</v>
      </c>
      <c r="D295" t="s">
        <v>178</v>
      </c>
      <c r="E295" t="s">
        <v>259</v>
      </c>
      <c r="F295" s="1">
        <v>38200</v>
      </c>
      <c r="G295" t="s">
        <v>1</v>
      </c>
      <c r="H295" s="1"/>
      <c r="I295" s="2">
        <v>2281.13</v>
      </c>
      <c r="J295" s="2">
        <v>0</v>
      </c>
      <c r="K295" t="s">
        <v>171</v>
      </c>
      <c r="L295" t="s">
        <v>1</v>
      </c>
      <c r="M295" t="s">
        <v>695</v>
      </c>
      <c r="N295" s="2">
        <v>2281.13</v>
      </c>
      <c r="O295" t="str">
        <f>IFERROR(VLOOKUP($A295,Accounts!$A:$G,3,FALSE),"")</f>
        <v/>
      </c>
    </row>
    <row r="296" spans="1:15" outlineLevel="2" x14ac:dyDescent="0.2">
      <c r="A296" t="str">
        <f t="shared" si="4"/>
        <v>141008030114310464.36</v>
      </c>
      <c r="B296" t="s">
        <v>0</v>
      </c>
      <c r="C296" t="s">
        <v>2</v>
      </c>
      <c r="D296" t="s">
        <v>178</v>
      </c>
      <c r="E296" t="s">
        <v>258</v>
      </c>
      <c r="F296" s="1">
        <v>38200</v>
      </c>
      <c r="G296" t="s">
        <v>1</v>
      </c>
      <c r="H296" s="1"/>
      <c r="I296" s="2">
        <v>10464.36</v>
      </c>
      <c r="J296" s="2">
        <v>0</v>
      </c>
      <c r="K296" t="s">
        <v>171</v>
      </c>
      <c r="L296" t="s">
        <v>1</v>
      </c>
      <c r="M296" t="s">
        <v>695</v>
      </c>
      <c r="N296" s="2">
        <v>10464.36</v>
      </c>
      <c r="O296" t="str">
        <f>IFERROR(VLOOKUP($A296,Accounts!$A:$G,3,FALSE),"")</f>
        <v/>
      </c>
    </row>
    <row r="297" spans="1:15" outlineLevel="2" x14ac:dyDescent="0.2">
      <c r="A297" t="str">
        <f t="shared" si="4"/>
        <v>14100803561437267.77</v>
      </c>
      <c r="B297" t="s">
        <v>0</v>
      </c>
      <c r="C297" t="s">
        <v>2</v>
      </c>
      <c r="D297" t="s">
        <v>178</v>
      </c>
      <c r="E297" t="s">
        <v>289</v>
      </c>
      <c r="F297" s="1">
        <v>38200</v>
      </c>
      <c r="G297" t="s">
        <v>1</v>
      </c>
      <c r="H297" s="1"/>
      <c r="I297" s="2">
        <v>7267.77</v>
      </c>
      <c r="J297" s="2">
        <v>0</v>
      </c>
      <c r="K297" t="s">
        <v>171</v>
      </c>
      <c r="L297" t="s">
        <v>1</v>
      </c>
      <c r="M297" t="s">
        <v>695</v>
      </c>
      <c r="N297" s="2">
        <v>7267.77</v>
      </c>
      <c r="O297" t="str">
        <f>IFERROR(VLOOKUP($A297,Accounts!$A:$G,3,FALSE),"")</f>
        <v/>
      </c>
    </row>
    <row r="298" spans="1:15" outlineLevel="2" x14ac:dyDescent="0.2">
      <c r="A298" t="str">
        <f t="shared" si="4"/>
        <v>655558143-97771.76</v>
      </c>
      <c r="B298" t="s">
        <v>0</v>
      </c>
      <c r="C298" t="s">
        <v>2</v>
      </c>
      <c r="D298" t="s">
        <v>178</v>
      </c>
      <c r="E298" t="s">
        <v>170</v>
      </c>
      <c r="F298" s="1">
        <v>38223</v>
      </c>
      <c r="G298" t="s">
        <v>1</v>
      </c>
      <c r="H298" s="1"/>
      <c r="I298" s="2">
        <v>-97771.76</v>
      </c>
      <c r="J298" s="2">
        <v>0</v>
      </c>
      <c r="K298" t="s">
        <v>171</v>
      </c>
      <c r="L298" t="s">
        <v>1</v>
      </c>
      <c r="M298" t="s">
        <v>695</v>
      </c>
      <c r="N298" s="2">
        <v>-97771.76</v>
      </c>
      <c r="O298" t="str">
        <f>IFERROR(VLOOKUP($A298,Accounts!$A:$G,3,FALSE),"")</f>
        <v/>
      </c>
    </row>
    <row r="299" spans="1:15" outlineLevel="2" x14ac:dyDescent="0.2">
      <c r="A299" t="str">
        <f t="shared" si="4"/>
        <v>14100801671432049.6</v>
      </c>
      <c r="B299" t="s">
        <v>0</v>
      </c>
      <c r="C299" t="s">
        <v>2</v>
      </c>
      <c r="D299" t="s">
        <v>178</v>
      </c>
      <c r="E299" t="s">
        <v>268</v>
      </c>
      <c r="F299" s="1">
        <v>38200</v>
      </c>
      <c r="G299" t="s">
        <v>1</v>
      </c>
      <c r="H299" s="1"/>
      <c r="I299" s="2">
        <v>2049.6</v>
      </c>
      <c r="J299" s="2">
        <v>0</v>
      </c>
      <c r="K299" t="s">
        <v>171</v>
      </c>
      <c r="L299" t="s">
        <v>1</v>
      </c>
      <c r="M299" t="s">
        <v>695</v>
      </c>
      <c r="N299" s="2">
        <v>2049.6</v>
      </c>
      <c r="O299" t="str">
        <f>IFERROR(VLOOKUP($A299,Accounts!$A:$G,3,FALSE),"")</f>
        <v/>
      </c>
    </row>
    <row r="300" spans="1:15" outlineLevel="2" x14ac:dyDescent="0.2">
      <c r="A300" t="str">
        <f t="shared" si="4"/>
        <v>14100801561432635.2</v>
      </c>
      <c r="B300" t="s">
        <v>0</v>
      </c>
      <c r="C300" t="s">
        <v>2</v>
      </c>
      <c r="D300" t="s">
        <v>178</v>
      </c>
      <c r="E300" t="s">
        <v>269</v>
      </c>
      <c r="F300" s="1">
        <v>38200</v>
      </c>
      <c r="G300" t="s">
        <v>1</v>
      </c>
      <c r="H300" s="1"/>
      <c r="I300" s="2">
        <v>2635.2</v>
      </c>
      <c r="J300" s="2">
        <v>0</v>
      </c>
      <c r="K300" t="s">
        <v>171</v>
      </c>
      <c r="L300" t="s">
        <v>1</v>
      </c>
      <c r="M300" t="s">
        <v>695</v>
      </c>
      <c r="N300" s="2">
        <v>2635.2</v>
      </c>
      <c r="O300" t="str">
        <f>IFERROR(VLOOKUP($A300,Accounts!$A:$G,3,FALSE),"")</f>
        <v/>
      </c>
    </row>
    <row r="301" spans="1:15" outlineLevel="2" x14ac:dyDescent="0.2">
      <c r="A301" t="str">
        <f t="shared" si="4"/>
        <v>14100801551433513.6</v>
      </c>
      <c r="B301" t="s">
        <v>0</v>
      </c>
      <c r="C301" t="s">
        <v>2</v>
      </c>
      <c r="D301" t="s">
        <v>178</v>
      </c>
      <c r="E301" t="s">
        <v>270</v>
      </c>
      <c r="F301" s="1">
        <v>38200</v>
      </c>
      <c r="G301" t="s">
        <v>1</v>
      </c>
      <c r="H301" s="1"/>
      <c r="I301" s="2">
        <v>3513.6</v>
      </c>
      <c r="J301" s="2">
        <v>0</v>
      </c>
      <c r="K301" t="s">
        <v>171</v>
      </c>
      <c r="L301" t="s">
        <v>1</v>
      </c>
      <c r="M301" t="s">
        <v>695</v>
      </c>
      <c r="N301" s="2">
        <v>3513.6</v>
      </c>
      <c r="O301" t="str">
        <f>IFERROR(VLOOKUP($A301,Accounts!$A:$G,3,FALSE),"")</f>
        <v/>
      </c>
    </row>
    <row r="302" spans="1:15" outlineLevel="2" x14ac:dyDescent="0.2">
      <c r="A302" t="str">
        <f t="shared" si="4"/>
        <v>14100801541433806.4</v>
      </c>
      <c r="B302" t="s">
        <v>0</v>
      </c>
      <c r="C302" t="s">
        <v>2</v>
      </c>
      <c r="D302" t="s">
        <v>178</v>
      </c>
      <c r="E302" t="s">
        <v>271</v>
      </c>
      <c r="F302" s="1">
        <v>38200</v>
      </c>
      <c r="G302" t="s">
        <v>1</v>
      </c>
      <c r="H302" s="1"/>
      <c r="I302" s="2">
        <v>3806.4</v>
      </c>
      <c r="J302" s="2">
        <v>0</v>
      </c>
      <c r="K302" t="s">
        <v>171</v>
      </c>
      <c r="L302" t="s">
        <v>1</v>
      </c>
      <c r="M302" t="s">
        <v>695</v>
      </c>
      <c r="N302" s="2">
        <v>3806.4</v>
      </c>
      <c r="O302" t="str">
        <f>IFERROR(VLOOKUP($A302,Accounts!$A:$G,3,FALSE),"")</f>
        <v/>
      </c>
    </row>
    <row r="303" spans="1:15" outlineLevel="2" x14ac:dyDescent="0.2">
      <c r="A303" t="str">
        <f t="shared" si="4"/>
        <v>14100801531432928</v>
      </c>
      <c r="B303" t="s">
        <v>0</v>
      </c>
      <c r="C303" t="s">
        <v>2</v>
      </c>
      <c r="D303" t="s">
        <v>178</v>
      </c>
      <c r="E303" t="s">
        <v>272</v>
      </c>
      <c r="F303" s="1">
        <v>38200</v>
      </c>
      <c r="G303" t="s">
        <v>1</v>
      </c>
      <c r="H303" s="1"/>
      <c r="I303" s="2">
        <v>2928</v>
      </c>
      <c r="J303" s="2">
        <v>0</v>
      </c>
      <c r="K303" t="s">
        <v>171</v>
      </c>
      <c r="L303" t="s">
        <v>1</v>
      </c>
      <c r="M303" t="s">
        <v>695</v>
      </c>
      <c r="N303" s="2">
        <v>2928</v>
      </c>
      <c r="O303" t="str">
        <f>IFERROR(VLOOKUP($A303,Accounts!$A:$G,3,FALSE),"")</f>
        <v/>
      </c>
    </row>
    <row r="304" spans="1:15" outlineLevel="2" x14ac:dyDescent="0.2">
      <c r="A304" t="str">
        <f t="shared" si="4"/>
        <v>14100801411433513.6</v>
      </c>
      <c r="B304" t="s">
        <v>0</v>
      </c>
      <c r="C304" t="s">
        <v>2</v>
      </c>
      <c r="D304" t="s">
        <v>178</v>
      </c>
      <c r="E304" t="s">
        <v>273</v>
      </c>
      <c r="F304" s="1">
        <v>38200</v>
      </c>
      <c r="G304" t="s">
        <v>1</v>
      </c>
      <c r="H304" s="1"/>
      <c r="I304" s="2">
        <v>3513.6</v>
      </c>
      <c r="J304" s="2">
        <v>0</v>
      </c>
      <c r="K304" t="s">
        <v>171</v>
      </c>
      <c r="L304" t="s">
        <v>1</v>
      </c>
      <c r="M304" t="s">
        <v>695</v>
      </c>
      <c r="N304" s="2">
        <v>3513.6</v>
      </c>
      <c r="O304" t="str">
        <f>IFERROR(VLOOKUP($A304,Accounts!$A:$G,3,FALSE),"")</f>
        <v/>
      </c>
    </row>
    <row r="305" spans="1:15" outlineLevel="2" x14ac:dyDescent="0.2">
      <c r="A305" t="str">
        <f t="shared" si="4"/>
        <v>1410080140143292.8</v>
      </c>
      <c r="B305" t="s">
        <v>0</v>
      </c>
      <c r="C305" t="s">
        <v>2</v>
      </c>
      <c r="D305" t="s">
        <v>178</v>
      </c>
      <c r="E305" t="s">
        <v>274</v>
      </c>
      <c r="F305" s="1">
        <v>38200</v>
      </c>
      <c r="G305" t="s">
        <v>1</v>
      </c>
      <c r="H305" s="1"/>
      <c r="I305" s="2">
        <v>292.8</v>
      </c>
      <c r="J305" s="2">
        <v>0</v>
      </c>
      <c r="K305" t="s">
        <v>171</v>
      </c>
      <c r="L305" t="s">
        <v>1</v>
      </c>
      <c r="M305" t="s">
        <v>695</v>
      </c>
      <c r="N305" s="2">
        <v>292.8</v>
      </c>
      <c r="O305" t="str">
        <f>IFERROR(VLOOKUP($A305,Accounts!$A:$G,3,FALSE),"")</f>
        <v/>
      </c>
    </row>
    <row r="306" spans="1:15" outlineLevel="2" x14ac:dyDescent="0.2">
      <c r="A306" t="str">
        <f t="shared" si="4"/>
        <v>14100801321433806.4</v>
      </c>
      <c r="B306" t="s">
        <v>0</v>
      </c>
      <c r="C306" t="s">
        <v>2</v>
      </c>
      <c r="D306" t="s">
        <v>178</v>
      </c>
      <c r="E306" t="s">
        <v>275</v>
      </c>
      <c r="F306" s="1">
        <v>38200</v>
      </c>
      <c r="G306" t="s">
        <v>1</v>
      </c>
      <c r="H306" s="1"/>
      <c r="I306" s="2">
        <v>3806.4</v>
      </c>
      <c r="J306" s="2">
        <v>0</v>
      </c>
      <c r="K306" t="s">
        <v>171</v>
      </c>
      <c r="L306" t="s">
        <v>1</v>
      </c>
      <c r="M306" t="s">
        <v>695</v>
      </c>
      <c r="N306" s="2">
        <v>3806.4</v>
      </c>
      <c r="O306" t="str">
        <f>IFERROR(VLOOKUP($A306,Accounts!$A:$G,3,FALSE),"")</f>
        <v/>
      </c>
    </row>
    <row r="307" spans="1:15" outlineLevel="2" x14ac:dyDescent="0.2">
      <c r="A307" t="str">
        <f t="shared" si="4"/>
        <v>14100801281433708.8</v>
      </c>
      <c r="B307" t="s">
        <v>0</v>
      </c>
      <c r="C307" t="s">
        <v>2</v>
      </c>
      <c r="D307" t="s">
        <v>178</v>
      </c>
      <c r="E307" t="s">
        <v>276</v>
      </c>
      <c r="F307" s="1">
        <v>38200</v>
      </c>
      <c r="G307" t="s">
        <v>1</v>
      </c>
      <c r="H307" s="1"/>
      <c r="I307" s="2">
        <v>3708.8</v>
      </c>
      <c r="J307" s="2">
        <v>0</v>
      </c>
      <c r="K307" t="s">
        <v>171</v>
      </c>
      <c r="L307" t="s">
        <v>1</v>
      </c>
      <c r="M307" t="s">
        <v>695</v>
      </c>
      <c r="N307" s="2">
        <v>3708.8</v>
      </c>
      <c r="O307" t="str">
        <f>IFERROR(VLOOKUP($A307,Accounts!$A:$G,3,FALSE),"")</f>
        <v/>
      </c>
    </row>
    <row r="308" spans="1:15" outlineLevel="2" x14ac:dyDescent="0.2">
      <c r="A308" t="str">
        <f t="shared" si="4"/>
        <v>14100801221432230.8</v>
      </c>
      <c r="B308" t="s">
        <v>0</v>
      </c>
      <c r="C308" t="s">
        <v>2</v>
      </c>
      <c r="D308" t="s">
        <v>178</v>
      </c>
      <c r="E308" t="s">
        <v>277</v>
      </c>
      <c r="F308" s="1">
        <v>38200</v>
      </c>
      <c r="G308" t="s">
        <v>1</v>
      </c>
      <c r="H308" s="1"/>
      <c r="I308" s="2">
        <v>2230.8000000000002</v>
      </c>
      <c r="J308" s="2">
        <v>0</v>
      </c>
      <c r="K308" t="s">
        <v>171</v>
      </c>
      <c r="L308" t="s">
        <v>1</v>
      </c>
      <c r="M308" t="s">
        <v>695</v>
      </c>
      <c r="N308" s="2">
        <v>2230.8000000000002</v>
      </c>
      <c r="O308" t="str">
        <f>IFERROR(VLOOKUP($A308,Accounts!$A:$G,3,FALSE),"")</f>
        <v/>
      </c>
    </row>
    <row r="309" spans="1:15" outlineLevel="2" x14ac:dyDescent="0.2">
      <c r="A309" t="str">
        <f t="shared" si="4"/>
        <v>14100801211432537.6</v>
      </c>
      <c r="B309" t="s">
        <v>0</v>
      </c>
      <c r="C309" t="s">
        <v>2</v>
      </c>
      <c r="D309" t="s">
        <v>178</v>
      </c>
      <c r="E309" t="s">
        <v>278</v>
      </c>
      <c r="F309" s="1">
        <v>38200</v>
      </c>
      <c r="G309" t="s">
        <v>1</v>
      </c>
      <c r="H309" s="1"/>
      <c r="I309" s="2">
        <v>2537.6</v>
      </c>
      <c r="J309" s="2">
        <v>0</v>
      </c>
      <c r="K309" t="s">
        <v>171</v>
      </c>
      <c r="L309" t="s">
        <v>1</v>
      </c>
      <c r="M309" t="s">
        <v>695</v>
      </c>
      <c r="N309" s="2">
        <v>2537.6</v>
      </c>
      <c r="O309" t="str">
        <f>IFERROR(VLOOKUP($A309,Accounts!$A:$G,3,FALSE),"")</f>
        <v/>
      </c>
    </row>
    <row r="310" spans="1:15" outlineLevel="2" x14ac:dyDescent="0.2">
      <c r="A310" t="str">
        <f t="shared" si="4"/>
        <v>14100801201433806.4</v>
      </c>
      <c r="B310" t="s">
        <v>0</v>
      </c>
      <c r="C310" t="s">
        <v>2</v>
      </c>
      <c r="D310" t="s">
        <v>178</v>
      </c>
      <c r="E310" t="s">
        <v>279</v>
      </c>
      <c r="F310" s="1">
        <v>38200</v>
      </c>
      <c r="G310" t="s">
        <v>1</v>
      </c>
      <c r="H310" s="1"/>
      <c r="I310" s="2">
        <v>3806.4</v>
      </c>
      <c r="J310" s="2">
        <v>0</v>
      </c>
      <c r="K310" t="s">
        <v>171</v>
      </c>
      <c r="L310" t="s">
        <v>1</v>
      </c>
      <c r="M310" t="s">
        <v>695</v>
      </c>
      <c r="N310" s="2">
        <v>3806.4</v>
      </c>
      <c r="O310" t="str">
        <f>IFERROR(VLOOKUP($A310,Accounts!$A:$G,3,FALSE),"")</f>
        <v/>
      </c>
    </row>
    <row r="311" spans="1:15" outlineLevel="2" x14ac:dyDescent="0.2">
      <c r="A311" t="str">
        <f t="shared" si="4"/>
        <v>14100801191431756.8</v>
      </c>
      <c r="B311" t="s">
        <v>0</v>
      </c>
      <c r="C311" t="s">
        <v>2</v>
      </c>
      <c r="D311" t="s">
        <v>178</v>
      </c>
      <c r="E311" t="s">
        <v>280</v>
      </c>
      <c r="F311" s="1">
        <v>38200</v>
      </c>
      <c r="G311" t="s">
        <v>1</v>
      </c>
      <c r="H311" s="1"/>
      <c r="I311" s="2">
        <v>1756.8</v>
      </c>
      <c r="J311" s="2">
        <v>0</v>
      </c>
      <c r="K311" t="s">
        <v>171</v>
      </c>
      <c r="L311" t="s">
        <v>1</v>
      </c>
      <c r="M311" t="s">
        <v>695</v>
      </c>
      <c r="N311" s="2">
        <v>1756.8</v>
      </c>
      <c r="O311" t="str">
        <f>IFERROR(VLOOKUP($A311,Accounts!$A:$G,3,FALSE),"")</f>
        <v/>
      </c>
    </row>
    <row r="312" spans="1:15" outlineLevel="2" x14ac:dyDescent="0.2">
      <c r="A312" t="str">
        <f t="shared" si="4"/>
        <v>14100801181431171.2</v>
      </c>
      <c r="B312" t="s">
        <v>0</v>
      </c>
      <c r="C312" t="s">
        <v>2</v>
      </c>
      <c r="D312" t="s">
        <v>178</v>
      </c>
      <c r="E312" t="s">
        <v>281</v>
      </c>
      <c r="F312" s="1">
        <v>38200</v>
      </c>
      <c r="G312" t="s">
        <v>1</v>
      </c>
      <c r="H312" s="1"/>
      <c r="I312" s="2">
        <v>1171.2</v>
      </c>
      <c r="J312" s="2">
        <v>0</v>
      </c>
      <c r="K312" t="s">
        <v>171</v>
      </c>
      <c r="L312" t="s">
        <v>1</v>
      </c>
      <c r="M312" t="s">
        <v>695</v>
      </c>
      <c r="N312" s="2">
        <v>1171.2</v>
      </c>
      <c r="O312" t="str">
        <f>IFERROR(VLOOKUP($A312,Accounts!$A:$G,3,FALSE),"")</f>
        <v/>
      </c>
    </row>
    <row r="313" spans="1:15" outlineLevel="2" x14ac:dyDescent="0.2">
      <c r="A313" t="str">
        <f t="shared" si="4"/>
        <v>1410080115143517.92</v>
      </c>
      <c r="B313" t="s">
        <v>0</v>
      </c>
      <c r="C313" t="s">
        <v>2</v>
      </c>
      <c r="D313" t="s">
        <v>178</v>
      </c>
      <c r="E313" t="s">
        <v>282</v>
      </c>
      <c r="F313" s="1">
        <v>38200</v>
      </c>
      <c r="G313" t="s">
        <v>1</v>
      </c>
      <c r="H313" s="1"/>
      <c r="I313" s="2">
        <v>517.91999999999996</v>
      </c>
      <c r="J313" s="2">
        <v>0</v>
      </c>
      <c r="K313" t="s">
        <v>171</v>
      </c>
      <c r="L313" t="s">
        <v>1</v>
      </c>
      <c r="M313" t="s">
        <v>695</v>
      </c>
      <c r="N313" s="2">
        <v>517.91999999999996</v>
      </c>
      <c r="O313" t="str">
        <f>IFERROR(VLOOKUP($A313,Accounts!$A:$G,3,FALSE),"")</f>
        <v/>
      </c>
    </row>
    <row r="314" spans="1:15" outlineLevel="2" x14ac:dyDescent="0.2">
      <c r="A314" t="str">
        <f t="shared" si="4"/>
        <v>14100801091433806.4</v>
      </c>
      <c r="B314" t="s">
        <v>0</v>
      </c>
      <c r="C314" t="s">
        <v>2</v>
      </c>
      <c r="D314" t="s">
        <v>178</v>
      </c>
      <c r="E314" t="s">
        <v>283</v>
      </c>
      <c r="F314" s="1">
        <v>38200</v>
      </c>
      <c r="G314" t="s">
        <v>1</v>
      </c>
      <c r="H314" s="1"/>
      <c r="I314" s="2">
        <v>3806.4</v>
      </c>
      <c r="J314" s="2">
        <v>0</v>
      </c>
      <c r="K314" t="s">
        <v>171</v>
      </c>
      <c r="L314" t="s">
        <v>1</v>
      </c>
      <c r="M314" t="s">
        <v>695</v>
      </c>
      <c r="N314" s="2">
        <v>3806.4</v>
      </c>
      <c r="O314" t="str">
        <f>IFERROR(VLOOKUP($A314,Accounts!$A:$G,3,FALSE),"")</f>
        <v/>
      </c>
    </row>
    <row r="315" spans="1:15" outlineLevel="2" x14ac:dyDescent="0.2">
      <c r="A315" t="str">
        <f t="shared" si="4"/>
        <v>14100801081433806.4</v>
      </c>
      <c r="B315" t="s">
        <v>0</v>
      </c>
      <c r="C315" t="s">
        <v>2</v>
      </c>
      <c r="D315" t="s">
        <v>178</v>
      </c>
      <c r="E315" t="s">
        <v>284</v>
      </c>
      <c r="F315" s="1">
        <v>38200</v>
      </c>
      <c r="G315" t="s">
        <v>1</v>
      </c>
      <c r="H315" s="1"/>
      <c r="I315" s="2">
        <v>3806.4</v>
      </c>
      <c r="J315" s="2">
        <v>0</v>
      </c>
      <c r="K315" t="s">
        <v>171</v>
      </c>
      <c r="L315" t="s">
        <v>1</v>
      </c>
      <c r="M315" t="s">
        <v>695</v>
      </c>
      <c r="N315" s="2">
        <v>3806.4</v>
      </c>
      <c r="O315" t="str">
        <f>IFERROR(VLOOKUP($A315,Accounts!$A:$G,3,FALSE),"")</f>
        <v/>
      </c>
    </row>
    <row r="316" spans="1:15" outlineLevel="2" x14ac:dyDescent="0.2">
      <c r="A316" t="str">
        <f t="shared" si="4"/>
        <v>14100800831432118.16</v>
      </c>
      <c r="B316" t="s">
        <v>0</v>
      </c>
      <c r="C316" t="s">
        <v>2</v>
      </c>
      <c r="D316" t="s">
        <v>178</v>
      </c>
      <c r="E316" t="s">
        <v>285</v>
      </c>
      <c r="F316" s="1">
        <v>38200</v>
      </c>
      <c r="G316" t="s">
        <v>1</v>
      </c>
      <c r="H316" s="1"/>
      <c r="I316" s="2">
        <v>2118.16</v>
      </c>
      <c r="J316" s="2">
        <v>0</v>
      </c>
      <c r="K316" t="s">
        <v>171</v>
      </c>
      <c r="L316" t="s">
        <v>1</v>
      </c>
      <c r="M316" t="s">
        <v>695</v>
      </c>
      <c r="N316" s="2">
        <v>2118.16</v>
      </c>
      <c r="O316" t="str">
        <f>IFERROR(VLOOKUP($A316,Accounts!$A:$G,3,FALSE),"")</f>
        <v/>
      </c>
    </row>
    <row r="317" spans="1:15" outlineLevel="2" x14ac:dyDescent="0.2">
      <c r="A317" t="str">
        <f t="shared" si="4"/>
        <v>1410080042143784</v>
      </c>
      <c r="B317" t="s">
        <v>0</v>
      </c>
      <c r="C317" t="s">
        <v>2</v>
      </c>
      <c r="D317" t="s">
        <v>178</v>
      </c>
      <c r="E317" t="s">
        <v>286</v>
      </c>
      <c r="F317" s="1">
        <v>38200</v>
      </c>
      <c r="G317" t="s">
        <v>1</v>
      </c>
      <c r="H317" s="1"/>
      <c r="I317" s="2">
        <v>784</v>
      </c>
      <c r="J317" s="2">
        <v>0</v>
      </c>
      <c r="K317" t="s">
        <v>171</v>
      </c>
      <c r="L317" t="s">
        <v>1</v>
      </c>
      <c r="M317" t="s">
        <v>695</v>
      </c>
      <c r="N317" s="2">
        <v>784</v>
      </c>
      <c r="O317" t="str">
        <f>IFERROR(VLOOKUP($A317,Accounts!$A:$G,3,FALSE),"")</f>
        <v/>
      </c>
    </row>
    <row r="318" spans="1:15" outlineLevel="2" x14ac:dyDescent="0.2">
      <c r="A318" t="str">
        <f t="shared" si="4"/>
        <v>14100800411433714.5</v>
      </c>
      <c r="B318" t="s">
        <v>0</v>
      </c>
      <c r="C318" t="s">
        <v>2</v>
      </c>
      <c r="D318" t="s">
        <v>178</v>
      </c>
      <c r="E318" t="s">
        <v>287</v>
      </c>
      <c r="F318" s="1">
        <v>38200</v>
      </c>
      <c r="G318" t="s">
        <v>1</v>
      </c>
      <c r="H318" s="1"/>
      <c r="I318" s="2">
        <v>3714.5</v>
      </c>
      <c r="J318" s="2">
        <v>0</v>
      </c>
      <c r="K318" t="s">
        <v>171</v>
      </c>
      <c r="L318" t="s">
        <v>1</v>
      </c>
      <c r="M318" t="s">
        <v>695</v>
      </c>
      <c r="N318" s="2">
        <v>3714.5</v>
      </c>
      <c r="O318" t="str">
        <f>IFERROR(VLOOKUP($A318,Accounts!$A:$G,3,FALSE),"")</f>
        <v/>
      </c>
    </row>
    <row r="319" spans="1:15" outlineLevel="2" x14ac:dyDescent="0.2">
      <c r="A319" t="str">
        <f t="shared" si="4"/>
        <v>14100800381431996.94</v>
      </c>
      <c r="B319" t="s">
        <v>0</v>
      </c>
      <c r="C319" t="s">
        <v>2</v>
      </c>
      <c r="D319" t="s">
        <v>178</v>
      </c>
      <c r="E319" t="s">
        <v>288</v>
      </c>
      <c r="F319" s="1">
        <v>38200</v>
      </c>
      <c r="G319" t="s">
        <v>1</v>
      </c>
      <c r="H319" s="1"/>
      <c r="I319" s="2">
        <v>1996.94</v>
      </c>
      <c r="J319" s="2">
        <v>0</v>
      </c>
      <c r="K319" t="s">
        <v>171</v>
      </c>
      <c r="L319" t="s">
        <v>1</v>
      </c>
      <c r="M319" t="s">
        <v>695</v>
      </c>
      <c r="N319" s="2">
        <v>1996.94</v>
      </c>
      <c r="O319" t="str">
        <f>IFERROR(VLOOKUP($A319,Accounts!$A:$G,3,FALSE),"")</f>
        <v/>
      </c>
    </row>
    <row r="320" spans="1:15" outlineLevel="2" x14ac:dyDescent="0.2">
      <c r="A320" t="str">
        <f t="shared" si="4"/>
        <v>60041899-1000000</v>
      </c>
      <c r="B320" t="s">
        <v>0</v>
      </c>
      <c r="C320" t="s">
        <v>2</v>
      </c>
      <c r="D320" t="s">
        <v>220</v>
      </c>
      <c r="E320" t="s">
        <v>1</v>
      </c>
      <c r="F320" s="1"/>
      <c r="G320" t="s">
        <v>487</v>
      </c>
      <c r="H320" s="1">
        <v>43489</v>
      </c>
      <c r="I320" s="2">
        <v>0</v>
      </c>
      <c r="J320" s="2">
        <v>-1000000</v>
      </c>
      <c r="K320" t="s">
        <v>1</v>
      </c>
      <c r="L320" t="s">
        <v>474</v>
      </c>
      <c r="M320" t="s">
        <v>695</v>
      </c>
      <c r="N320" s="2">
        <v>-1000000</v>
      </c>
      <c r="O320" t="str">
        <f>IFERROR(VLOOKUP($A320,Accounts!$A:$G,3,FALSE),"")</f>
        <v/>
      </c>
    </row>
    <row r="321" spans="1:15" outlineLevel="2" x14ac:dyDescent="0.2">
      <c r="A321" t="str">
        <f t="shared" si="4"/>
        <v>60055599-95.56</v>
      </c>
      <c r="B321" t="s">
        <v>0</v>
      </c>
      <c r="C321" t="s">
        <v>2</v>
      </c>
      <c r="D321" t="s">
        <v>634</v>
      </c>
      <c r="E321" t="s">
        <v>1</v>
      </c>
      <c r="F321" s="1"/>
      <c r="G321" t="s">
        <v>642</v>
      </c>
      <c r="H321" s="1">
        <v>43496</v>
      </c>
      <c r="I321" s="2">
        <v>0</v>
      </c>
      <c r="J321" s="2">
        <v>-95.56</v>
      </c>
      <c r="K321" t="s">
        <v>1</v>
      </c>
      <c r="L321" t="s">
        <v>474</v>
      </c>
      <c r="M321" t="s">
        <v>695</v>
      </c>
      <c r="N321" s="2">
        <v>-95.56</v>
      </c>
      <c r="O321" t="str">
        <f>IFERROR(VLOOKUP($A321,Accounts!$A:$G,3,FALSE),"")</f>
        <v/>
      </c>
    </row>
    <row r="322" spans="1:15" outlineLevel="2" x14ac:dyDescent="0.2">
      <c r="A322" t="str">
        <f t="shared" si="4"/>
        <v>2900001370993780</v>
      </c>
      <c r="B322" t="s">
        <v>0</v>
      </c>
      <c r="C322" t="s">
        <v>2</v>
      </c>
      <c r="D322" t="s">
        <v>99</v>
      </c>
      <c r="E322" t="s">
        <v>1</v>
      </c>
      <c r="F322" s="1"/>
      <c r="G322" t="s">
        <v>488</v>
      </c>
      <c r="H322" s="1">
        <v>43482</v>
      </c>
      <c r="I322" s="2">
        <v>0</v>
      </c>
      <c r="J322" s="2">
        <v>3780</v>
      </c>
      <c r="K322" t="s">
        <v>1</v>
      </c>
      <c r="L322" t="s">
        <v>474</v>
      </c>
      <c r="M322" t="s">
        <v>695</v>
      </c>
      <c r="N322" s="2">
        <v>3780</v>
      </c>
      <c r="O322" t="str">
        <f>IFERROR(VLOOKUP($A322,Accounts!$A:$G,3,FALSE),"")</f>
        <v/>
      </c>
    </row>
    <row r="323" spans="1:15" outlineLevel="2" x14ac:dyDescent="0.2">
      <c r="A323" t="str">
        <f t="shared" si="4"/>
        <v>29000012709933261.2</v>
      </c>
      <c r="B323" t="s">
        <v>0</v>
      </c>
      <c r="C323" t="s">
        <v>2</v>
      </c>
      <c r="D323" t="s">
        <v>99</v>
      </c>
      <c r="E323" t="s">
        <v>1</v>
      </c>
      <c r="F323" s="1"/>
      <c r="G323" t="s">
        <v>489</v>
      </c>
      <c r="H323" s="1">
        <v>43481</v>
      </c>
      <c r="I323" s="2">
        <v>0</v>
      </c>
      <c r="J323" s="2">
        <v>33261.199999999997</v>
      </c>
      <c r="K323" t="s">
        <v>1</v>
      </c>
      <c r="L323" t="s">
        <v>474</v>
      </c>
      <c r="M323" t="s">
        <v>695</v>
      </c>
      <c r="N323" s="2">
        <v>33261.199999999997</v>
      </c>
      <c r="O323" t="str">
        <f>IFERROR(VLOOKUP($A323,Accounts!$A:$G,3,FALSE),"")</f>
        <v/>
      </c>
    </row>
    <row r="324" spans="1:15" outlineLevel="2" x14ac:dyDescent="0.2">
      <c r="A324" t="str">
        <f t="shared" si="4"/>
        <v>290000192999663.65</v>
      </c>
      <c r="B324" t="s">
        <v>0</v>
      </c>
      <c r="C324" t="s">
        <v>2</v>
      </c>
      <c r="D324" t="s">
        <v>99</v>
      </c>
      <c r="E324" t="s">
        <v>1</v>
      </c>
      <c r="F324" s="1"/>
      <c r="G324" t="s">
        <v>490</v>
      </c>
      <c r="H324" s="1">
        <v>43488</v>
      </c>
      <c r="I324" s="2">
        <v>0</v>
      </c>
      <c r="J324" s="2">
        <v>663.65</v>
      </c>
      <c r="K324" t="s">
        <v>1</v>
      </c>
      <c r="L324" t="s">
        <v>474</v>
      </c>
      <c r="M324" t="s">
        <v>695</v>
      </c>
      <c r="N324" s="2">
        <v>663.65</v>
      </c>
      <c r="O324" t="str">
        <f>IFERROR(VLOOKUP($A324,Accounts!$A:$G,3,FALSE),"")</f>
        <v/>
      </c>
    </row>
    <row r="325" spans="1:15" outlineLevel="2" x14ac:dyDescent="0.2">
      <c r="A325" t="str">
        <f t="shared" si="4"/>
        <v>290000192499200</v>
      </c>
      <c r="B325" t="s">
        <v>0</v>
      </c>
      <c r="C325" t="s">
        <v>2</v>
      </c>
      <c r="D325" t="s">
        <v>99</v>
      </c>
      <c r="E325" t="s">
        <v>1</v>
      </c>
      <c r="F325" s="1"/>
      <c r="G325" t="s">
        <v>491</v>
      </c>
      <c r="H325" s="1">
        <v>43488</v>
      </c>
      <c r="I325" s="2">
        <v>0</v>
      </c>
      <c r="J325" s="2">
        <v>200</v>
      </c>
      <c r="K325" t="s">
        <v>1</v>
      </c>
      <c r="L325" t="s">
        <v>474</v>
      </c>
      <c r="M325" t="s">
        <v>695</v>
      </c>
      <c r="N325" s="2">
        <v>200</v>
      </c>
      <c r="O325" t="str">
        <f>IFERROR(VLOOKUP($A325,Accounts!$A:$G,3,FALSE),"")</f>
        <v/>
      </c>
    </row>
    <row r="326" spans="1:15" outlineLevel="2" x14ac:dyDescent="0.2">
      <c r="A326" t="str">
        <f t="shared" si="4"/>
        <v>2900001926996919.89</v>
      </c>
      <c r="B326" t="s">
        <v>0</v>
      </c>
      <c r="C326" t="s">
        <v>2</v>
      </c>
      <c r="D326" t="s">
        <v>99</v>
      </c>
      <c r="E326" t="s">
        <v>1</v>
      </c>
      <c r="F326" s="1"/>
      <c r="G326" t="s">
        <v>492</v>
      </c>
      <c r="H326" s="1">
        <v>43488</v>
      </c>
      <c r="I326" s="2">
        <v>0</v>
      </c>
      <c r="J326" s="2">
        <v>6919.89</v>
      </c>
      <c r="K326" t="s">
        <v>1</v>
      </c>
      <c r="L326" t="s">
        <v>474</v>
      </c>
      <c r="M326" t="s">
        <v>695</v>
      </c>
      <c r="N326" s="2">
        <v>6919.89</v>
      </c>
      <c r="O326" t="str">
        <f>IFERROR(VLOOKUP($A326,Accounts!$A:$G,3,FALSE),"")</f>
        <v/>
      </c>
    </row>
    <row r="327" spans="1:15" outlineLevel="2" x14ac:dyDescent="0.2">
      <c r="A327" t="str">
        <f t="shared" si="4"/>
        <v>2900002044995877.04</v>
      </c>
      <c r="B327" t="s">
        <v>0</v>
      </c>
      <c r="C327" t="s">
        <v>2</v>
      </c>
      <c r="D327" t="s">
        <v>99</v>
      </c>
      <c r="E327" t="s">
        <v>1</v>
      </c>
      <c r="F327" s="1"/>
      <c r="G327" t="s">
        <v>493</v>
      </c>
      <c r="H327" s="1">
        <v>43489</v>
      </c>
      <c r="I327" s="2">
        <v>0</v>
      </c>
      <c r="J327" s="2">
        <v>5877.04</v>
      </c>
      <c r="K327" t="s">
        <v>1</v>
      </c>
      <c r="L327" t="s">
        <v>474</v>
      </c>
      <c r="M327" t="s">
        <v>695</v>
      </c>
      <c r="N327" s="2">
        <v>5877.04</v>
      </c>
      <c r="O327" t="str">
        <f>IFERROR(VLOOKUP($A327,Accounts!$A:$G,3,FALSE),"")</f>
        <v/>
      </c>
    </row>
    <row r="328" spans="1:15" outlineLevel="2" x14ac:dyDescent="0.2">
      <c r="A328" t="str">
        <f t="shared" si="4"/>
        <v>2900002156998932.41</v>
      </c>
      <c r="B328" t="s">
        <v>0</v>
      </c>
      <c r="C328" t="s">
        <v>2</v>
      </c>
      <c r="D328" t="s">
        <v>99</v>
      </c>
      <c r="E328" t="s">
        <v>1</v>
      </c>
      <c r="F328" s="1"/>
      <c r="G328" t="s">
        <v>494</v>
      </c>
      <c r="H328" s="1">
        <v>43490</v>
      </c>
      <c r="I328" s="2">
        <v>0</v>
      </c>
      <c r="J328" s="2">
        <v>8932.41</v>
      </c>
      <c r="K328" t="s">
        <v>1</v>
      </c>
      <c r="L328" t="s">
        <v>474</v>
      </c>
      <c r="M328" t="s">
        <v>695</v>
      </c>
      <c r="N328" s="2">
        <v>8932.41</v>
      </c>
      <c r="O328" t="str">
        <f>IFERROR(VLOOKUP($A328,Accounts!$A:$G,3,FALSE),"")</f>
        <v/>
      </c>
    </row>
    <row r="329" spans="1:15" outlineLevel="2" x14ac:dyDescent="0.2">
      <c r="A329" t="str">
        <f t="shared" si="4"/>
        <v>2900002297993827.2</v>
      </c>
      <c r="B329" t="s">
        <v>0</v>
      </c>
      <c r="C329" t="s">
        <v>2</v>
      </c>
      <c r="D329" t="s">
        <v>99</v>
      </c>
      <c r="E329" t="s">
        <v>1</v>
      </c>
      <c r="F329" s="1"/>
      <c r="G329" t="s">
        <v>497</v>
      </c>
      <c r="H329" s="1">
        <v>43493</v>
      </c>
      <c r="I329" s="2">
        <v>0</v>
      </c>
      <c r="J329" s="2">
        <v>3827.2</v>
      </c>
      <c r="K329" t="s">
        <v>1</v>
      </c>
      <c r="L329" t="s">
        <v>474</v>
      </c>
      <c r="M329" t="s">
        <v>695</v>
      </c>
      <c r="N329" s="2">
        <v>3827.2</v>
      </c>
      <c r="O329" t="str">
        <f>IFERROR(VLOOKUP($A329,Accounts!$A:$G,3,FALSE),"")</f>
        <v/>
      </c>
    </row>
    <row r="330" spans="1:15" outlineLevel="2" x14ac:dyDescent="0.2">
      <c r="A330" t="str">
        <f t="shared" ref="A330:A393" si="5">IFERROR(IF(J330=0,E330&amp;C330&amp;I330,G330&amp;B330&amp;J330),"")</f>
        <v>29000023029912888.63</v>
      </c>
      <c r="B330" t="s">
        <v>0</v>
      </c>
      <c r="C330" t="s">
        <v>2</v>
      </c>
      <c r="D330" t="s">
        <v>99</v>
      </c>
      <c r="E330" t="s">
        <v>1</v>
      </c>
      <c r="F330" s="1"/>
      <c r="G330" t="s">
        <v>496</v>
      </c>
      <c r="H330" s="1">
        <v>43493</v>
      </c>
      <c r="I330" s="2">
        <v>0</v>
      </c>
      <c r="J330" s="2">
        <v>12888.63</v>
      </c>
      <c r="K330" t="s">
        <v>1</v>
      </c>
      <c r="L330" t="s">
        <v>474</v>
      </c>
      <c r="M330" t="s">
        <v>695</v>
      </c>
      <c r="N330" s="2">
        <v>12888.63</v>
      </c>
      <c r="O330" t="str">
        <f>IFERROR(VLOOKUP($A330,Accounts!$A:$G,3,FALSE),"")</f>
        <v/>
      </c>
    </row>
    <row r="331" spans="1:15" outlineLevel="2" x14ac:dyDescent="0.2">
      <c r="A331" t="str">
        <f t="shared" si="5"/>
        <v>2900002303991054.81</v>
      </c>
      <c r="B331" t="s">
        <v>0</v>
      </c>
      <c r="C331" t="s">
        <v>2</v>
      </c>
      <c r="D331" t="s">
        <v>99</v>
      </c>
      <c r="E331" t="s">
        <v>1</v>
      </c>
      <c r="F331" s="1"/>
      <c r="G331" t="s">
        <v>495</v>
      </c>
      <c r="H331" s="1">
        <v>43493</v>
      </c>
      <c r="I331" s="2">
        <v>0</v>
      </c>
      <c r="J331" s="2">
        <v>1054.81</v>
      </c>
      <c r="K331" t="s">
        <v>1</v>
      </c>
      <c r="L331" t="s">
        <v>474</v>
      </c>
      <c r="M331" t="s">
        <v>695</v>
      </c>
      <c r="N331" s="2">
        <v>1054.81</v>
      </c>
      <c r="O331" t="str">
        <f>IFERROR(VLOOKUP($A331,Accounts!$A:$G,3,FALSE),"")</f>
        <v/>
      </c>
    </row>
    <row r="332" spans="1:15" outlineLevel="2" x14ac:dyDescent="0.2">
      <c r="A332" t="str">
        <f t="shared" si="5"/>
        <v>240002173299-1171.2</v>
      </c>
      <c r="B332" t="s">
        <v>0</v>
      </c>
      <c r="C332" t="s">
        <v>2</v>
      </c>
      <c r="D332" t="s">
        <v>169</v>
      </c>
      <c r="E332" t="s">
        <v>1</v>
      </c>
      <c r="F332" s="1"/>
      <c r="G332" t="s">
        <v>296</v>
      </c>
      <c r="H332" s="1">
        <v>38161</v>
      </c>
      <c r="I332" s="2">
        <v>0</v>
      </c>
      <c r="J332" s="2">
        <v>-1171.2</v>
      </c>
      <c r="K332" t="s">
        <v>1</v>
      </c>
      <c r="L332" t="s">
        <v>171</v>
      </c>
      <c r="M332" t="s">
        <v>695</v>
      </c>
      <c r="N332" s="2">
        <v>-1171.2</v>
      </c>
      <c r="O332" t="str">
        <f>IFERROR(VLOOKUP($A332,Accounts!$A:$G,3,FALSE),"")</f>
        <v/>
      </c>
    </row>
    <row r="333" spans="1:15" outlineLevel="2" x14ac:dyDescent="0.2">
      <c r="A333" t="str">
        <f t="shared" si="5"/>
        <v>240002163499-3708.8</v>
      </c>
      <c r="B333" t="s">
        <v>0</v>
      </c>
      <c r="C333" t="s">
        <v>2</v>
      </c>
      <c r="D333" t="s">
        <v>169</v>
      </c>
      <c r="E333" t="s">
        <v>1</v>
      </c>
      <c r="F333" s="1"/>
      <c r="G333" t="s">
        <v>297</v>
      </c>
      <c r="H333" s="1">
        <v>38159</v>
      </c>
      <c r="I333" s="2">
        <v>0</v>
      </c>
      <c r="J333" s="2">
        <v>-3708.8</v>
      </c>
      <c r="K333" t="s">
        <v>1</v>
      </c>
      <c r="L333" t="s">
        <v>171</v>
      </c>
      <c r="M333" t="s">
        <v>695</v>
      </c>
      <c r="N333" s="2">
        <v>-3708.8</v>
      </c>
      <c r="O333" t="str">
        <f>IFERROR(VLOOKUP($A333,Accounts!$A:$G,3,FALSE),"")</f>
        <v/>
      </c>
    </row>
    <row r="334" spans="1:15" outlineLevel="2" x14ac:dyDescent="0.2">
      <c r="A334" t="str">
        <f t="shared" si="5"/>
        <v>240002150199-3806.4</v>
      </c>
      <c r="B334" t="s">
        <v>0</v>
      </c>
      <c r="C334" t="s">
        <v>2</v>
      </c>
      <c r="D334" t="s">
        <v>169</v>
      </c>
      <c r="E334" t="s">
        <v>1</v>
      </c>
      <c r="F334" s="1"/>
      <c r="G334" t="s">
        <v>298</v>
      </c>
      <c r="H334" s="1">
        <v>38155</v>
      </c>
      <c r="I334" s="2">
        <v>0</v>
      </c>
      <c r="J334" s="2">
        <v>-3806.4</v>
      </c>
      <c r="K334" t="s">
        <v>1</v>
      </c>
      <c r="L334" t="s">
        <v>171</v>
      </c>
      <c r="M334" t="s">
        <v>695</v>
      </c>
      <c r="N334" s="2">
        <v>-3806.4</v>
      </c>
      <c r="O334" t="str">
        <f>IFERROR(VLOOKUP($A334,Accounts!$A:$G,3,FALSE),"")</f>
        <v/>
      </c>
    </row>
    <row r="335" spans="1:15" outlineLevel="2" x14ac:dyDescent="0.2">
      <c r="A335" t="str">
        <f t="shared" si="5"/>
        <v>240002178499-1756.8</v>
      </c>
      <c r="B335" t="s">
        <v>0</v>
      </c>
      <c r="C335" t="s">
        <v>2</v>
      </c>
      <c r="D335" t="s">
        <v>169</v>
      </c>
      <c r="E335" t="s">
        <v>1</v>
      </c>
      <c r="F335" s="1"/>
      <c r="G335" t="s">
        <v>295</v>
      </c>
      <c r="H335" s="1">
        <v>38162</v>
      </c>
      <c r="I335" s="2">
        <v>0</v>
      </c>
      <c r="J335" s="2">
        <v>-1756.8</v>
      </c>
      <c r="K335" t="s">
        <v>1</v>
      </c>
      <c r="L335" t="s">
        <v>171</v>
      </c>
      <c r="M335" t="s">
        <v>695</v>
      </c>
      <c r="N335" s="2">
        <v>-1756.8</v>
      </c>
      <c r="O335" t="str">
        <f>IFERROR(VLOOKUP($A335,Accounts!$A:$G,3,FALSE),"")</f>
        <v/>
      </c>
    </row>
    <row r="336" spans="1:15" outlineLevel="2" x14ac:dyDescent="0.2">
      <c r="A336" t="str">
        <f t="shared" si="5"/>
        <v>240002178599-2230.8</v>
      </c>
      <c r="B336" t="s">
        <v>0</v>
      </c>
      <c r="C336" t="s">
        <v>2</v>
      </c>
      <c r="D336" t="s">
        <v>169</v>
      </c>
      <c r="E336" t="s">
        <v>1</v>
      </c>
      <c r="F336" s="1"/>
      <c r="G336" t="s">
        <v>294</v>
      </c>
      <c r="H336" s="1">
        <v>38162</v>
      </c>
      <c r="I336" s="2">
        <v>0</v>
      </c>
      <c r="J336" s="2">
        <v>-2230.8000000000002</v>
      </c>
      <c r="K336" t="s">
        <v>1</v>
      </c>
      <c r="L336" t="s">
        <v>171</v>
      </c>
      <c r="M336" t="s">
        <v>695</v>
      </c>
      <c r="N336" s="2">
        <v>-2230.8000000000002</v>
      </c>
      <c r="O336" t="str">
        <f>IFERROR(VLOOKUP($A336,Accounts!$A:$G,3,FALSE),"")</f>
        <v/>
      </c>
    </row>
    <row r="337" spans="1:15" outlineLevel="2" x14ac:dyDescent="0.2">
      <c r="A337" t="str">
        <f t="shared" si="5"/>
        <v>240002178699-2537.6</v>
      </c>
      <c r="B337" t="s">
        <v>0</v>
      </c>
      <c r="C337" t="s">
        <v>2</v>
      </c>
      <c r="D337" t="s">
        <v>169</v>
      </c>
      <c r="E337" t="s">
        <v>1</v>
      </c>
      <c r="F337" s="1"/>
      <c r="G337" t="s">
        <v>293</v>
      </c>
      <c r="H337" s="1">
        <v>38162</v>
      </c>
      <c r="I337" s="2">
        <v>0</v>
      </c>
      <c r="J337" s="2">
        <v>-2537.6</v>
      </c>
      <c r="K337" t="s">
        <v>1</v>
      </c>
      <c r="L337" t="s">
        <v>171</v>
      </c>
      <c r="M337" t="s">
        <v>695</v>
      </c>
      <c r="N337" s="2">
        <v>-2537.6</v>
      </c>
      <c r="O337" t="str">
        <f>IFERROR(VLOOKUP($A337,Accounts!$A:$G,3,FALSE),"")</f>
        <v/>
      </c>
    </row>
    <row r="338" spans="1:15" outlineLevel="2" x14ac:dyDescent="0.2">
      <c r="A338" t="str">
        <f t="shared" si="5"/>
        <v>240002178799-3806.4</v>
      </c>
      <c r="B338" t="s">
        <v>0</v>
      </c>
      <c r="C338" t="s">
        <v>2</v>
      </c>
      <c r="D338" t="s">
        <v>169</v>
      </c>
      <c r="E338" t="s">
        <v>1</v>
      </c>
      <c r="F338" s="1"/>
      <c r="G338" t="s">
        <v>292</v>
      </c>
      <c r="H338" s="1">
        <v>38162</v>
      </c>
      <c r="I338" s="2">
        <v>0</v>
      </c>
      <c r="J338" s="2">
        <v>-3806.4</v>
      </c>
      <c r="K338" t="s">
        <v>1</v>
      </c>
      <c r="L338" t="s">
        <v>171</v>
      </c>
      <c r="M338" t="s">
        <v>695</v>
      </c>
      <c r="N338" s="2">
        <v>-3806.4</v>
      </c>
      <c r="O338" t="str">
        <f>IFERROR(VLOOKUP($A338,Accounts!$A:$G,3,FALSE),"")</f>
        <v/>
      </c>
    </row>
    <row r="339" spans="1:15" outlineLevel="2" x14ac:dyDescent="0.2">
      <c r="A339" t="str">
        <f t="shared" si="5"/>
        <v>240002150099-3806.4</v>
      </c>
      <c r="B339" t="s">
        <v>0</v>
      </c>
      <c r="C339" t="s">
        <v>2</v>
      </c>
      <c r="D339" t="s">
        <v>169</v>
      </c>
      <c r="E339" t="s">
        <v>1</v>
      </c>
      <c r="F339" s="1"/>
      <c r="G339" t="s">
        <v>299</v>
      </c>
      <c r="H339" s="1">
        <v>38155</v>
      </c>
      <c r="I339" s="2">
        <v>0</v>
      </c>
      <c r="J339" s="2">
        <v>-3806.4</v>
      </c>
      <c r="K339" t="s">
        <v>1</v>
      </c>
      <c r="L339" t="s">
        <v>171</v>
      </c>
      <c r="M339" t="s">
        <v>695</v>
      </c>
      <c r="N339" s="2">
        <v>-3806.4</v>
      </c>
      <c r="O339" t="str">
        <f>IFERROR(VLOOKUP($A339,Accounts!$A:$G,3,FALSE),"")</f>
        <v/>
      </c>
    </row>
    <row r="340" spans="1:15" outlineLevel="2" x14ac:dyDescent="0.2">
      <c r="A340" t="str">
        <f t="shared" si="5"/>
        <v>240002149999-517.92</v>
      </c>
      <c r="B340" t="s">
        <v>0</v>
      </c>
      <c r="C340" t="s">
        <v>2</v>
      </c>
      <c r="D340" t="s">
        <v>169</v>
      </c>
      <c r="E340" t="s">
        <v>1</v>
      </c>
      <c r="F340" s="1"/>
      <c r="G340" t="s">
        <v>300</v>
      </c>
      <c r="H340" s="1">
        <v>38155</v>
      </c>
      <c r="I340" s="2">
        <v>0</v>
      </c>
      <c r="J340" s="2">
        <v>-517.91999999999996</v>
      </c>
      <c r="K340" t="s">
        <v>1</v>
      </c>
      <c r="L340" t="s">
        <v>171</v>
      </c>
      <c r="M340" t="s">
        <v>695</v>
      </c>
      <c r="N340" s="2">
        <v>-517.91999999999996</v>
      </c>
      <c r="O340" t="str">
        <f>IFERROR(VLOOKUP($A340,Accounts!$A:$G,3,FALSE),"")</f>
        <v/>
      </c>
    </row>
    <row r="341" spans="1:15" outlineLevel="2" x14ac:dyDescent="0.2">
      <c r="A341" t="str">
        <f t="shared" si="5"/>
        <v>240002076999-2118.16</v>
      </c>
      <c r="B341" t="s">
        <v>0</v>
      </c>
      <c r="C341" t="s">
        <v>2</v>
      </c>
      <c r="D341" t="s">
        <v>169</v>
      </c>
      <c r="E341" t="s">
        <v>1</v>
      </c>
      <c r="F341" s="1"/>
      <c r="G341" t="s">
        <v>301</v>
      </c>
      <c r="H341" s="1">
        <v>38133</v>
      </c>
      <c r="I341" s="2">
        <v>0</v>
      </c>
      <c r="J341" s="2">
        <v>-2118.16</v>
      </c>
      <c r="K341" t="s">
        <v>1</v>
      </c>
      <c r="L341" t="s">
        <v>171</v>
      </c>
      <c r="M341" t="s">
        <v>695</v>
      </c>
      <c r="N341" s="2">
        <v>-2118.16</v>
      </c>
      <c r="O341" t="str">
        <f>IFERROR(VLOOKUP($A341,Accounts!$A:$G,3,FALSE),"")</f>
        <v/>
      </c>
    </row>
    <row r="342" spans="1:15" outlineLevel="2" x14ac:dyDescent="0.2">
      <c r="A342" t="str">
        <f t="shared" si="5"/>
        <v>240002186999-3806.4</v>
      </c>
      <c r="B342" t="s">
        <v>0</v>
      </c>
      <c r="C342" t="s">
        <v>2</v>
      </c>
      <c r="D342" t="s">
        <v>169</v>
      </c>
      <c r="E342" t="s">
        <v>1</v>
      </c>
      <c r="F342" s="1"/>
      <c r="G342" t="s">
        <v>291</v>
      </c>
      <c r="H342" s="1">
        <v>38163</v>
      </c>
      <c r="I342" s="2">
        <v>0</v>
      </c>
      <c r="J342" s="2">
        <v>-3806.4</v>
      </c>
      <c r="K342" t="s">
        <v>1</v>
      </c>
      <c r="L342" t="s">
        <v>171</v>
      </c>
      <c r="M342" t="s">
        <v>695</v>
      </c>
      <c r="N342" s="2">
        <v>-3806.4</v>
      </c>
      <c r="O342" t="str">
        <f>IFERROR(VLOOKUP($A342,Accounts!$A:$G,3,FALSE),"")</f>
        <v/>
      </c>
    </row>
    <row r="343" spans="1:15" outlineLevel="2" x14ac:dyDescent="0.2">
      <c r="A343" t="str">
        <f t="shared" si="5"/>
        <v>240002034999-10464.36</v>
      </c>
      <c r="B343" t="s">
        <v>0</v>
      </c>
      <c r="C343" t="s">
        <v>2</v>
      </c>
      <c r="D343" t="s">
        <v>169</v>
      </c>
      <c r="E343" t="s">
        <v>1</v>
      </c>
      <c r="F343" s="1"/>
      <c r="G343" t="s">
        <v>306</v>
      </c>
      <c r="H343" s="1">
        <v>38110</v>
      </c>
      <c r="I343" s="2">
        <v>0</v>
      </c>
      <c r="J343" s="2">
        <v>-10464.36</v>
      </c>
      <c r="K343" t="s">
        <v>1</v>
      </c>
      <c r="L343" t="s">
        <v>171</v>
      </c>
      <c r="M343" t="s">
        <v>695</v>
      </c>
      <c r="N343" s="2">
        <v>-10464.36</v>
      </c>
      <c r="O343" t="str">
        <f>IFERROR(VLOOKUP($A343,Accounts!$A:$G,3,FALSE),"")</f>
        <v/>
      </c>
    </row>
    <row r="344" spans="1:15" outlineLevel="2" x14ac:dyDescent="0.2">
      <c r="A344" t="str">
        <f t="shared" si="5"/>
        <v>240002051099-3714.5</v>
      </c>
      <c r="B344" t="s">
        <v>0</v>
      </c>
      <c r="C344" t="s">
        <v>2</v>
      </c>
      <c r="D344" t="s">
        <v>169</v>
      </c>
      <c r="E344" t="s">
        <v>1</v>
      </c>
      <c r="F344" s="1"/>
      <c r="G344" t="s">
        <v>303</v>
      </c>
      <c r="H344" s="1">
        <v>38119</v>
      </c>
      <c r="I344" s="2">
        <v>0</v>
      </c>
      <c r="J344" s="2">
        <v>-3714.5</v>
      </c>
      <c r="K344" t="s">
        <v>1</v>
      </c>
      <c r="L344" t="s">
        <v>171</v>
      </c>
      <c r="M344" t="s">
        <v>695</v>
      </c>
      <c r="N344" s="2">
        <v>-3714.5</v>
      </c>
      <c r="O344" t="str">
        <f>IFERROR(VLOOKUP($A344,Accounts!$A:$G,3,FALSE),"")</f>
        <v/>
      </c>
    </row>
    <row r="345" spans="1:15" outlineLevel="2" x14ac:dyDescent="0.2">
      <c r="A345" t="str">
        <f t="shared" si="5"/>
        <v>240002035099-1996.94</v>
      </c>
      <c r="B345" t="s">
        <v>0</v>
      </c>
      <c r="C345" t="s">
        <v>2</v>
      </c>
      <c r="D345" t="s">
        <v>169</v>
      </c>
      <c r="E345" t="s">
        <v>1</v>
      </c>
      <c r="F345" s="1"/>
      <c r="G345" t="s">
        <v>305</v>
      </c>
      <c r="H345" s="1">
        <v>38110</v>
      </c>
      <c r="I345" s="2">
        <v>0</v>
      </c>
      <c r="J345" s="2">
        <v>-1996.94</v>
      </c>
      <c r="K345" t="s">
        <v>1</v>
      </c>
      <c r="L345" t="s">
        <v>171</v>
      </c>
      <c r="M345" t="s">
        <v>695</v>
      </c>
      <c r="N345" s="2">
        <v>-1996.94</v>
      </c>
      <c r="O345" t="str">
        <f>IFERROR(VLOOKUP($A345,Accounts!$A:$G,3,FALSE),"")</f>
        <v/>
      </c>
    </row>
    <row r="346" spans="1:15" outlineLevel="2" x14ac:dyDescent="0.2">
      <c r="A346" t="str">
        <f t="shared" si="5"/>
        <v>240002262799-5563.2</v>
      </c>
      <c r="B346" t="s">
        <v>0</v>
      </c>
      <c r="C346" t="s">
        <v>2</v>
      </c>
      <c r="D346" t="s">
        <v>169</v>
      </c>
      <c r="E346" t="s">
        <v>1</v>
      </c>
      <c r="F346" s="1"/>
      <c r="G346" t="s">
        <v>313</v>
      </c>
      <c r="H346" s="1">
        <v>38175</v>
      </c>
      <c r="I346" s="2">
        <v>0</v>
      </c>
      <c r="J346" s="2">
        <v>-5563.2</v>
      </c>
      <c r="K346" t="s">
        <v>1</v>
      </c>
      <c r="L346" t="s">
        <v>171</v>
      </c>
      <c r="M346" t="s">
        <v>695</v>
      </c>
      <c r="N346" s="2">
        <v>-5563.2</v>
      </c>
      <c r="O346" t="str">
        <f>IFERROR(VLOOKUP($A346,Accounts!$A:$G,3,FALSE),"")</f>
        <v/>
      </c>
    </row>
    <row r="347" spans="1:15" outlineLevel="2" x14ac:dyDescent="0.2">
      <c r="A347" t="str">
        <f t="shared" si="5"/>
        <v>240002241799-2635.2</v>
      </c>
      <c r="B347" t="s">
        <v>0</v>
      </c>
      <c r="C347" t="s">
        <v>2</v>
      </c>
      <c r="D347" t="s">
        <v>169</v>
      </c>
      <c r="E347" t="s">
        <v>1</v>
      </c>
      <c r="F347" s="1"/>
      <c r="G347" t="s">
        <v>312</v>
      </c>
      <c r="H347" s="1">
        <v>38173</v>
      </c>
      <c r="I347" s="2">
        <v>0</v>
      </c>
      <c r="J347" s="2">
        <v>-2635.2</v>
      </c>
      <c r="K347" t="s">
        <v>1</v>
      </c>
      <c r="L347" t="s">
        <v>171</v>
      </c>
      <c r="M347" t="s">
        <v>695</v>
      </c>
      <c r="N347" s="2">
        <v>-2635.2</v>
      </c>
      <c r="O347" t="str">
        <f>IFERROR(VLOOKUP($A347,Accounts!$A:$G,3,FALSE),"")</f>
        <v/>
      </c>
    </row>
    <row r="348" spans="1:15" outlineLevel="2" x14ac:dyDescent="0.2">
      <c r="A348" t="str">
        <f t="shared" si="5"/>
        <v>240002311099-1268.8</v>
      </c>
      <c r="B348" t="s">
        <v>0</v>
      </c>
      <c r="C348" t="s">
        <v>2</v>
      </c>
      <c r="D348" t="s">
        <v>169</v>
      </c>
      <c r="E348" t="s">
        <v>1</v>
      </c>
      <c r="F348" s="1"/>
      <c r="G348" t="s">
        <v>316</v>
      </c>
      <c r="H348" s="1">
        <v>38181</v>
      </c>
      <c r="I348" s="2">
        <v>0</v>
      </c>
      <c r="J348" s="2">
        <v>-1268.8</v>
      </c>
      <c r="K348" t="s">
        <v>1</v>
      </c>
      <c r="L348" t="s">
        <v>171</v>
      </c>
      <c r="M348" t="s">
        <v>695</v>
      </c>
      <c r="N348" s="2">
        <v>-1268.8</v>
      </c>
      <c r="O348" t="str">
        <f>IFERROR(VLOOKUP($A348,Accounts!$A:$G,3,FALSE),"")</f>
        <v/>
      </c>
    </row>
    <row r="349" spans="1:15" outlineLevel="2" x14ac:dyDescent="0.2">
      <c r="A349" t="str">
        <f t="shared" si="5"/>
        <v>240002333899-3806.4</v>
      </c>
      <c r="B349" t="s">
        <v>0</v>
      </c>
      <c r="C349" t="s">
        <v>2</v>
      </c>
      <c r="D349" t="s">
        <v>169</v>
      </c>
      <c r="E349" t="s">
        <v>1</v>
      </c>
      <c r="F349" s="1"/>
      <c r="G349" t="s">
        <v>317</v>
      </c>
      <c r="H349" s="1">
        <v>38187</v>
      </c>
      <c r="I349" s="2">
        <v>0</v>
      </c>
      <c r="J349" s="2">
        <v>-3806.4</v>
      </c>
      <c r="K349" t="s">
        <v>1</v>
      </c>
      <c r="L349" t="s">
        <v>171</v>
      </c>
      <c r="M349" t="s">
        <v>695</v>
      </c>
      <c r="N349" s="2">
        <v>-3806.4</v>
      </c>
      <c r="O349" t="str">
        <f>IFERROR(VLOOKUP($A349,Accounts!$A:$G,3,FALSE),"")</f>
        <v/>
      </c>
    </row>
    <row r="350" spans="1:15" outlineLevel="2" x14ac:dyDescent="0.2">
      <c r="A350" t="str">
        <f t="shared" si="5"/>
        <v>240002366799-3806.4</v>
      </c>
      <c r="B350" t="s">
        <v>0</v>
      </c>
      <c r="C350" t="s">
        <v>2</v>
      </c>
      <c r="D350" t="s">
        <v>169</v>
      </c>
      <c r="E350" t="s">
        <v>1</v>
      </c>
      <c r="F350" s="1"/>
      <c r="G350" t="s">
        <v>318</v>
      </c>
      <c r="H350" s="1">
        <v>38189</v>
      </c>
      <c r="I350" s="2">
        <v>0</v>
      </c>
      <c r="J350" s="2">
        <v>-3806.4</v>
      </c>
      <c r="K350" t="s">
        <v>1</v>
      </c>
      <c r="L350" t="s">
        <v>171</v>
      </c>
      <c r="M350" t="s">
        <v>695</v>
      </c>
      <c r="N350" s="2">
        <v>-3806.4</v>
      </c>
      <c r="O350" t="str">
        <f>IFERROR(VLOOKUP($A350,Accounts!$A:$G,3,FALSE),"")</f>
        <v/>
      </c>
    </row>
    <row r="351" spans="1:15" outlineLevel="2" x14ac:dyDescent="0.2">
      <c r="A351" t="str">
        <f t="shared" si="5"/>
        <v>240002366899-2964</v>
      </c>
      <c r="B351" t="s">
        <v>0</v>
      </c>
      <c r="C351" t="s">
        <v>2</v>
      </c>
      <c r="D351" t="s">
        <v>169</v>
      </c>
      <c r="E351" t="s">
        <v>1</v>
      </c>
      <c r="F351" s="1"/>
      <c r="G351" t="s">
        <v>319</v>
      </c>
      <c r="H351" s="1">
        <v>38189</v>
      </c>
      <c r="I351" s="2">
        <v>0</v>
      </c>
      <c r="J351" s="2">
        <v>-2964</v>
      </c>
      <c r="K351" t="s">
        <v>1</v>
      </c>
      <c r="L351" t="s">
        <v>171</v>
      </c>
      <c r="M351" t="s">
        <v>695</v>
      </c>
      <c r="N351" s="2">
        <v>-2964</v>
      </c>
      <c r="O351" t="str">
        <f>IFERROR(VLOOKUP($A351,Accounts!$A:$G,3,FALSE),"")</f>
        <v/>
      </c>
    </row>
    <row r="352" spans="1:15" outlineLevel="2" x14ac:dyDescent="0.2">
      <c r="A352" t="str">
        <f t="shared" si="5"/>
        <v>240002226599-2928</v>
      </c>
      <c r="B352" t="s">
        <v>0</v>
      </c>
      <c r="C352" t="s">
        <v>2</v>
      </c>
      <c r="D352" t="s">
        <v>169</v>
      </c>
      <c r="E352" t="s">
        <v>1</v>
      </c>
      <c r="F352" s="1"/>
      <c r="G352" t="s">
        <v>311</v>
      </c>
      <c r="H352" s="1">
        <v>38170</v>
      </c>
      <c r="I352" s="2">
        <v>0</v>
      </c>
      <c r="J352" s="2">
        <v>-2928</v>
      </c>
      <c r="K352" t="s">
        <v>1</v>
      </c>
      <c r="L352" t="s">
        <v>171</v>
      </c>
      <c r="M352" t="s">
        <v>695</v>
      </c>
      <c r="N352" s="2">
        <v>-2928</v>
      </c>
      <c r="O352" t="str">
        <f>IFERROR(VLOOKUP($A352,Accounts!$A:$G,3,FALSE),"")</f>
        <v/>
      </c>
    </row>
    <row r="353" spans="1:15" outlineLevel="2" x14ac:dyDescent="0.2">
      <c r="A353" t="str">
        <f t="shared" si="5"/>
        <v>240002226499-3513.6</v>
      </c>
      <c r="B353" t="s">
        <v>0</v>
      </c>
      <c r="C353" t="s">
        <v>2</v>
      </c>
      <c r="D353" t="s">
        <v>169</v>
      </c>
      <c r="E353" t="s">
        <v>1</v>
      </c>
      <c r="F353" s="1"/>
      <c r="G353" t="s">
        <v>310</v>
      </c>
      <c r="H353" s="1">
        <v>38170</v>
      </c>
      <c r="I353" s="2">
        <v>0</v>
      </c>
      <c r="J353" s="2">
        <v>-3513.6</v>
      </c>
      <c r="K353" t="s">
        <v>1</v>
      </c>
      <c r="L353" t="s">
        <v>171</v>
      </c>
      <c r="M353" t="s">
        <v>695</v>
      </c>
      <c r="N353" s="2">
        <v>-3513.6</v>
      </c>
      <c r="O353" t="str">
        <f>IFERROR(VLOOKUP($A353,Accounts!$A:$G,3,FALSE),"")</f>
        <v/>
      </c>
    </row>
    <row r="354" spans="1:15" outlineLevel="2" x14ac:dyDescent="0.2">
      <c r="A354" t="str">
        <f t="shared" si="5"/>
        <v>240002062899-7267.77</v>
      </c>
      <c r="B354" t="s">
        <v>0</v>
      </c>
      <c r="C354" t="s">
        <v>2</v>
      </c>
      <c r="D354" t="s">
        <v>169</v>
      </c>
      <c r="E354" t="s">
        <v>1</v>
      </c>
      <c r="F354" s="1"/>
      <c r="G354" t="s">
        <v>302</v>
      </c>
      <c r="H354" s="1">
        <v>38125</v>
      </c>
      <c r="I354" s="2">
        <v>0</v>
      </c>
      <c r="J354" s="2">
        <v>-7267.77</v>
      </c>
      <c r="K354" t="s">
        <v>1</v>
      </c>
      <c r="L354" t="s">
        <v>171</v>
      </c>
      <c r="M354" t="s">
        <v>695</v>
      </c>
      <c r="N354" s="2">
        <v>-7267.77</v>
      </c>
      <c r="O354" t="str">
        <f>IFERROR(VLOOKUP($A354,Accounts!$A:$G,3,FALSE),"")</f>
        <v/>
      </c>
    </row>
    <row r="355" spans="1:15" outlineLevel="2" x14ac:dyDescent="0.2">
      <c r="A355" t="str">
        <f t="shared" si="5"/>
        <v>240002377099-408.5</v>
      </c>
      <c r="B355" t="s">
        <v>0</v>
      </c>
      <c r="C355" t="s">
        <v>2</v>
      </c>
      <c r="D355" t="s">
        <v>169</v>
      </c>
      <c r="E355" t="s">
        <v>1</v>
      </c>
      <c r="F355" s="1"/>
      <c r="G355" t="s">
        <v>320</v>
      </c>
      <c r="H355" s="1">
        <v>38190</v>
      </c>
      <c r="I355" s="2">
        <v>0</v>
      </c>
      <c r="J355" s="2">
        <v>-408.5</v>
      </c>
      <c r="K355" t="s">
        <v>1</v>
      </c>
      <c r="L355" t="s">
        <v>171</v>
      </c>
      <c r="M355" t="s">
        <v>695</v>
      </c>
      <c r="N355" s="2">
        <v>-408.5</v>
      </c>
      <c r="O355" t="str">
        <f>IFERROR(VLOOKUP($A355,Accounts!$A:$G,3,FALSE),"")</f>
        <v/>
      </c>
    </row>
    <row r="356" spans="1:15" outlineLevel="2" x14ac:dyDescent="0.2">
      <c r="A356" t="str">
        <f t="shared" si="5"/>
        <v>240002219299-292.8</v>
      </c>
      <c r="B356" t="s">
        <v>0</v>
      </c>
      <c r="C356" t="s">
        <v>2</v>
      </c>
      <c r="D356" t="s">
        <v>169</v>
      </c>
      <c r="E356" t="s">
        <v>1</v>
      </c>
      <c r="F356" s="1"/>
      <c r="G356" t="s">
        <v>290</v>
      </c>
      <c r="H356" s="1">
        <v>38169</v>
      </c>
      <c r="I356" s="2">
        <v>0</v>
      </c>
      <c r="J356" s="2">
        <v>-292.8</v>
      </c>
      <c r="K356" t="s">
        <v>1</v>
      </c>
      <c r="L356" t="s">
        <v>171</v>
      </c>
      <c r="M356" t="s">
        <v>695</v>
      </c>
      <c r="N356" s="2">
        <v>-292.8</v>
      </c>
      <c r="O356" t="str">
        <f>IFERROR(VLOOKUP($A356,Accounts!$A:$G,3,FALSE),"")</f>
        <v/>
      </c>
    </row>
    <row r="357" spans="1:15" outlineLevel="2" x14ac:dyDescent="0.2">
      <c r="A357" t="str">
        <f t="shared" si="5"/>
        <v>240002219399-3513.6</v>
      </c>
      <c r="B357" t="s">
        <v>0</v>
      </c>
      <c r="C357" t="s">
        <v>2</v>
      </c>
      <c r="D357" t="s">
        <v>169</v>
      </c>
      <c r="E357" t="s">
        <v>1</v>
      </c>
      <c r="F357" s="1"/>
      <c r="G357" t="s">
        <v>307</v>
      </c>
      <c r="H357" s="1">
        <v>38169</v>
      </c>
      <c r="I357" s="2">
        <v>0</v>
      </c>
      <c r="J357" s="2">
        <v>-3513.6</v>
      </c>
      <c r="K357" t="s">
        <v>1</v>
      </c>
      <c r="L357" t="s">
        <v>171</v>
      </c>
      <c r="M357" t="s">
        <v>695</v>
      </c>
      <c r="N357" s="2">
        <v>-3513.6</v>
      </c>
      <c r="O357" t="str">
        <f>IFERROR(VLOOKUP($A357,Accounts!$A:$G,3,FALSE),"")</f>
        <v/>
      </c>
    </row>
    <row r="358" spans="1:15" outlineLevel="2" x14ac:dyDescent="0.2">
      <c r="A358" t="str">
        <f t="shared" si="5"/>
        <v>240002222699-3806.4</v>
      </c>
      <c r="B358" t="s">
        <v>0</v>
      </c>
      <c r="C358" t="s">
        <v>2</v>
      </c>
      <c r="D358" t="s">
        <v>169</v>
      </c>
      <c r="E358" t="s">
        <v>1</v>
      </c>
      <c r="F358" s="1"/>
      <c r="G358" t="s">
        <v>308</v>
      </c>
      <c r="H358" s="1">
        <v>38169</v>
      </c>
      <c r="I358" s="2">
        <v>0</v>
      </c>
      <c r="J358" s="2">
        <v>-3806.4</v>
      </c>
      <c r="K358" t="s">
        <v>1</v>
      </c>
      <c r="L358" t="s">
        <v>171</v>
      </c>
      <c r="M358" t="s">
        <v>695</v>
      </c>
      <c r="N358" s="2">
        <v>-3806.4</v>
      </c>
      <c r="O358" t="str">
        <f>IFERROR(VLOOKUP($A358,Accounts!$A:$G,3,FALSE),"")</f>
        <v/>
      </c>
    </row>
    <row r="359" spans="1:15" outlineLevel="2" x14ac:dyDescent="0.2">
      <c r="A359" t="str">
        <f t="shared" si="5"/>
        <v>240002226399-1633.28</v>
      </c>
      <c r="B359" t="s">
        <v>0</v>
      </c>
      <c r="C359" t="s">
        <v>2</v>
      </c>
      <c r="D359" t="s">
        <v>169</v>
      </c>
      <c r="E359" t="s">
        <v>1</v>
      </c>
      <c r="F359" s="1"/>
      <c r="G359" t="s">
        <v>309</v>
      </c>
      <c r="H359" s="1">
        <v>38170</v>
      </c>
      <c r="I359" s="2">
        <v>0</v>
      </c>
      <c r="J359" s="2">
        <v>-1633.28</v>
      </c>
      <c r="K359" t="s">
        <v>1</v>
      </c>
      <c r="L359" t="s">
        <v>171</v>
      </c>
      <c r="M359" t="s">
        <v>695</v>
      </c>
      <c r="N359" s="2">
        <v>-1633.28</v>
      </c>
      <c r="O359" t="str">
        <f>IFERROR(VLOOKUP($A359,Accounts!$A:$G,3,FALSE),"")</f>
        <v/>
      </c>
    </row>
    <row r="360" spans="1:15" outlineLevel="2" x14ac:dyDescent="0.2">
      <c r="A360" t="str">
        <f t="shared" si="5"/>
        <v>6555589998006</v>
      </c>
      <c r="B360" t="s">
        <v>0</v>
      </c>
      <c r="C360" t="s">
        <v>2</v>
      </c>
      <c r="D360" t="s">
        <v>169</v>
      </c>
      <c r="E360" t="s">
        <v>1</v>
      </c>
      <c r="F360" s="1"/>
      <c r="G360" t="s">
        <v>170</v>
      </c>
      <c r="H360" s="1">
        <v>38223</v>
      </c>
      <c r="I360" s="2">
        <v>0</v>
      </c>
      <c r="J360" s="2">
        <v>98006</v>
      </c>
      <c r="K360" t="s">
        <v>1</v>
      </c>
      <c r="L360" t="s">
        <v>171</v>
      </c>
      <c r="M360" t="s">
        <v>695</v>
      </c>
      <c r="N360" s="2">
        <v>98006</v>
      </c>
      <c r="O360" t="str">
        <f>IFERROR(VLOOKUP($A360,Accounts!$A:$G,3,FALSE),"")</f>
        <v/>
      </c>
    </row>
    <row r="361" spans="1:15" outlineLevel="2" x14ac:dyDescent="0.2">
      <c r="A361" t="str">
        <f t="shared" si="5"/>
        <v>240002262899-2049.6</v>
      </c>
      <c r="B361" t="s">
        <v>0</v>
      </c>
      <c r="C361" t="s">
        <v>2</v>
      </c>
      <c r="D361" t="s">
        <v>169</v>
      </c>
      <c r="E361" t="s">
        <v>1</v>
      </c>
      <c r="F361" s="1"/>
      <c r="G361" t="s">
        <v>314</v>
      </c>
      <c r="H361" s="1">
        <v>38175</v>
      </c>
      <c r="I361" s="2">
        <v>0</v>
      </c>
      <c r="J361" s="2">
        <v>-2049.6</v>
      </c>
      <c r="K361" t="s">
        <v>1</v>
      </c>
      <c r="L361" t="s">
        <v>171</v>
      </c>
      <c r="M361" t="s">
        <v>695</v>
      </c>
      <c r="N361" s="2">
        <v>-2049.6</v>
      </c>
      <c r="O361" t="str">
        <f>IFERROR(VLOOKUP($A361,Accounts!$A:$G,3,FALSE),"")</f>
        <v/>
      </c>
    </row>
    <row r="362" spans="1:15" outlineLevel="2" x14ac:dyDescent="0.2">
      <c r="A362" t="str">
        <f t="shared" si="5"/>
        <v>240002401999-2281.13</v>
      </c>
      <c r="B362" t="s">
        <v>0</v>
      </c>
      <c r="C362" t="s">
        <v>2</v>
      </c>
      <c r="D362" t="s">
        <v>169</v>
      </c>
      <c r="E362" t="s">
        <v>1</v>
      </c>
      <c r="F362" s="1"/>
      <c r="G362" t="s">
        <v>321</v>
      </c>
      <c r="H362" s="1">
        <v>38194</v>
      </c>
      <c r="I362" s="2">
        <v>0</v>
      </c>
      <c r="J362" s="2">
        <v>-2281.13</v>
      </c>
      <c r="K362" t="s">
        <v>1</v>
      </c>
      <c r="L362" t="s">
        <v>171</v>
      </c>
      <c r="M362" t="s">
        <v>695</v>
      </c>
      <c r="N362" s="2">
        <v>-2281.13</v>
      </c>
      <c r="O362" t="str">
        <f>IFERROR(VLOOKUP($A362,Accounts!$A:$G,3,FALSE),"")</f>
        <v/>
      </c>
    </row>
    <row r="363" spans="1:15" outlineLevel="2" x14ac:dyDescent="0.2">
      <c r="A363" t="str">
        <f t="shared" si="5"/>
        <v>240002042299-784</v>
      </c>
      <c r="B363" t="s">
        <v>0</v>
      </c>
      <c r="C363" t="s">
        <v>2</v>
      </c>
      <c r="D363" t="s">
        <v>169</v>
      </c>
      <c r="E363" t="s">
        <v>1</v>
      </c>
      <c r="F363" s="1"/>
      <c r="G363" t="s">
        <v>304</v>
      </c>
      <c r="H363" s="1">
        <v>38117</v>
      </c>
      <c r="I363" s="2">
        <v>0</v>
      </c>
      <c r="J363" s="2">
        <v>-784</v>
      </c>
      <c r="K363" t="s">
        <v>1</v>
      </c>
      <c r="L363" t="s">
        <v>171</v>
      </c>
      <c r="M363" t="s">
        <v>695</v>
      </c>
      <c r="N363" s="2">
        <v>-784</v>
      </c>
      <c r="O363" t="str">
        <f>IFERROR(VLOOKUP($A363,Accounts!$A:$G,3,FALSE),"")</f>
        <v/>
      </c>
    </row>
    <row r="364" spans="1:15" outlineLevel="2" x14ac:dyDescent="0.2">
      <c r="A364" t="str">
        <f t="shared" si="5"/>
        <v>240002274099-3806.4</v>
      </c>
      <c r="B364" t="s">
        <v>0</v>
      </c>
      <c r="C364" t="s">
        <v>2</v>
      </c>
      <c r="D364" t="s">
        <v>169</v>
      </c>
      <c r="E364" t="s">
        <v>1</v>
      </c>
      <c r="F364" s="1"/>
      <c r="G364" t="s">
        <v>315</v>
      </c>
      <c r="H364" s="1">
        <v>38176</v>
      </c>
      <c r="I364" s="2">
        <v>0</v>
      </c>
      <c r="J364" s="2">
        <v>-3806.4</v>
      </c>
      <c r="K364" t="s">
        <v>1</v>
      </c>
      <c r="L364" t="s">
        <v>171</v>
      </c>
      <c r="M364" t="s">
        <v>695</v>
      </c>
      <c r="N364" s="2">
        <v>-3806.4</v>
      </c>
      <c r="O364" t="str">
        <f>IFERROR(VLOOKUP($A364,Accounts!$A:$G,3,FALSE),"")</f>
        <v/>
      </c>
    </row>
    <row r="365" spans="1:15" outlineLevel="2" x14ac:dyDescent="0.2">
      <c r="A365" t="str">
        <f t="shared" si="5"/>
        <v>240002432799-234.24</v>
      </c>
      <c r="B365" t="s">
        <v>0</v>
      </c>
      <c r="C365" t="s">
        <v>2</v>
      </c>
      <c r="D365" t="s">
        <v>169</v>
      </c>
      <c r="E365" t="s">
        <v>1</v>
      </c>
      <c r="F365" s="1"/>
      <c r="G365" t="s">
        <v>322</v>
      </c>
      <c r="H365" s="1">
        <v>38196</v>
      </c>
      <c r="I365" s="2">
        <v>0</v>
      </c>
      <c r="J365" s="2">
        <v>-234.24</v>
      </c>
      <c r="K365" t="s">
        <v>1</v>
      </c>
      <c r="L365" t="s">
        <v>171</v>
      </c>
      <c r="M365" t="s">
        <v>695</v>
      </c>
      <c r="N365" s="2">
        <v>-234.24</v>
      </c>
      <c r="O365" t="str">
        <f>IFERROR(VLOOKUP($A365,Accounts!$A:$G,3,FALSE),"")</f>
        <v/>
      </c>
    </row>
    <row r="366" spans="1:15" outlineLevel="2" x14ac:dyDescent="0.2">
      <c r="A366" t="str">
        <f t="shared" si="5"/>
        <v>140000030999-6285.6</v>
      </c>
      <c r="B366" t="s">
        <v>0</v>
      </c>
      <c r="C366" t="s">
        <v>2</v>
      </c>
      <c r="D366" t="s">
        <v>100</v>
      </c>
      <c r="E366" t="s">
        <v>1</v>
      </c>
      <c r="F366" s="1"/>
      <c r="G366" t="s">
        <v>499</v>
      </c>
      <c r="H366" s="1">
        <v>43493</v>
      </c>
      <c r="I366" s="2">
        <v>0</v>
      </c>
      <c r="J366" s="2">
        <v>-6285.6</v>
      </c>
      <c r="K366" t="s">
        <v>1</v>
      </c>
      <c r="L366" t="s">
        <v>474</v>
      </c>
      <c r="M366" t="s">
        <v>695</v>
      </c>
      <c r="N366" s="2">
        <v>-6285.6</v>
      </c>
      <c r="O366" t="str">
        <f>IFERROR(VLOOKUP($A366,Accounts!$A:$G,3,FALSE),"")</f>
        <v/>
      </c>
    </row>
    <row r="367" spans="1:15" outlineLevel="2" x14ac:dyDescent="0.2">
      <c r="A367" t="str">
        <f t="shared" si="5"/>
        <v>140000030599-186.93</v>
      </c>
      <c r="B367" t="s">
        <v>0</v>
      </c>
      <c r="C367" t="s">
        <v>2</v>
      </c>
      <c r="D367" t="s">
        <v>100</v>
      </c>
      <c r="E367" t="s">
        <v>1</v>
      </c>
      <c r="F367" s="1"/>
      <c r="G367" t="s">
        <v>500</v>
      </c>
      <c r="H367" s="1">
        <v>43493</v>
      </c>
      <c r="I367" s="2">
        <v>0</v>
      </c>
      <c r="J367" s="2">
        <v>-186.93</v>
      </c>
      <c r="K367" t="s">
        <v>1</v>
      </c>
      <c r="L367" t="s">
        <v>474</v>
      </c>
      <c r="M367" t="s">
        <v>695</v>
      </c>
      <c r="N367" s="2">
        <v>-186.93</v>
      </c>
      <c r="O367" t="str">
        <f>IFERROR(VLOOKUP($A367,Accounts!$A:$G,3,FALSE),"")</f>
        <v/>
      </c>
    </row>
    <row r="368" spans="1:15" outlineLevel="2" x14ac:dyDescent="0.2">
      <c r="A368" t="str">
        <f t="shared" si="5"/>
        <v>140000030799-7129.5</v>
      </c>
      <c r="B368" t="s">
        <v>0</v>
      </c>
      <c r="C368" t="s">
        <v>2</v>
      </c>
      <c r="D368" t="s">
        <v>100</v>
      </c>
      <c r="E368" t="s">
        <v>1</v>
      </c>
      <c r="F368" s="1"/>
      <c r="G368" t="s">
        <v>498</v>
      </c>
      <c r="H368" s="1">
        <v>43493</v>
      </c>
      <c r="I368" s="2">
        <v>0</v>
      </c>
      <c r="J368" s="2">
        <v>-7129.5</v>
      </c>
      <c r="K368" t="s">
        <v>1</v>
      </c>
      <c r="L368" t="s">
        <v>474</v>
      </c>
      <c r="M368" t="s">
        <v>695</v>
      </c>
      <c r="N368" s="2">
        <v>-7129.5</v>
      </c>
      <c r="O368" t="str">
        <f>IFERROR(VLOOKUP($A368,Accounts!$A:$G,3,FALSE),"")</f>
        <v/>
      </c>
    </row>
    <row r="369" spans="1:15" outlineLevel="2" x14ac:dyDescent="0.2">
      <c r="A369" t="str">
        <f t="shared" si="5"/>
        <v>60055199-11720.31</v>
      </c>
      <c r="B369" t="s">
        <v>0</v>
      </c>
      <c r="C369" t="s">
        <v>2</v>
      </c>
      <c r="D369" t="s">
        <v>95</v>
      </c>
      <c r="E369" t="s">
        <v>1</v>
      </c>
      <c r="F369" s="1"/>
      <c r="G369" t="s">
        <v>643</v>
      </c>
      <c r="H369" s="1">
        <v>43496</v>
      </c>
      <c r="I369" s="2">
        <v>0</v>
      </c>
      <c r="J369" s="2">
        <v>-11720.31</v>
      </c>
      <c r="K369" t="s">
        <v>1</v>
      </c>
      <c r="L369" t="s">
        <v>474</v>
      </c>
      <c r="M369" t="s">
        <v>695</v>
      </c>
      <c r="N369" s="2">
        <v>-11720.31</v>
      </c>
      <c r="O369" t="str">
        <f>IFERROR(VLOOKUP($A369,Accounts!$A:$G,3,FALSE),"")</f>
        <v/>
      </c>
    </row>
    <row r="370" spans="1:15" outlineLevel="2" x14ac:dyDescent="0.2">
      <c r="A370" t="str">
        <f t="shared" si="5"/>
        <v>60055199-10121.04</v>
      </c>
      <c r="B370" t="s">
        <v>0</v>
      </c>
      <c r="C370" t="s">
        <v>2</v>
      </c>
      <c r="D370" t="s">
        <v>95</v>
      </c>
      <c r="E370" t="s">
        <v>1</v>
      </c>
      <c r="F370" s="1"/>
      <c r="G370" t="s">
        <v>643</v>
      </c>
      <c r="H370" s="1">
        <v>43496</v>
      </c>
      <c r="I370" s="2">
        <v>0</v>
      </c>
      <c r="J370" s="2">
        <v>-10121.040000000001</v>
      </c>
      <c r="K370" t="s">
        <v>1</v>
      </c>
      <c r="L370" t="s">
        <v>474</v>
      </c>
      <c r="M370" t="s">
        <v>695</v>
      </c>
      <c r="N370" s="2">
        <v>-10121.040000000001</v>
      </c>
      <c r="O370" t="str">
        <f>IFERROR(VLOOKUP($A370,Accounts!$A:$G,3,FALSE),"")</f>
        <v/>
      </c>
    </row>
    <row r="371" spans="1:15" outlineLevel="2" x14ac:dyDescent="0.2">
      <c r="A371" t="str">
        <f t="shared" si="5"/>
        <v>6021979941346</v>
      </c>
      <c r="B371" t="s">
        <v>0</v>
      </c>
      <c r="C371" t="s">
        <v>2</v>
      </c>
      <c r="D371" t="s">
        <v>95</v>
      </c>
      <c r="E371" t="s">
        <v>1</v>
      </c>
      <c r="F371" s="1"/>
      <c r="G371" t="s">
        <v>96</v>
      </c>
      <c r="H371" s="1">
        <v>39223</v>
      </c>
      <c r="I371" s="2">
        <v>0</v>
      </c>
      <c r="J371" s="2">
        <v>41346</v>
      </c>
      <c r="K371" t="s">
        <v>1</v>
      </c>
      <c r="L371" t="s">
        <v>177</v>
      </c>
      <c r="M371" t="s">
        <v>695</v>
      </c>
      <c r="N371" s="2">
        <v>41346</v>
      </c>
      <c r="O371" t="str">
        <f>IFERROR(VLOOKUP($A371,Accounts!$A:$G,3,FALSE),"")</f>
        <v/>
      </c>
    </row>
    <row r="372" spans="1:15" outlineLevel="2" x14ac:dyDescent="0.2">
      <c r="A372" t="str">
        <f t="shared" si="5"/>
        <v>14100803549910504.36</v>
      </c>
      <c r="B372" t="s">
        <v>0</v>
      </c>
      <c r="C372" t="s">
        <v>2</v>
      </c>
      <c r="D372" t="s">
        <v>178</v>
      </c>
      <c r="E372" t="s">
        <v>1</v>
      </c>
      <c r="F372" s="1"/>
      <c r="G372" t="s">
        <v>355</v>
      </c>
      <c r="H372" s="1">
        <v>38200</v>
      </c>
      <c r="I372" s="2">
        <v>0</v>
      </c>
      <c r="J372" s="2">
        <v>10504.36</v>
      </c>
      <c r="K372" t="s">
        <v>1</v>
      </c>
      <c r="L372" t="s">
        <v>171</v>
      </c>
      <c r="M372" t="s">
        <v>695</v>
      </c>
      <c r="N372" s="2">
        <v>10504.36</v>
      </c>
      <c r="O372" t="str">
        <f>IFERROR(VLOOKUP($A372,Accounts!$A:$G,3,FALSE),"")</f>
        <v/>
      </c>
    </row>
    <row r="373" spans="1:15" outlineLevel="2" x14ac:dyDescent="0.2">
      <c r="A373" t="str">
        <f t="shared" si="5"/>
        <v>14100802229910182.67</v>
      </c>
      <c r="B373" t="s">
        <v>0</v>
      </c>
      <c r="C373" t="s">
        <v>2</v>
      </c>
      <c r="D373" t="s">
        <v>178</v>
      </c>
      <c r="E373" t="s">
        <v>1</v>
      </c>
      <c r="F373" s="1"/>
      <c r="G373" t="s">
        <v>354</v>
      </c>
      <c r="H373" s="1">
        <v>38200</v>
      </c>
      <c r="I373" s="2">
        <v>0</v>
      </c>
      <c r="J373" s="2">
        <v>10182.67</v>
      </c>
      <c r="K373" t="s">
        <v>1</v>
      </c>
      <c r="L373" t="s">
        <v>171</v>
      </c>
      <c r="M373" t="s">
        <v>695</v>
      </c>
      <c r="N373" s="2">
        <v>10182.67</v>
      </c>
      <c r="O373" t="str">
        <f>IFERROR(VLOOKUP($A373,Accounts!$A:$G,3,FALSE),"")</f>
        <v/>
      </c>
    </row>
    <row r="374" spans="1:15" outlineLevel="2" x14ac:dyDescent="0.2">
      <c r="A374" t="str">
        <f t="shared" si="5"/>
        <v>1410080384992309.16</v>
      </c>
      <c r="B374" t="s">
        <v>0</v>
      </c>
      <c r="C374" t="s">
        <v>2</v>
      </c>
      <c r="D374" t="s">
        <v>178</v>
      </c>
      <c r="E374" t="s">
        <v>1</v>
      </c>
      <c r="F374" s="1"/>
      <c r="G374" t="s">
        <v>356</v>
      </c>
      <c r="H374" s="1">
        <v>38200</v>
      </c>
      <c r="I374" s="2">
        <v>0</v>
      </c>
      <c r="J374" s="2">
        <v>2309.16</v>
      </c>
      <c r="K374" t="s">
        <v>1</v>
      </c>
      <c r="L374" t="s">
        <v>171</v>
      </c>
      <c r="M374" t="s">
        <v>695</v>
      </c>
      <c r="N374" s="2">
        <v>2309.16</v>
      </c>
      <c r="O374" t="str">
        <f>IFERROR(VLOOKUP($A374,Accounts!$A:$G,3,FALSE),"")</f>
        <v/>
      </c>
    </row>
    <row r="375" spans="1:15" outlineLevel="2" x14ac:dyDescent="0.2">
      <c r="A375" t="str">
        <f t="shared" si="5"/>
        <v>65555899-98137.55</v>
      </c>
      <c r="B375" t="s">
        <v>0</v>
      </c>
      <c r="C375" t="s">
        <v>2</v>
      </c>
      <c r="D375" t="s">
        <v>178</v>
      </c>
      <c r="E375" t="s">
        <v>1</v>
      </c>
      <c r="F375" s="1"/>
      <c r="G375" t="s">
        <v>170</v>
      </c>
      <c r="H375" s="1">
        <v>38223</v>
      </c>
      <c r="I375" s="2">
        <v>0</v>
      </c>
      <c r="J375" s="2">
        <v>-98137.55</v>
      </c>
      <c r="K375" t="s">
        <v>1</v>
      </c>
      <c r="L375" t="s">
        <v>171</v>
      </c>
      <c r="M375" t="s">
        <v>695</v>
      </c>
      <c r="N375" s="2">
        <v>-98137.55</v>
      </c>
      <c r="O375" t="str">
        <f>IFERROR(VLOOKUP($A375,Accounts!$A:$G,3,FALSE),"")</f>
        <v/>
      </c>
    </row>
    <row r="376" spans="1:15" outlineLevel="2" x14ac:dyDescent="0.2">
      <c r="A376" t="str">
        <f t="shared" si="5"/>
        <v>14100802219916292.28</v>
      </c>
      <c r="B376" t="s">
        <v>0</v>
      </c>
      <c r="C376" t="s">
        <v>2</v>
      </c>
      <c r="D376" t="s">
        <v>178</v>
      </c>
      <c r="E376" t="s">
        <v>1</v>
      </c>
      <c r="F376" s="1"/>
      <c r="G376" t="s">
        <v>353</v>
      </c>
      <c r="H376" s="1">
        <v>38200</v>
      </c>
      <c r="I376" s="2">
        <v>0</v>
      </c>
      <c r="J376" s="2">
        <v>16292.28</v>
      </c>
      <c r="K376" t="s">
        <v>1</v>
      </c>
      <c r="L376" t="s">
        <v>171</v>
      </c>
      <c r="M376" t="s">
        <v>695</v>
      </c>
      <c r="N376" s="2">
        <v>16292.28</v>
      </c>
      <c r="O376" t="str">
        <f>IFERROR(VLOOKUP($A376,Accounts!$A:$G,3,FALSE),"")</f>
        <v/>
      </c>
    </row>
    <row r="377" spans="1:15" outlineLevel="2" x14ac:dyDescent="0.2">
      <c r="A377" t="str">
        <f t="shared" si="5"/>
        <v>141008019799959</v>
      </c>
      <c r="B377" t="s">
        <v>0</v>
      </c>
      <c r="C377" t="s">
        <v>2</v>
      </c>
      <c r="D377" t="s">
        <v>178</v>
      </c>
      <c r="E377" t="s">
        <v>1</v>
      </c>
      <c r="F377" s="1"/>
      <c r="G377" t="s">
        <v>352</v>
      </c>
      <c r="H377" s="1">
        <v>38200</v>
      </c>
      <c r="I377" s="2">
        <v>0</v>
      </c>
      <c r="J377" s="2">
        <v>959</v>
      </c>
      <c r="K377" t="s">
        <v>1</v>
      </c>
      <c r="L377" t="s">
        <v>171</v>
      </c>
      <c r="M377" t="s">
        <v>695</v>
      </c>
      <c r="N377" s="2">
        <v>959</v>
      </c>
      <c r="O377" t="str">
        <f>IFERROR(VLOOKUP($A377,Accounts!$A:$G,3,FALSE),"")</f>
        <v/>
      </c>
    </row>
    <row r="378" spans="1:15" outlineLevel="2" x14ac:dyDescent="0.2">
      <c r="A378" t="str">
        <f t="shared" si="5"/>
        <v>141008019699959</v>
      </c>
      <c r="B378" t="s">
        <v>0</v>
      </c>
      <c r="C378" t="s">
        <v>2</v>
      </c>
      <c r="D378" t="s">
        <v>178</v>
      </c>
      <c r="E378" t="s">
        <v>1</v>
      </c>
      <c r="F378" s="1"/>
      <c r="G378" t="s">
        <v>351</v>
      </c>
      <c r="H378" s="1">
        <v>38200</v>
      </c>
      <c r="I378" s="2">
        <v>0</v>
      </c>
      <c r="J378" s="2">
        <v>959</v>
      </c>
      <c r="K378" t="s">
        <v>1</v>
      </c>
      <c r="L378" t="s">
        <v>171</v>
      </c>
      <c r="M378" t="s">
        <v>695</v>
      </c>
      <c r="N378" s="2">
        <v>959</v>
      </c>
      <c r="O378" t="str">
        <f>IFERROR(VLOOKUP($A378,Accounts!$A:$G,3,FALSE),"")</f>
        <v/>
      </c>
    </row>
    <row r="379" spans="1:15" outlineLevel="2" x14ac:dyDescent="0.2">
      <c r="A379" t="str">
        <f t="shared" si="5"/>
        <v>1410080195992013.9</v>
      </c>
      <c r="B379" t="s">
        <v>0</v>
      </c>
      <c r="C379" t="s">
        <v>2</v>
      </c>
      <c r="D379" t="s">
        <v>178</v>
      </c>
      <c r="E379" t="s">
        <v>1</v>
      </c>
      <c r="F379" s="1"/>
      <c r="G379" t="s">
        <v>350</v>
      </c>
      <c r="H379" s="1">
        <v>38200</v>
      </c>
      <c r="I379" s="2">
        <v>0</v>
      </c>
      <c r="J379" s="2">
        <v>2013.9</v>
      </c>
      <c r="K379" t="s">
        <v>1</v>
      </c>
      <c r="L379" t="s">
        <v>171</v>
      </c>
      <c r="M379" t="s">
        <v>695</v>
      </c>
      <c r="N379" s="2">
        <v>2013.9</v>
      </c>
      <c r="O379" t="str">
        <f>IFERROR(VLOOKUP($A379,Accounts!$A:$G,3,FALSE),"")</f>
        <v/>
      </c>
    </row>
    <row r="380" spans="1:15" outlineLevel="2" x14ac:dyDescent="0.2">
      <c r="A380" t="str">
        <f t="shared" si="5"/>
        <v>141008014999291.93</v>
      </c>
      <c r="B380" t="s">
        <v>0</v>
      </c>
      <c r="C380" t="s">
        <v>2</v>
      </c>
      <c r="D380" t="s">
        <v>178</v>
      </c>
      <c r="E380" t="s">
        <v>1</v>
      </c>
      <c r="F380" s="1"/>
      <c r="G380" t="s">
        <v>349</v>
      </c>
      <c r="H380" s="1">
        <v>38200</v>
      </c>
      <c r="I380" s="2">
        <v>0</v>
      </c>
      <c r="J380" s="2">
        <v>291.93</v>
      </c>
      <c r="K380" t="s">
        <v>1</v>
      </c>
      <c r="L380" t="s">
        <v>171</v>
      </c>
      <c r="M380" t="s">
        <v>695</v>
      </c>
      <c r="N380" s="2">
        <v>291.93</v>
      </c>
      <c r="O380" t="str">
        <f>IFERROR(VLOOKUP($A380,Accounts!$A:$G,3,FALSE),"")</f>
        <v/>
      </c>
    </row>
    <row r="381" spans="1:15" outlineLevel="2" x14ac:dyDescent="0.2">
      <c r="A381" t="str">
        <f t="shared" si="5"/>
        <v>1410080146991525.95</v>
      </c>
      <c r="B381" t="s">
        <v>0</v>
      </c>
      <c r="C381" t="s">
        <v>2</v>
      </c>
      <c r="D381" t="s">
        <v>178</v>
      </c>
      <c r="E381" t="s">
        <v>1</v>
      </c>
      <c r="F381" s="1"/>
      <c r="G381" t="s">
        <v>348</v>
      </c>
      <c r="H381" s="1">
        <v>38200</v>
      </c>
      <c r="I381" s="2">
        <v>0</v>
      </c>
      <c r="J381" s="2">
        <v>1525.95</v>
      </c>
      <c r="K381" t="s">
        <v>1</v>
      </c>
      <c r="L381" t="s">
        <v>171</v>
      </c>
      <c r="M381" t="s">
        <v>695</v>
      </c>
      <c r="N381" s="2">
        <v>1525.95</v>
      </c>
      <c r="O381" t="str">
        <f>IFERROR(VLOOKUP($A381,Accounts!$A:$G,3,FALSE),"")</f>
        <v/>
      </c>
    </row>
    <row r="382" spans="1:15" outlineLevel="2" x14ac:dyDescent="0.2">
      <c r="A382" t="str">
        <f t="shared" si="5"/>
        <v>1410080131991988.55</v>
      </c>
      <c r="B382" t="s">
        <v>0</v>
      </c>
      <c r="C382" t="s">
        <v>2</v>
      </c>
      <c r="D382" t="s">
        <v>178</v>
      </c>
      <c r="E382" t="s">
        <v>1</v>
      </c>
      <c r="F382" s="1"/>
      <c r="G382" t="s">
        <v>347</v>
      </c>
      <c r="H382" s="1">
        <v>38200</v>
      </c>
      <c r="I382" s="2">
        <v>0</v>
      </c>
      <c r="J382" s="2">
        <v>1988.55</v>
      </c>
      <c r="K382" t="s">
        <v>1</v>
      </c>
      <c r="L382" t="s">
        <v>171</v>
      </c>
      <c r="M382" t="s">
        <v>695</v>
      </c>
      <c r="N382" s="2">
        <v>1988.55</v>
      </c>
      <c r="O382" t="str">
        <f>IFERROR(VLOOKUP($A382,Accounts!$A:$G,3,FALSE),"")</f>
        <v/>
      </c>
    </row>
    <row r="383" spans="1:15" outlineLevel="2" x14ac:dyDescent="0.2">
      <c r="A383" t="str">
        <f t="shared" si="5"/>
        <v>1410080130991459.66</v>
      </c>
      <c r="B383" t="s">
        <v>0</v>
      </c>
      <c r="C383" t="s">
        <v>2</v>
      </c>
      <c r="D383" t="s">
        <v>178</v>
      </c>
      <c r="E383" t="s">
        <v>1</v>
      </c>
      <c r="F383" s="1"/>
      <c r="G383" t="s">
        <v>346</v>
      </c>
      <c r="H383" s="1">
        <v>38200</v>
      </c>
      <c r="I383" s="2">
        <v>0</v>
      </c>
      <c r="J383" s="2">
        <v>1459.66</v>
      </c>
      <c r="K383" t="s">
        <v>1</v>
      </c>
      <c r="L383" t="s">
        <v>171</v>
      </c>
      <c r="M383" t="s">
        <v>695</v>
      </c>
      <c r="N383" s="2">
        <v>1459.66</v>
      </c>
      <c r="O383" t="str">
        <f>IFERROR(VLOOKUP($A383,Accounts!$A:$G,3,FALSE),"")</f>
        <v/>
      </c>
    </row>
    <row r="384" spans="1:15" outlineLevel="2" x14ac:dyDescent="0.2">
      <c r="A384" t="str">
        <f t="shared" si="5"/>
        <v>1410080129992335.45</v>
      </c>
      <c r="B384" t="s">
        <v>0</v>
      </c>
      <c r="C384" t="s">
        <v>2</v>
      </c>
      <c r="D384" t="s">
        <v>178</v>
      </c>
      <c r="E384" t="s">
        <v>1</v>
      </c>
      <c r="F384" s="1"/>
      <c r="G384" t="s">
        <v>345</v>
      </c>
      <c r="H384" s="1">
        <v>38200</v>
      </c>
      <c r="I384" s="2">
        <v>0</v>
      </c>
      <c r="J384" s="2">
        <v>2335.4499999999998</v>
      </c>
      <c r="K384" t="s">
        <v>1</v>
      </c>
      <c r="L384" t="s">
        <v>171</v>
      </c>
      <c r="M384" t="s">
        <v>695</v>
      </c>
      <c r="N384" s="2">
        <v>2335.4499999999998</v>
      </c>
      <c r="O384" t="str">
        <f>IFERROR(VLOOKUP($A384,Accounts!$A:$G,3,FALSE),"")</f>
        <v/>
      </c>
    </row>
    <row r="385" spans="1:15" outlineLevel="2" x14ac:dyDescent="0.2">
      <c r="A385" t="str">
        <f t="shared" si="5"/>
        <v>1410080127993110.21</v>
      </c>
      <c r="B385" t="s">
        <v>0</v>
      </c>
      <c r="C385" t="s">
        <v>2</v>
      </c>
      <c r="D385" t="s">
        <v>178</v>
      </c>
      <c r="E385" t="s">
        <v>1</v>
      </c>
      <c r="F385" s="1"/>
      <c r="G385" t="s">
        <v>344</v>
      </c>
      <c r="H385" s="1">
        <v>38200</v>
      </c>
      <c r="I385" s="2">
        <v>0</v>
      </c>
      <c r="J385" s="2">
        <v>3110.21</v>
      </c>
      <c r="K385" t="s">
        <v>1</v>
      </c>
      <c r="L385" t="s">
        <v>171</v>
      </c>
      <c r="M385" t="s">
        <v>695</v>
      </c>
      <c r="N385" s="2">
        <v>3110.21</v>
      </c>
      <c r="O385" t="str">
        <f>IFERROR(VLOOKUP($A385,Accounts!$A:$G,3,FALSE),"")</f>
        <v/>
      </c>
    </row>
    <row r="386" spans="1:15" outlineLevel="2" x14ac:dyDescent="0.2">
      <c r="A386" t="str">
        <f t="shared" si="5"/>
        <v>1410080126991493.02</v>
      </c>
      <c r="B386" t="s">
        <v>0</v>
      </c>
      <c r="C386" t="s">
        <v>2</v>
      </c>
      <c r="D386" t="s">
        <v>178</v>
      </c>
      <c r="E386" t="s">
        <v>1</v>
      </c>
      <c r="F386" s="1"/>
      <c r="G386" t="s">
        <v>343</v>
      </c>
      <c r="H386" s="1">
        <v>38200</v>
      </c>
      <c r="I386" s="2">
        <v>0</v>
      </c>
      <c r="J386" s="2">
        <v>1493.02</v>
      </c>
      <c r="K386" t="s">
        <v>1</v>
      </c>
      <c r="L386" t="s">
        <v>171</v>
      </c>
      <c r="M386" t="s">
        <v>695</v>
      </c>
      <c r="N386" s="2">
        <v>1493.02</v>
      </c>
      <c r="O386" t="str">
        <f>IFERROR(VLOOKUP($A386,Accounts!$A:$G,3,FALSE),"")</f>
        <v/>
      </c>
    </row>
    <row r="387" spans="1:15" outlineLevel="2" x14ac:dyDescent="0.2">
      <c r="A387" t="str">
        <f t="shared" si="5"/>
        <v>1410080125991560.3</v>
      </c>
      <c r="B387" t="s">
        <v>0</v>
      </c>
      <c r="C387" t="s">
        <v>2</v>
      </c>
      <c r="D387" t="s">
        <v>178</v>
      </c>
      <c r="E387" t="s">
        <v>1</v>
      </c>
      <c r="F387" s="1"/>
      <c r="G387" t="s">
        <v>342</v>
      </c>
      <c r="H387" s="1">
        <v>38200</v>
      </c>
      <c r="I387" s="2">
        <v>0</v>
      </c>
      <c r="J387" s="2">
        <v>1560.3</v>
      </c>
      <c r="K387" t="s">
        <v>1</v>
      </c>
      <c r="L387" t="s">
        <v>171</v>
      </c>
      <c r="M387" t="s">
        <v>695</v>
      </c>
      <c r="N387" s="2">
        <v>1560.3</v>
      </c>
      <c r="O387" t="str">
        <f>IFERROR(VLOOKUP($A387,Accounts!$A:$G,3,FALSE),"")</f>
        <v/>
      </c>
    </row>
    <row r="388" spans="1:15" outlineLevel="2" x14ac:dyDescent="0.2">
      <c r="A388" t="str">
        <f t="shared" si="5"/>
        <v>1410080124992996.72</v>
      </c>
      <c r="B388" t="s">
        <v>0</v>
      </c>
      <c r="C388" t="s">
        <v>2</v>
      </c>
      <c r="D388" t="s">
        <v>178</v>
      </c>
      <c r="E388" t="s">
        <v>1</v>
      </c>
      <c r="F388" s="1"/>
      <c r="G388" t="s">
        <v>341</v>
      </c>
      <c r="H388" s="1">
        <v>38200</v>
      </c>
      <c r="I388" s="2">
        <v>0</v>
      </c>
      <c r="J388" s="2">
        <v>2996.72</v>
      </c>
      <c r="K388" t="s">
        <v>1</v>
      </c>
      <c r="L388" t="s">
        <v>171</v>
      </c>
      <c r="M388" t="s">
        <v>695</v>
      </c>
      <c r="N388" s="2">
        <v>2996.72</v>
      </c>
      <c r="O388" t="str">
        <f>IFERROR(VLOOKUP($A388,Accounts!$A:$G,3,FALSE),"")</f>
        <v/>
      </c>
    </row>
    <row r="389" spans="1:15" outlineLevel="2" x14ac:dyDescent="0.2">
      <c r="A389" t="str">
        <f t="shared" si="5"/>
        <v>141008009899978.2</v>
      </c>
      <c r="B389" t="s">
        <v>0</v>
      </c>
      <c r="C389" t="s">
        <v>2</v>
      </c>
      <c r="D389" t="s">
        <v>178</v>
      </c>
      <c r="E389" t="s">
        <v>1</v>
      </c>
      <c r="F389" s="1"/>
      <c r="G389" t="s">
        <v>340</v>
      </c>
      <c r="H389" s="1">
        <v>38200</v>
      </c>
      <c r="I389" s="2">
        <v>0</v>
      </c>
      <c r="J389" s="2">
        <v>978.2</v>
      </c>
      <c r="K389" t="s">
        <v>1</v>
      </c>
      <c r="L389" t="s">
        <v>171</v>
      </c>
      <c r="M389" t="s">
        <v>695</v>
      </c>
      <c r="N389" s="2">
        <v>978.2</v>
      </c>
      <c r="O389" t="str">
        <f>IFERROR(VLOOKUP($A389,Accounts!$A:$G,3,FALSE),"")</f>
        <v/>
      </c>
    </row>
    <row r="390" spans="1:15" outlineLevel="2" x14ac:dyDescent="0.2">
      <c r="A390" t="str">
        <f t="shared" si="5"/>
        <v>1410080097996195.27</v>
      </c>
      <c r="B390" t="s">
        <v>0</v>
      </c>
      <c r="C390" t="s">
        <v>2</v>
      </c>
      <c r="D390" t="s">
        <v>178</v>
      </c>
      <c r="E390" t="s">
        <v>1</v>
      </c>
      <c r="F390" s="1"/>
      <c r="G390" t="s">
        <v>339</v>
      </c>
      <c r="H390" s="1">
        <v>38200</v>
      </c>
      <c r="I390" s="2">
        <v>0</v>
      </c>
      <c r="J390" s="2">
        <v>6195.27</v>
      </c>
      <c r="K390" t="s">
        <v>1</v>
      </c>
      <c r="L390" t="s">
        <v>171</v>
      </c>
      <c r="M390" t="s">
        <v>695</v>
      </c>
      <c r="N390" s="2">
        <v>6195.27</v>
      </c>
      <c r="O390" t="str">
        <f>IFERROR(VLOOKUP($A390,Accounts!$A:$G,3,FALSE),"")</f>
        <v/>
      </c>
    </row>
    <row r="391" spans="1:15" outlineLevel="2" x14ac:dyDescent="0.2">
      <c r="A391" t="str">
        <f t="shared" si="5"/>
        <v>1410080071993931.2</v>
      </c>
      <c r="B391" t="s">
        <v>0</v>
      </c>
      <c r="C391" t="s">
        <v>2</v>
      </c>
      <c r="D391" t="s">
        <v>178</v>
      </c>
      <c r="E391" t="s">
        <v>1</v>
      </c>
      <c r="F391" s="1"/>
      <c r="G391" t="s">
        <v>338</v>
      </c>
      <c r="H391" s="1">
        <v>38200</v>
      </c>
      <c r="I391" s="2">
        <v>0</v>
      </c>
      <c r="J391" s="2">
        <v>3931.2</v>
      </c>
      <c r="K391" t="s">
        <v>1</v>
      </c>
      <c r="L391" t="s">
        <v>171</v>
      </c>
      <c r="M391" t="s">
        <v>695</v>
      </c>
      <c r="N391" s="2">
        <v>3931.2</v>
      </c>
      <c r="O391" t="str">
        <f>IFERROR(VLOOKUP($A391,Accounts!$A:$G,3,FALSE),"")</f>
        <v/>
      </c>
    </row>
    <row r="392" spans="1:15" outlineLevel="2" x14ac:dyDescent="0.2">
      <c r="A392" t="str">
        <f t="shared" si="5"/>
        <v>1410080070993968</v>
      </c>
      <c r="B392" t="s">
        <v>0</v>
      </c>
      <c r="C392" t="s">
        <v>2</v>
      </c>
      <c r="D392" t="s">
        <v>178</v>
      </c>
      <c r="E392" t="s">
        <v>1</v>
      </c>
      <c r="F392" s="1"/>
      <c r="G392" t="s">
        <v>337</v>
      </c>
      <c r="H392" s="1">
        <v>38200</v>
      </c>
      <c r="I392" s="2">
        <v>0</v>
      </c>
      <c r="J392" s="2">
        <v>3968</v>
      </c>
      <c r="K392" t="s">
        <v>1</v>
      </c>
      <c r="L392" t="s">
        <v>171</v>
      </c>
      <c r="M392" t="s">
        <v>695</v>
      </c>
      <c r="N392" s="2">
        <v>3968</v>
      </c>
      <c r="O392" t="str">
        <f>IFERROR(VLOOKUP($A392,Accounts!$A:$G,3,FALSE),"")</f>
        <v/>
      </c>
    </row>
    <row r="393" spans="1:15" outlineLevel="2" x14ac:dyDescent="0.2">
      <c r="A393" t="str">
        <f t="shared" si="5"/>
        <v>1410080069994394.14</v>
      </c>
      <c r="B393" t="s">
        <v>0</v>
      </c>
      <c r="C393" t="s">
        <v>2</v>
      </c>
      <c r="D393" t="s">
        <v>178</v>
      </c>
      <c r="E393" t="s">
        <v>1</v>
      </c>
      <c r="F393" s="1"/>
      <c r="G393" t="s">
        <v>336</v>
      </c>
      <c r="H393" s="1">
        <v>38200</v>
      </c>
      <c r="I393" s="2">
        <v>0</v>
      </c>
      <c r="J393" s="2">
        <v>4394.1400000000003</v>
      </c>
      <c r="K393" t="s">
        <v>1</v>
      </c>
      <c r="L393" t="s">
        <v>171</v>
      </c>
      <c r="M393" t="s">
        <v>695</v>
      </c>
      <c r="N393" s="2">
        <v>4394.1400000000003</v>
      </c>
      <c r="O393" t="str">
        <f>IFERROR(VLOOKUP($A393,Accounts!$A:$G,3,FALSE),"")</f>
        <v/>
      </c>
    </row>
    <row r="394" spans="1:15" outlineLevel="2" x14ac:dyDescent="0.2">
      <c r="A394" t="str">
        <f t="shared" ref="A394:A457" si="6">IFERROR(IF(J394=0,E394&amp;C394&amp;I394,G394&amp;B394&amp;J394),"")</f>
        <v>141008005899819</v>
      </c>
      <c r="B394" t="s">
        <v>0</v>
      </c>
      <c r="C394" t="s">
        <v>2</v>
      </c>
      <c r="D394" t="s">
        <v>178</v>
      </c>
      <c r="E394" t="s">
        <v>1</v>
      </c>
      <c r="F394" s="1"/>
      <c r="G394" t="s">
        <v>335</v>
      </c>
      <c r="H394" s="1">
        <v>38200</v>
      </c>
      <c r="I394" s="2">
        <v>0</v>
      </c>
      <c r="J394" s="2">
        <v>819</v>
      </c>
      <c r="K394" t="s">
        <v>1</v>
      </c>
      <c r="L394" t="s">
        <v>171</v>
      </c>
      <c r="M394" t="s">
        <v>695</v>
      </c>
      <c r="N394" s="2">
        <v>819</v>
      </c>
      <c r="O394" t="str">
        <f>IFERROR(VLOOKUP($A394,Accounts!$A:$G,3,FALSE),"")</f>
        <v/>
      </c>
    </row>
    <row r="395" spans="1:15" outlineLevel="2" x14ac:dyDescent="0.2">
      <c r="A395" t="str">
        <f t="shared" si="6"/>
        <v>1410080057991474.2</v>
      </c>
      <c r="B395" t="s">
        <v>0</v>
      </c>
      <c r="C395" t="s">
        <v>2</v>
      </c>
      <c r="D395" t="s">
        <v>178</v>
      </c>
      <c r="E395" t="s">
        <v>1</v>
      </c>
      <c r="F395" s="1"/>
      <c r="G395" t="s">
        <v>334</v>
      </c>
      <c r="H395" s="1">
        <v>38200</v>
      </c>
      <c r="I395" s="2">
        <v>0</v>
      </c>
      <c r="J395" s="2">
        <v>1474.2</v>
      </c>
      <c r="K395" t="s">
        <v>1</v>
      </c>
      <c r="L395" t="s">
        <v>171</v>
      </c>
      <c r="M395" t="s">
        <v>695</v>
      </c>
      <c r="N395" s="2">
        <v>1474.2</v>
      </c>
      <c r="O395" t="str">
        <f>IFERROR(VLOOKUP($A395,Accounts!$A:$G,3,FALSE),"")</f>
        <v/>
      </c>
    </row>
    <row r="396" spans="1:15" outlineLevel="2" x14ac:dyDescent="0.2">
      <c r="A396" t="str">
        <f t="shared" si="6"/>
        <v>141008005699652.13</v>
      </c>
      <c r="B396" t="s">
        <v>0</v>
      </c>
      <c r="C396" t="s">
        <v>2</v>
      </c>
      <c r="D396" t="s">
        <v>178</v>
      </c>
      <c r="E396" t="s">
        <v>1</v>
      </c>
      <c r="F396" s="1"/>
      <c r="G396" t="s">
        <v>333</v>
      </c>
      <c r="H396" s="1">
        <v>38200</v>
      </c>
      <c r="I396" s="2">
        <v>0</v>
      </c>
      <c r="J396" s="2">
        <v>652.13</v>
      </c>
      <c r="K396" t="s">
        <v>1</v>
      </c>
      <c r="L396" t="s">
        <v>171</v>
      </c>
      <c r="M396" t="s">
        <v>695</v>
      </c>
      <c r="N396" s="2">
        <v>652.13</v>
      </c>
      <c r="O396" t="str">
        <f>IFERROR(VLOOKUP($A396,Accounts!$A:$G,3,FALSE),"")</f>
        <v/>
      </c>
    </row>
    <row r="397" spans="1:15" outlineLevel="2" x14ac:dyDescent="0.2">
      <c r="A397" t="str">
        <f t="shared" si="6"/>
        <v>1410080055992606.45</v>
      </c>
      <c r="B397" t="s">
        <v>0</v>
      </c>
      <c r="C397" t="s">
        <v>2</v>
      </c>
      <c r="D397" t="s">
        <v>178</v>
      </c>
      <c r="E397" t="s">
        <v>1</v>
      </c>
      <c r="F397" s="1"/>
      <c r="G397" t="s">
        <v>332</v>
      </c>
      <c r="H397" s="1">
        <v>38200</v>
      </c>
      <c r="I397" s="2">
        <v>0</v>
      </c>
      <c r="J397" s="2">
        <v>2606.4499999999998</v>
      </c>
      <c r="K397" t="s">
        <v>1</v>
      </c>
      <c r="L397" t="s">
        <v>171</v>
      </c>
      <c r="M397" t="s">
        <v>695</v>
      </c>
      <c r="N397" s="2">
        <v>2606.4499999999998</v>
      </c>
      <c r="O397" t="str">
        <f>IFERROR(VLOOKUP($A397,Accounts!$A:$G,3,FALSE),"")</f>
        <v/>
      </c>
    </row>
    <row r="398" spans="1:15" outlineLevel="2" x14ac:dyDescent="0.2">
      <c r="A398" t="str">
        <f t="shared" si="6"/>
        <v>1410080054991339</v>
      </c>
      <c r="B398" t="s">
        <v>0</v>
      </c>
      <c r="C398" t="s">
        <v>2</v>
      </c>
      <c r="D398" t="s">
        <v>178</v>
      </c>
      <c r="E398" t="s">
        <v>1</v>
      </c>
      <c r="F398" s="1"/>
      <c r="G398" t="s">
        <v>331</v>
      </c>
      <c r="H398" s="1">
        <v>38200</v>
      </c>
      <c r="I398" s="2">
        <v>0</v>
      </c>
      <c r="J398" s="2">
        <v>1339</v>
      </c>
      <c r="K398" t="s">
        <v>1</v>
      </c>
      <c r="L398" t="s">
        <v>171</v>
      </c>
      <c r="M398" t="s">
        <v>695</v>
      </c>
      <c r="N398" s="2">
        <v>1339</v>
      </c>
      <c r="O398" t="str">
        <f>IFERROR(VLOOKUP($A398,Accounts!$A:$G,3,FALSE),"")</f>
        <v/>
      </c>
    </row>
    <row r="399" spans="1:15" outlineLevel="2" x14ac:dyDescent="0.2">
      <c r="A399" t="str">
        <f t="shared" si="6"/>
        <v>1410080053992256</v>
      </c>
      <c r="B399" t="s">
        <v>0</v>
      </c>
      <c r="C399" t="s">
        <v>2</v>
      </c>
      <c r="D399" t="s">
        <v>178</v>
      </c>
      <c r="E399" t="s">
        <v>1</v>
      </c>
      <c r="F399" s="1"/>
      <c r="G399" t="s">
        <v>330</v>
      </c>
      <c r="H399" s="1">
        <v>38200</v>
      </c>
      <c r="I399" s="2">
        <v>0</v>
      </c>
      <c r="J399" s="2">
        <v>2256</v>
      </c>
      <c r="K399" t="s">
        <v>1</v>
      </c>
      <c r="L399" t="s">
        <v>171</v>
      </c>
      <c r="M399" t="s">
        <v>695</v>
      </c>
      <c r="N399" s="2">
        <v>2256</v>
      </c>
      <c r="O399" t="str">
        <f>IFERROR(VLOOKUP($A399,Accounts!$A:$G,3,FALSE),"")</f>
        <v/>
      </c>
    </row>
    <row r="400" spans="1:15" outlineLevel="2" x14ac:dyDescent="0.2">
      <c r="A400" t="str">
        <f t="shared" si="6"/>
        <v>1410080052992593.5</v>
      </c>
      <c r="B400" t="s">
        <v>0</v>
      </c>
      <c r="C400" t="s">
        <v>2</v>
      </c>
      <c r="D400" t="s">
        <v>178</v>
      </c>
      <c r="E400" t="s">
        <v>1</v>
      </c>
      <c r="F400" s="1"/>
      <c r="G400" t="s">
        <v>329</v>
      </c>
      <c r="H400" s="1">
        <v>38200</v>
      </c>
      <c r="I400" s="2">
        <v>0</v>
      </c>
      <c r="J400" s="2">
        <v>2593.5</v>
      </c>
      <c r="K400" t="s">
        <v>1</v>
      </c>
      <c r="L400" t="s">
        <v>171</v>
      </c>
      <c r="M400" t="s">
        <v>695</v>
      </c>
      <c r="N400" s="2">
        <v>2593.5</v>
      </c>
      <c r="O400" t="str">
        <f>IFERROR(VLOOKUP($A400,Accounts!$A:$G,3,FALSE),"")</f>
        <v/>
      </c>
    </row>
    <row r="401" spans="1:15" outlineLevel="2" x14ac:dyDescent="0.2">
      <c r="A401" t="str">
        <f t="shared" si="6"/>
        <v>1410080051996521.34</v>
      </c>
      <c r="B401" t="s">
        <v>0</v>
      </c>
      <c r="C401" t="s">
        <v>2</v>
      </c>
      <c r="D401" t="s">
        <v>178</v>
      </c>
      <c r="E401" t="s">
        <v>1</v>
      </c>
      <c r="F401" s="1"/>
      <c r="G401" t="s">
        <v>328</v>
      </c>
      <c r="H401" s="1">
        <v>38200</v>
      </c>
      <c r="I401" s="2">
        <v>0</v>
      </c>
      <c r="J401" s="2">
        <v>6521.34</v>
      </c>
      <c r="K401" t="s">
        <v>1</v>
      </c>
      <c r="L401" t="s">
        <v>171</v>
      </c>
      <c r="M401" t="s">
        <v>695</v>
      </c>
      <c r="N401" s="2">
        <v>6521.34</v>
      </c>
      <c r="O401" t="str">
        <f>IFERROR(VLOOKUP($A401,Accounts!$A:$G,3,FALSE),"")</f>
        <v/>
      </c>
    </row>
    <row r="402" spans="1:15" outlineLevel="2" x14ac:dyDescent="0.2">
      <c r="A402" t="str">
        <f t="shared" si="6"/>
        <v>1410080045991760.8</v>
      </c>
      <c r="B402" t="s">
        <v>0</v>
      </c>
      <c r="C402" t="s">
        <v>2</v>
      </c>
      <c r="D402" t="s">
        <v>178</v>
      </c>
      <c r="E402" t="s">
        <v>1</v>
      </c>
      <c r="F402" s="1"/>
      <c r="G402" t="s">
        <v>327</v>
      </c>
      <c r="H402" s="1">
        <v>38200</v>
      </c>
      <c r="I402" s="2">
        <v>0</v>
      </c>
      <c r="J402" s="2">
        <v>1760.8</v>
      </c>
      <c r="K402" t="s">
        <v>1</v>
      </c>
      <c r="L402" t="s">
        <v>171</v>
      </c>
      <c r="M402" t="s">
        <v>695</v>
      </c>
      <c r="N402" s="2">
        <v>1760.8</v>
      </c>
      <c r="O402" t="str">
        <f>IFERROR(VLOOKUP($A402,Accounts!$A:$G,3,FALSE),"")</f>
        <v/>
      </c>
    </row>
    <row r="403" spans="1:15" outlineLevel="2" x14ac:dyDescent="0.2">
      <c r="A403" t="str">
        <f t="shared" si="6"/>
        <v>1410080044991612.8</v>
      </c>
      <c r="B403" t="s">
        <v>0</v>
      </c>
      <c r="C403" t="s">
        <v>2</v>
      </c>
      <c r="D403" t="s">
        <v>178</v>
      </c>
      <c r="E403" t="s">
        <v>1</v>
      </c>
      <c r="F403" s="1"/>
      <c r="G403" t="s">
        <v>326</v>
      </c>
      <c r="H403" s="1">
        <v>38200</v>
      </c>
      <c r="I403" s="2">
        <v>0</v>
      </c>
      <c r="J403" s="2">
        <v>1612.8</v>
      </c>
      <c r="K403" t="s">
        <v>1</v>
      </c>
      <c r="L403" t="s">
        <v>171</v>
      </c>
      <c r="M403" t="s">
        <v>695</v>
      </c>
      <c r="N403" s="2">
        <v>1612.8</v>
      </c>
      <c r="O403" t="str">
        <f>IFERROR(VLOOKUP($A403,Accounts!$A:$G,3,FALSE),"")</f>
        <v/>
      </c>
    </row>
    <row r="404" spans="1:15" outlineLevel="2" x14ac:dyDescent="0.2">
      <c r="A404" t="str">
        <f t="shared" si="6"/>
        <v>1410080043991260</v>
      </c>
      <c r="B404" t="s">
        <v>0</v>
      </c>
      <c r="C404" t="s">
        <v>2</v>
      </c>
      <c r="D404" t="s">
        <v>178</v>
      </c>
      <c r="E404" t="s">
        <v>1</v>
      </c>
      <c r="F404" s="1"/>
      <c r="G404" t="s">
        <v>325</v>
      </c>
      <c r="H404" s="1">
        <v>38200</v>
      </c>
      <c r="I404" s="2">
        <v>0</v>
      </c>
      <c r="J404" s="2">
        <v>1260</v>
      </c>
      <c r="K404" t="s">
        <v>1</v>
      </c>
      <c r="L404" t="s">
        <v>171</v>
      </c>
      <c r="M404" t="s">
        <v>695</v>
      </c>
      <c r="N404" s="2">
        <v>1260</v>
      </c>
      <c r="O404" t="str">
        <f>IFERROR(VLOOKUP($A404,Accounts!$A:$G,3,FALSE),"")</f>
        <v/>
      </c>
    </row>
    <row r="405" spans="1:15" outlineLevel="2" x14ac:dyDescent="0.2">
      <c r="A405" t="str">
        <f t="shared" si="6"/>
        <v>141008000999-138.94</v>
      </c>
      <c r="B405" t="s">
        <v>0</v>
      </c>
      <c r="C405" t="s">
        <v>2</v>
      </c>
      <c r="D405" t="s">
        <v>178</v>
      </c>
      <c r="E405" t="s">
        <v>1</v>
      </c>
      <c r="F405" s="1"/>
      <c r="G405" t="s">
        <v>324</v>
      </c>
      <c r="H405" s="1">
        <v>38200</v>
      </c>
      <c r="I405" s="2">
        <v>0</v>
      </c>
      <c r="J405" s="2">
        <v>-138.94</v>
      </c>
      <c r="K405" t="s">
        <v>1</v>
      </c>
      <c r="L405" t="s">
        <v>171</v>
      </c>
      <c r="M405" t="s">
        <v>695</v>
      </c>
      <c r="N405" s="2">
        <v>-138.94</v>
      </c>
      <c r="O405" t="str">
        <f>IFERROR(VLOOKUP($A405,Accounts!$A:$G,3,FALSE),"")</f>
        <v/>
      </c>
    </row>
    <row r="406" spans="1:15" outlineLevel="2" x14ac:dyDescent="0.2">
      <c r="A406" t="str">
        <f t="shared" si="6"/>
        <v>141008000799-4067.7</v>
      </c>
      <c r="B406" t="s">
        <v>0</v>
      </c>
      <c r="C406" t="s">
        <v>2</v>
      </c>
      <c r="D406" t="s">
        <v>178</v>
      </c>
      <c r="E406" t="s">
        <v>1</v>
      </c>
      <c r="F406" s="1"/>
      <c r="G406" t="s">
        <v>323</v>
      </c>
      <c r="H406" s="1">
        <v>38200</v>
      </c>
      <c r="I406" s="2">
        <v>0</v>
      </c>
      <c r="J406" s="2">
        <v>-4067.7</v>
      </c>
      <c r="K406" t="s">
        <v>1</v>
      </c>
      <c r="L406" t="s">
        <v>171</v>
      </c>
      <c r="M406" t="s">
        <v>695</v>
      </c>
      <c r="N406" s="2">
        <v>-4067.7</v>
      </c>
      <c r="O406" t="str">
        <f>IFERROR(VLOOKUP($A406,Accounts!$A:$G,3,FALSE),"")</f>
        <v/>
      </c>
    </row>
    <row r="407" spans="1:15" outlineLevel="2" x14ac:dyDescent="0.2">
      <c r="A407" t="str">
        <f t="shared" si="6"/>
        <v>-916788.11</v>
      </c>
      <c r="B407" s="3" t="s">
        <v>1</v>
      </c>
      <c r="C407" s="3" t="s">
        <v>2</v>
      </c>
      <c r="D407" s="3" t="s">
        <v>1</v>
      </c>
      <c r="E407" s="3" t="s">
        <v>1</v>
      </c>
      <c r="F407" s="4"/>
      <c r="G407" s="3" t="s">
        <v>1</v>
      </c>
      <c r="H407" s="4"/>
      <c r="I407" s="5">
        <v>1085436.57</v>
      </c>
      <c r="J407" s="5">
        <v>-916788.11</v>
      </c>
      <c r="K407" s="3" t="s">
        <v>1</v>
      </c>
      <c r="L407" s="3" t="s">
        <v>1</v>
      </c>
      <c r="M407" s="3" t="s">
        <v>1</v>
      </c>
      <c r="N407" s="5">
        <v>168648.46</v>
      </c>
      <c r="O407" t="str">
        <f>IFERROR(VLOOKUP($A407,Accounts!$A:$G,3,FALSE),"")</f>
        <v/>
      </c>
    </row>
    <row r="408" spans="1:15" outlineLevel="2" x14ac:dyDescent="0.2">
      <c r="A408" t="str">
        <f t="shared" si="6"/>
        <v>1410080168149238</v>
      </c>
      <c r="B408" t="s">
        <v>0</v>
      </c>
      <c r="C408" t="s">
        <v>6</v>
      </c>
      <c r="D408" t="s">
        <v>178</v>
      </c>
      <c r="E408" t="s">
        <v>696</v>
      </c>
      <c r="F408" s="1">
        <v>38200</v>
      </c>
      <c r="G408" t="s">
        <v>1</v>
      </c>
      <c r="H408" s="1"/>
      <c r="I408" s="2">
        <v>238</v>
      </c>
      <c r="J408" s="2">
        <v>0</v>
      </c>
      <c r="K408" t="s">
        <v>171</v>
      </c>
      <c r="L408" t="s">
        <v>1</v>
      </c>
      <c r="M408" t="s">
        <v>697</v>
      </c>
      <c r="N408" s="2">
        <v>238</v>
      </c>
      <c r="O408" t="str">
        <f>IFERROR(VLOOKUP($A408,Accounts!$A:$G,3,FALSE),"")</f>
        <v/>
      </c>
    </row>
    <row r="409" spans="1:15" outlineLevel="2" x14ac:dyDescent="0.2">
      <c r="A409" t="str">
        <f t="shared" si="6"/>
        <v>655558149-238</v>
      </c>
      <c r="B409" t="s">
        <v>0</v>
      </c>
      <c r="C409" t="s">
        <v>6</v>
      </c>
      <c r="D409" t="s">
        <v>178</v>
      </c>
      <c r="E409" t="s">
        <v>170</v>
      </c>
      <c r="F409" s="1">
        <v>38223</v>
      </c>
      <c r="G409" t="s">
        <v>1</v>
      </c>
      <c r="H409" s="1"/>
      <c r="I409" s="2">
        <v>-238</v>
      </c>
      <c r="J409" s="2">
        <v>0</v>
      </c>
      <c r="K409" t="s">
        <v>171</v>
      </c>
      <c r="L409" t="s">
        <v>1</v>
      </c>
      <c r="M409" t="s">
        <v>697</v>
      </c>
      <c r="N409" s="2">
        <v>-238</v>
      </c>
      <c r="O409" t="str">
        <f>IFERROR(VLOOKUP($A409,Accounts!$A:$G,3,FALSE),"")</f>
        <v/>
      </c>
    </row>
    <row r="410" spans="1:15" outlineLevel="2" x14ac:dyDescent="0.2">
      <c r="A410" t="str">
        <f t="shared" si="6"/>
        <v>1490</v>
      </c>
      <c r="B410" s="3" t="s">
        <v>1</v>
      </c>
      <c r="C410" s="3" t="s">
        <v>6</v>
      </c>
      <c r="D410" s="3" t="s">
        <v>1</v>
      </c>
      <c r="E410" s="3" t="s">
        <v>1</v>
      </c>
      <c r="F410" s="4"/>
      <c r="G410" s="3" t="s">
        <v>1</v>
      </c>
      <c r="H410" s="4"/>
      <c r="I410" s="5">
        <v>0</v>
      </c>
      <c r="J410" s="5">
        <v>0</v>
      </c>
      <c r="K410" s="3" t="s">
        <v>1</v>
      </c>
      <c r="L410" s="3" t="s">
        <v>1</v>
      </c>
      <c r="M410" s="3" t="s">
        <v>1</v>
      </c>
      <c r="N410" s="5">
        <v>0</v>
      </c>
      <c r="O410" t="str">
        <f>IFERROR(VLOOKUP($A410,Accounts!$A:$G,3,FALSE),"")</f>
        <v/>
      </c>
    </row>
    <row r="411" spans="1:15" outlineLevel="2" x14ac:dyDescent="0.2">
      <c r="A411" t="str">
        <f t="shared" si="6"/>
        <v>14100801422101406.09</v>
      </c>
      <c r="B411" t="s">
        <v>0</v>
      </c>
      <c r="C411" t="s">
        <v>357</v>
      </c>
      <c r="D411" t="s">
        <v>178</v>
      </c>
      <c r="E411" t="s">
        <v>698</v>
      </c>
      <c r="F411" s="1">
        <v>38200</v>
      </c>
      <c r="G411" t="s">
        <v>1</v>
      </c>
      <c r="H411" s="1"/>
      <c r="I411" s="2">
        <v>1406.09</v>
      </c>
      <c r="J411" s="2">
        <v>0</v>
      </c>
      <c r="K411" t="s">
        <v>171</v>
      </c>
      <c r="L411" t="s">
        <v>1</v>
      </c>
      <c r="M411" t="s">
        <v>358</v>
      </c>
      <c r="N411" s="2">
        <v>1406.09</v>
      </c>
      <c r="O411" t="str">
        <f>IFERROR(VLOOKUP($A411,Accounts!$A:$G,3,FALSE),"")</f>
        <v/>
      </c>
    </row>
    <row r="412" spans="1:15" outlineLevel="2" x14ac:dyDescent="0.2">
      <c r="A412" t="str">
        <f t="shared" si="6"/>
        <v>655558210-1406.09</v>
      </c>
      <c r="B412" t="s">
        <v>0</v>
      </c>
      <c r="C412" t="s">
        <v>357</v>
      </c>
      <c r="D412" t="s">
        <v>178</v>
      </c>
      <c r="E412" t="s">
        <v>170</v>
      </c>
      <c r="F412" s="1">
        <v>38223</v>
      </c>
      <c r="G412" t="s">
        <v>1</v>
      </c>
      <c r="H412" s="1"/>
      <c r="I412" s="2">
        <v>-1406.09</v>
      </c>
      <c r="J412" s="2">
        <v>0</v>
      </c>
      <c r="K412" t="s">
        <v>171</v>
      </c>
      <c r="L412" t="s">
        <v>1</v>
      </c>
      <c r="M412" t="s">
        <v>358</v>
      </c>
      <c r="N412" s="2">
        <v>-1406.09</v>
      </c>
      <c r="O412" t="str">
        <f>IFERROR(VLOOKUP($A412,Accounts!$A:$G,3,FALSE),"")</f>
        <v/>
      </c>
    </row>
    <row r="413" spans="1:15" outlineLevel="2" x14ac:dyDescent="0.2">
      <c r="A413" t="str">
        <f t="shared" si="6"/>
        <v>240000009099-654.8</v>
      </c>
      <c r="B413" t="s">
        <v>0</v>
      </c>
      <c r="C413" t="s">
        <v>357</v>
      </c>
      <c r="D413" t="s">
        <v>169</v>
      </c>
      <c r="E413" t="s">
        <v>1</v>
      </c>
      <c r="F413" s="1"/>
      <c r="G413" t="s">
        <v>699</v>
      </c>
      <c r="H413" s="1">
        <v>38195</v>
      </c>
      <c r="I413" s="2">
        <v>0</v>
      </c>
      <c r="J413" s="2">
        <v>-654.79999999999995</v>
      </c>
      <c r="K413" t="s">
        <v>1</v>
      </c>
      <c r="L413" t="s">
        <v>171</v>
      </c>
      <c r="M413" t="s">
        <v>358</v>
      </c>
      <c r="N413" s="2">
        <v>-654.79999999999995</v>
      </c>
      <c r="O413" t="str">
        <f>IFERROR(VLOOKUP($A413,Accounts!$A:$G,3,FALSE),"")</f>
        <v/>
      </c>
    </row>
    <row r="414" spans="1:15" outlineLevel="2" x14ac:dyDescent="0.2">
      <c r="A414" t="str">
        <f t="shared" si="6"/>
        <v>240000005099-1406.09</v>
      </c>
      <c r="B414" t="s">
        <v>0</v>
      </c>
      <c r="C414" t="s">
        <v>357</v>
      </c>
      <c r="D414" t="s">
        <v>169</v>
      </c>
      <c r="E414" t="s">
        <v>1</v>
      </c>
      <c r="F414" s="1"/>
      <c r="G414" t="s">
        <v>700</v>
      </c>
      <c r="H414" s="1">
        <v>38162</v>
      </c>
      <c r="I414" s="2">
        <v>0</v>
      </c>
      <c r="J414" s="2">
        <v>-1406.09</v>
      </c>
      <c r="K414" t="s">
        <v>1</v>
      </c>
      <c r="L414" t="s">
        <v>171</v>
      </c>
      <c r="M414" t="s">
        <v>358</v>
      </c>
      <c r="N414" s="2">
        <v>-1406.09</v>
      </c>
      <c r="O414" t="str">
        <f>IFERROR(VLOOKUP($A414,Accounts!$A:$G,3,FALSE),"")</f>
        <v/>
      </c>
    </row>
    <row r="415" spans="1:15" outlineLevel="2" x14ac:dyDescent="0.2">
      <c r="A415" t="str">
        <f t="shared" si="6"/>
        <v>600199991369.76</v>
      </c>
      <c r="B415" t="s">
        <v>0</v>
      </c>
      <c r="C415" t="s">
        <v>357</v>
      </c>
      <c r="D415" t="s">
        <v>169</v>
      </c>
      <c r="E415" t="s">
        <v>1</v>
      </c>
      <c r="F415" s="1"/>
      <c r="G415" t="s">
        <v>359</v>
      </c>
      <c r="H415" s="1">
        <v>38200</v>
      </c>
      <c r="I415" s="2">
        <v>0</v>
      </c>
      <c r="J415" s="2">
        <v>1369.76</v>
      </c>
      <c r="K415" t="s">
        <v>1</v>
      </c>
      <c r="L415" t="s">
        <v>171</v>
      </c>
      <c r="M415" t="s">
        <v>358</v>
      </c>
      <c r="N415" s="2">
        <v>1369.76</v>
      </c>
      <c r="O415" t="str">
        <f>IFERROR(VLOOKUP($A415,Accounts!$A:$G,3,FALSE),"")</f>
        <v/>
      </c>
    </row>
    <row r="416" spans="1:15" outlineLevel="2" x14ac:dyDescent="0.2">
      <c r="A416" t="str">
        <f t="shared" si="6"/>
        <v>-2060.89</v>
      </c>
      <c r="B416" s="3" t="s">
        <v>1</v>
      </c>
      <c r="C416" s="3" t="s">
        <v>357</v>
      </c>
      <c r="D416" s="3" t="s">
        <v>1</v>
      </c>
      <c r="E416" s="3" t="s">
        <v>1</v>
      </c>
      <c r="F416" s="4"/>
      <c r="G416" s="3" t="s">
        <v>1</v>
      </c>
      <c r="H416" s="4"/>
      <c r="I416" s="5">
        <v>0</v>
      </c>
      <c r="J416" s="5">
        <v>-2060.89</v>
      </c>
      <c r="K416" s="3" t="s">
        <v>1</v>
      </c>
      <c r="L416" s="3" t="s">
        <v>1</v>
      </c>
      <c r="M416" s="3" t="s">
        <v>1</v>
      </c>
      <c r="N416" s="5">
        <v>-2060.89</v>
      </c>
      <c r="O416" t="str">
        <f>IFERROR(VLOOKUP($A416,Accounts!$A:$G,3,FALSE),"")</f>
        <v/>
      </c>
    </row>
    <row r="417" spans="1:15" outlineLevel="2" x14ac:dyDescent="0.2">
      <c r="A417" t="str">
        <f t="shared" si="6"/>
        <v>1369.76</v>
      </c>
      <c r="B417" s="3" t="s">
        <v>1</v>
      </c>
      <c r="C417" s="3" t="s">
        <v>1</v>
      </c>
      <c r="D417" s="3" t="s">
        <v>1</v>
      </c>
      <c r="E417" s="3" t="s">
        <v>1</v>
      </c>
      <c r="F417" s="4"/>
      <c r="G417" s="3" t="s">
        <v>1</v>
      </c>
      <c r="H417" s="4"/>
      <c r="I417" s="5">
        <v>0</v>
      </c>
      <c r="J417" s="5">
        <v>1369.76</v>
      </c>
      <c r="K417" s="3" t="s">
        <v>1</v>
      </c>
      <c r="L417" s="3" t="s">
        <v>1</v>
      </c>
      <c r="M417" s="3" t="s">
        <v>1</v>
      </c>
      <c r="N417" s="5">
        <v>1369.76</v>
      </c>
      <c r="O417" t="str">
        <f>IFERROR(VLOOKUP($A417,Accounts!$A:$G,3,FALSE),"")</f>
        <v/>
      </c>
    </row>
    <row r="418" spans="1:15" outlineLevel="2" x14ac:dyDescent="0.2">
      <c r="A418" t="str">
        <f t="shared" si="6"/>
        <v>1600000688287-10033.42</v>
      </c>
      <c r="B418" t="s">
        <v>0</v>
      </c>
      <c r="C418" t="s">
        <v>397</v>
      </c>
      <c r="D418" t="s">
        <v>100</v>
      </c>
      <c r="E418" t="s">
        <v>529</v>
      </c>
      <c r="F418" s="1">
        <v>43493</v>
      </c>
      <c r="G418" t="s">
        <v>1</v>
      </c>
      <c r="H418" s="1"/>
      <c r="I418" s="2">
        <v>-10033.42</v>
      </c>
      <c r="J418" s="2">
        <v>0</v>
      </c>
      <c r="K418" t="s">
        <v>474</v>
      </c>
      <c r="L418" t="s">
        <v>1</v>
      </c>
      <c r="M418" t="s">
        <v>398</v>
      </c>
      <c r="N418" s="2">
        <v>-10033.42</v>
      </c>
      <c r="O418" t="str">
        <f>IFERROR(VLOOKUP($A418,Accounts!$A:$G,3,FALSE),"")</f>
        <v/>
      </c>
    </row>
    <row r="419" spans="1:15" outlineLevel="2" x14ac:dyDescent="0.2">
      <c r="A419" t="str">
        <f t="shared" si="6"/>
        <v>1600000693287-11238.64</v>
      </c>
      <c r="B419" t="s">
        <v>0</v>
      </c>
      <c r="C419" t="s">
        <v>397</v>
      </c>
      <c r="D419" t="s">
        <v>100</v>
      </c>
      <c r="E419" t="s">
        <v>530</v>
      </c>
      <c r="F419" s="1">
        <v>43493</v>
      </c>
      <c r="G419" t="s">
        <v>1</v>
      </c>
      <c r="H419" s="1"/>
      <c r="I419" s="2">
        <v>-11238.64</v>
      </c>
      <c r="J419" s="2">
        <v>0</v>
      </c>
      <c r="K419" t="s">
        <v>474</v>
      </c>
      <c r="L419" t="s">
        <v>1</v>
      </c>
      <c r="M419" t="s">
        <v>398</v>
      </c>
      <c r="N419" s="2">
        <v>-11238.64</v>
      </c>
      <c r="O419" t="str">
        <f>IFERROR(VLOOKUP($A419,Accounts!$A:$G,3,FALSE),"")</f>
        <v/>
      </c>
    </row>
    <row r="420" spans="1:15" outlineLevel="2" x14ac:dyDescent="0.2">
      <c r="A420" t="str">
        <f t="shared" si="6"/>
        <v>1600000684287-10120.54</v>
      </c>
      <c r="B420" t="s">
        <v>0</v>
      </c>
      <c r="C420" t="s">
        <v>397</v>
      </c>
      <c r="D420" t="s">
        <v>100</v>
      </c>
      <c r="E420" t="s">
        <v>503</v>
      </c>
      <c r="F420" s="1">
        <v>43480</v>
      </c>
      <c r="G420" t="s">
        <v>1</v>
      </c>
      <c r="H420" s="1"/>
      <c r="I420" s="2">
        <v>-10120.540000000001</v>
      </c>
      <c r="J420" s="2">
        <v>0</v>
      </c>
      <c r="K420" t="s">
        <v>474</v>
      </c>
      <c r="L420" t="s">
        <v>1</v>
      </c>
      <c r="M420" t="s">
        <v>398</v>
      </c>
      <c r="N420" s="2">
        <v>-10120.540000000001</v>
      </c>
      <c r="O420" t="str">
        <f>IFERROR(VLOOKUP($A420,Accounts!$A:$G,3,FALSE),"")</f>
        <v/>
      </c>
    </row>
    <row r="421" spans="1:15" outlineLevel="2" x14ac:dyDescent="0.2">
      <c r="A421" t="str">
        <f t="shared" si="6"/>
        <v>1600000316287-10069.39</v>
      </c>
      <c r="B421" t="s">
        <v>0</v>
      </c>
      <c r="C421" t="s">
        <v>397</v>
      </c>
      <c r="D421" t="s">
        <v>100</v>
      </c>
      <c r="E421" t="s">
        <v>505</v>
      </c>
      <c r="F421" s="1">
        <v>43480</v>
      </c>
      <c r="G421" t="s">
        <v>1</v>
      </c>
      <c r="H421" s="1"/>
      <c r="I421" s="2">
        <v>-10069.39</v>
      </c>
      <c r="J421" s="2">
        <v>0</v>
      </c>
      <c r="K421" t="s">
        <v>474</v>
      </c>
      <c r="L421" t="s">
        <v>1</v>
      </c>
      <c r="M421" t="s">
        <v>398</v>
      </c>
      <c r="N421" s="2">
        <v>-10069.39</v>
      </c>
      <c r="O421" t="str">
        <f>IFERROR(VLOOKUP($A421,Accounts!$A:$G,3,FALSE),"")</f>
        <v/>
      </c>
    </row>
    <row r="422" spans="1:15" outlineLevel="2" x14ac:dyDescent="0.2">
      <c r="A422" t="str">
        <f t="shared" si="6"/>
        <v>1600000314287-10372.93</v>
      </c>
      <c r="B422" t="s">
        <v>0</v>
      </c>
      <c r="C422" t="s">
        <v>397</v>
      </c>
      <c r="D422" t="s">
        <v>100</v>
      </c>
      <c r="E422" t="s">
        <v>506</v>
      </c>
      <c r="F422" s="1">
        <v>43480</v>
      </c>
      <c r="G422" t="s">
        <v>1</v>
      </c>
      <c r="H422" s="1"/>
      <c r="I422" s="2">
        <v>-10372.93</v>
      </c>
      <c r="J422" s="2">
        <v>0</v>
      </c>
      <c r="K422" t="s">
        <v>474</v>
      </c>
      <c r="L422" t="s">
        <v>1</v>
      </c>
      <c r="M422" t="s">
        <v>398</v>
      </c>
      <c r="N422" s="2">
        <v>-10372.93</v>
      </c>
      <c r="O422" t="str">
        <f>IFERROR(VLOOKUP($A422,Accounts!$A:$G,3,FALSE),"")</f>
        <v/>
      </c>
    </row>
    <row r="423" spans="1:15" outlineLevel="2" x14ac:dyDescent="0.2">
      <c r="A423" t="str">
        <f t="shared" si="6"/>
        <v>1600000317287-10404.51</v>
      </c>
      <c r="B423" t="s">
        <v>0</v>
      </c>
      <c r="C423" t="s">
        <v>397</v>
      </c>
      <c r="D423" t="s">
        <v>100</v>
      </c>
      <c r="E423" t="s">
        <v>507</v>
      </c>
      <c r="F423" s="1">
        <v>43480</v>
      </c>
      <c r="G423" t="s">
        <v>1</v>
      </c>
      <c r="H423" s="1"/>
      <c r="I423" s="2">
        <v>-10404.51</v>
      </c>
      <c r="J423" s="2">
        <v>0</v>
      </c>
      <c r="K423" t="s">
        <v>474</v>
      </c>
      <c r="L423" t="s">
        <v>1</v>
      </c>
      <c r="M423" t="s">
        <v>398</v>
      </c>
      <c r="N423" s="2">
        <v>-10404.51</v>
      </c>
      <c r="O423" t="str">
        <f>IFERROR(VLOOKUP($A423,Accounts!$A:$G,3,FALSE),"")</f>
        <v/>
      </c>
    </row>
    <row r="424" spans="1:15" outlineLevel="2" x14ac:dyDescent="0.2">
      <c r="A424" t="str">
        <f t="shared" si="6"/>
        <v>1600000318287-10536.98</v>
      </c>
      <c r="B424" t="s">
        <v>0</v>
      </c>
      <c r="C424" t="s">
        <v>397</v>
      </c>
      <c r="D424" t="s">
        <v>100</v>
      </c>
      <c r="E424" t="s">
        <v>508</v>
      </c>
      <c r="F424" s="1">
        <v>43480</v>
      </c>
      <c r="G424" t="s">
        <v>1</v>
      </c>
      <c r="H424" s="1"/>
      <c r="I424" s="2">
        <v>-10536.98</v>
      </c>
      <c r="J424" s="2">
        <v>0</v>
      </c>
      <c r="K424" t="s">
        <v>474</v>
      </c>
      <c r="L424" t="s">
        <v>1</v>
      </c>
      <c r="M424" t="s">
        <v>398</v>
      </c>
      <c r="N424" s="2">
        <v>-10536.98</v>
      </c>
      <c r="O424" t="str">
        <f>IFERROR(VLOOKUP($A424,Accounts!$A:$G,3,FALSE),"")</f>
        <v/>
      </c>
    </row>
    <row r="425" spans="1:15" outlineLevel="2" x14ac:dyDescent="0.2">
      <c r="A425" t="str">
        <f t="shared" si="6"/>
        <v>1600000696287-11318.83</v>
      </c>
      <c r="B425" t="s">
        <v>0</v>
      </c>
      <c r="C425" t="s">
        <v>397</v>
      </c>
      <c r="D425" t="s">
        <v>100</v>
      </c>
      <c r="E425" t="s">
        <v>531</v>
      </c>
      <c r="F425" s="1">
        <v>43493</v>
      </c>
      <c r="G425" t="s">
        <v>1</v>
      </c>
      <c r="H425" s="1"/>
      <c r="I425" s="2">
        <v>-11318.83</v>
      </c>
      <c r="J425" s="2">
        <v>0</v>
      </c>
      <c r="K425" t="s">
        <v>474</v>
      </c>
      <c r="L425" t="s">
        <v>1</v>
      </c>
      <c r="M425" t="s">
        <v>398</v>
      </c>
      <c r="N425" s="2">
        <v>-11318.83</v>
      </c>
      <c r="O425" t="str">
        <f>IFERROR(VLOOKUP($A425,Accounts!$A:$G,3,FALSE),"")</f>
        <v/>
      </c>
    </row>
    <row r="426" spans="1:15" outlineLevel="2" x14ac:dyDescent="0.2">
      <c r="A426" t="str">
        <f t="shared" si="6"/>
        <v>1600000687287-10721.16</v>
      </c>
      <c r="B426" t="s">
        <v>0</v>
      </c>
      <c r="C426" t="s">
        <v>397</v>
      </c>
      <c r="D426" t="s">
        <v>100</v>
      </c>
      <c r="E426" t="s">
        <v>537</v>
      </c>
      <c r="F426" s="1">
        <v>43493</v>
      </c>
      <c r="G426" t="s">
        <v>1</v>
      </c>
      <c r="H426" s="1"/>
      <c r="I426" s="2">
        <v>-10721.16</v>
      </c>
      <c r="J426" s="2">
        <v>0</v>
      </c>
      <c r="K426" t="s">
        <v>474</v>
      </c>
      <c r="L426" t="s">
        <v>1</v>
      </c>
      <c r="M426" t="s">
        <v>398</v>
      </c>
      <c r="N426" s="2">
        <v>-10721.16</v>
      </c>
      <c r="O426" t="str">
        <f>IFERROR(VLOOKUP($A426,Accounts!$A:$G,3,FALSE),"")</f>
        <v/>
      </c>
    </row>
    <row r="427" spans="1:15" outlineLevel="2" x14ac:dyDescent="0.2">
      <c r="A427" t="str">
        <f t="shared" si="6"/>
        <v>1600000695287-10997.86</v>
      </c>
      <c r="B427" t="s">
        <v>0</v>
      </c>
      <c r="C427" t="s">
        <v>397</v>
      </c>
      <c r="D427" t="s">
        <v>100</v>
      </c>
      <c r="E427" t="s">
        <v>534</v>
      </c>
      <c r="F427" s="1">
        <v>43493</v>
      </c>
      <c r="G427" t="s">
        <v>1</v>
      </c>
      <c r="H427" s="1"/>
      <c r="I427" s="2">
        <v>-10997.86</v>
      </c>
      <c r="J427" s="2">
        <v>0</v>
      </c>
      <c r="K427" t="s">
        <v>474</v>
      </c>
      <c r="L427" t="s">
        <v>1</v>
      </c>
      <c r="M427" t="s">
        <v>398</v>
      </c>
      <c r="N427" s="2">
        <v>-10997.86</v>
      </c>
      <c r="O427" t="str">
        <f>IFERROR(VLOOKUP($A427,Accounts!$A:$G,3,FALSE),"")</f>
        <v/>
      </c>
    </row>
    <row r="428" spans="1:15" outlineLevel="2" x14ac:dyDescent="0.2">
      <c r="A428" t="str">
        <f t="shared" si="6"/>
        <v>1600000327287-10606.19</v>
      </c>
      <c r="B428" t="s">
        <v>0</v>
      </c>
      <c r="C428" t="s">
        <v>397</v>
      </c>
      <c r="D428" t="s">
        <v>100</v>
      </c>
      <c r="E428" t="s">
        <v>511</v>
      </c>
      <c r="F428" s="1">
        <v>43480</v>
      </c>
      <c r="G428" t="s">
        <v>1</v>
      </c>
      <c r="H428" s="1"/>
      <c r="I428" s="2">
        <v>-10606.19</v>
      </c>
      <c r="J428" s="2">
        <v>0</v>
      </c>
      <c r="K428" t="s">
        <v>474</v>
      </c>
      <c r="L428" t="s">
        <v>1</v>
      </c>
      <c r="M428" t="s">
        <v>398</v>
      </c>
      <c r="N428" s="2">
        <v>-10606.19</v>
      </c>
      <c r="O428" t="str">
        <f>IFERROR(VLOOKUP($A428,Accounts!$A:$G,3,FALSE),"")</f>
        <v/>
      </c>
    </row>
    <row r="429" spans="1:15" outlineLevel="2" x14ac:dyDescent="0.2">
      <c r="A429" t="str">
        <f t="shared" si="6"/>
        <v>1600000719287-10627.62</v>
      </c>
      <c r="B429" t="s">
        <v>0</v>
      </c>
      <c r="C429" t="s">
        <v>397</v>
      </c>
      <c r="D429" t="s">
        <v>100</v>
      </c>
      <c r="E429" t="s">
        <v>527</v>
      </c>
      <c r="F429" s="1">
        <v>43493</v>
      </c>
      <c r="G429" t="s">
        <v>1</v>
      </c>
      <c r="H429" s="1"/>
      <c r="I429" s="2">
        <v>-10627.62</v>
      </c>
      <c r="J429" s="2">
        <v>0</v>
      </c>
      <c r="K429" t="s">
        <v>474</v>
      </c>
      <c r="L429" t="s">
        <v>1</v>
      </c>
      <c r="M429" t="s">
        <v>398</v>
      </c>
      <c r="N429" s="2">
        <v>-10627.62</v>
      </c>
      <c r="O429" t="str">
        <f>IFERROR(VLOOKUP($A429,Accounts!$A:$G,3,FALSE),"")</f>
        <v/>
      </c>
    </row>
    <row r="430" spans="1:15" outlineLevel="2" x14ac:dyDescent="0.2">
      <c r="A430" t="str">
        <f t="shared" si="6"/>
        <v>1600000565287-10245.72</v>
      </c>
      <c r="B430" t="s">
        <v>0</v>
      </c>
      <c r="C430" t="s">
        <v>397</v>
      </c>
      <c r="D430" t="s">
        <v>100</v>
      </c>
      <c r="E430" t="s">
        <v>526</v>
      </c>
      <c r="F430" s="1">
        <v>43488</v>
      </c>
      <c r="G430" t="s">
        <v>1</v>
      </c>
      <c r="H430" s="1"/>
      <c r="I430" s="2">
        <v>-10245.719999999999</v>
      </c>
      <c r="J430" s="2">
        <v>0</v>
      </c>
      <c r="K430" t="s">
        <v>474</v>
      </c>
      <c r="L430" t="s">
        <v>1</v>
      </c>
      <c r="M430" t="s">
        <v>398</v>
      </c>
      <c r="N430" s="2">
        <v>-10245.719999999999</v>
      </c>
      <c r="O430" t="str">
        <f>IFERROR(VLOOKUP($A430,Accounts!$A:$G,3,FALSE),"")</f>
        <v/>
      </c>
    </row>
    <row r="431" spans="1:15" outlineLevel="2" x14ac:dyDescent="0.2">
      <c r="A431" t="str">
        <f t="shared" si="6"/>
        <v>1600000567287-10150.3</v>
      </c>
      <c r="B431" t="s">
        <v>0</v>
      </c>
      <c r="C431" t="s">
        <v>397</v>
      </c>
      <c r="D431" t="s">
        <v>100</v>
      </c>
      <c r="E431" t="s">
        <v>524</v>
      </c>
      <c r="F431" s="1">
        <v>43488</v>
      </c>
      <c r="G431" t="s">
        <v>1</v>
      </c>
      <c r="H431" s="1"/>
      <c r="I431" s="2">
        <v>-10150.299999999999</v>
      </c>
      <c r="J431" s="2">
        <v>0</v>
      </c>
      <c r="K431" t="s">
        <v>474</v>
      </c>
      <c r="L431" t="s">
        <v>1</v>
      </c>
      <c r="M431" t="s">
        <v>398</v>
      </c>
      <c r="N431" s="2">
        <v>-10150.299999999999</v>
      </c>
      <c r="O431" t="str">
        <f>IFERROR(VLOOKUP($A431,Accounts!$A:$G,3,FALSE),"")</f>
        <v/>
      </c>
    </row>
    <row r="432" spans="1:15" outlineLevel="2" x14ac:dyDescent="0.2">
      <c r="A432" t="str">
        <f t="shared" si="6"/>
        <v>1600000563287-9984.56</v>
      </c>
      <c r="B432" t="s">
        <v>0</v>
      </c>
      <c r="C432" t="s">
        <v>397</v>
      </c>
      <c r="D432" t="s">
        <v>100</v>
      </c>
      <c r="E432" t="s">
        <v>525</v>
      </c>
      <c r="F432" s="1">
        <v>43488</v>
      </c>
      <c r="G432" t="s">
        <v>1</v>
      </c>
      <c r="H432" s="1"/>
      <c r="I432" s="2">
        <v>-9984.56</v>
      </c>
      <c r="J432" s="2">
        <v>0</v>
      </c>
      <c r="K432" t="s">
        <v>474</v>
      </c>
      <c r="L432" t="s">
        <v>1</v>
      </c>
      <c r="M432" t="s">
        <v>398</v>
      </c>
      <c r="N432" s="2">
        <v>-9984.56</v>
      </c>
      <c r="O432" t="str">
        <f>IFERROR(VLOOKUP($A432,Accounts!$A:$G,3,FALSE),"")</f>
        <v/>
      </c>
    </row>
    <row r="433" spans="1:15" outlineLevel="2" x14ac:dyDescent="0.2">
      <c r="A433" t="str">
        <f t="shared" si="6"/>
        <v>1600000682287-10052.26</v>
      </c>
      <c r="B433" t="s">
        <v>0</v>
      </c>
      <c r="C433" t="s">
        <v>397</v>
      </c>
      <c r="D433" t="s">
        <v>100</v>
      </c>
      <c r="E433" t="s">
        <v>502</v>
      </c>
      <c r="F433" s="1">
        <v>43480</v>
      </c>
      <c r="G433" t="s">
        <v>1</v>
      </c>
      <c r="H433" s="1"/>
      <c r="I433" s="2">
        <v>-10052.26</v>
      </c>
      <c r="J433" s="2">
        <v>0</v>
      </c>
      <c r="K433" t="s">
        <v>474</v>
      </c>
      <c r="L433" t="s">
        <v>1</v>
      </c>
      <c r="M433" t="s">
        <v>398</v>
      </c>
      <c r="N433" s="2">
        <v>-10052.26</v>
      </c>
      <c r="O433" t="str">
        <f>IFERROR(VLOOKUP($A433,Accounts!$A:$G,3,FALSE),"")</f>
        <v/>
      </c>
    </row>
    <row r="434" spans="1:15" outlineLevel="2" x14ac:dyDescent="0.2">
      <c r="A434" t="str">
        <f t="shared" si="6"/>
        <v>11000000322874326.57</v>
      </c>
      <c r="B434" t="s">
        <v>0</v>
      </c>
      <c r="C434" t="s">
        <v>397</v>
      </c>
      <c r="D434" t="s">
        <v>100</v>
      </c>
      <c r="E434" t="s">
        <v>528</v>
      </c>
      <c r="F434" s="1">
        <v>43486</v>
      </c>
      <c r="G434" t="s">
        <v>1</v>
      </c>
      <c r="H434" s="1"/>
      <c r="I434" s="2">
        <v>4326.57</v>
      </c>
      <c r="J434" s="2">
        <v>0</v>
      </c>
      <c r="K434" t="s">
        <v>474</v>
      </c>
      <c r="L434" t="s">
        <v>1</v>
      </c>
      <c r="M434" t="s">
        <v>398</v>
      </c>
      <c r="N434" s="2">
        <v>4326.57</v>
      </c>
      <c r="O434" t="str">
        <f>IFERROR(VLOOKUP($A434,Accounts!$A:$G,3,FALSE),"")</f>
        <v/>
      </c>
    </row>
    <row r="435" spans="1:15" outlineLevel="2" x14ac:dyDescent="0.2">
      <c r="A435" t="str">
        <f t="shared" si="6"/>
        <v>1600000320287-10764.7</v>
      </c>
      <c r="B435" t="s">
        <v>0</v>
      </c>
      <c r="C435" t="s">
        <v>397</v>
      </c>
      <c r="D435" t="s">
        <v>100</v>
      </c>
      <c r="E435" t="s">
        <v>501</v>
      </c>
      <c r="F435" s="1">
        <v>43480</v>
      </c>
      <c r="G435" t="s">
        <v>1</v>
      </c>
      <c r="H435" s="1"/>
      <c r="I435" s="2">
        <v>-10764.7</v>
      </c>
      <c r="J435" s="2">
        <v>0</v>
      </c>
      <c r="K435" t="s">
        <v>474</v>
      </c>
      <c r="L435" t="s">
        <v>1</v>
      </c>
      <c r="M435" t="s">
        <v>398</v>
      </c>
      <c r="N435" s="2">
        <v>-10764.7</v>
      </c>
      <c r="O435" t="str">
        <f>IFERROR(VLOOKUP($A435,Accounts!$A:$G,3,FALSE),"")</f>
        <v/>
      </c>
    </row>
    <row r="436" spans="1:15" outlineLevel="2" x14ac:dyDescent="0.2">
      <c r="A436" t="str">
        <f t="shared" si="6"/>
        <v>1600000450287-10674.51</v>
      </c>
      <c r="B436" t="s">
        <v>0</v>
      </c>
      <c r="C436" t="s">
        <v>397</v>
      </c>
      <c r="D436" t="s">
        <v>100</v>
      </c>
      <c r="E436" t="s">
        <v>532</v>
      </c>
      <c r="F436" s="1">
        <v>43483</v>
      </c>
      <c r="G436" t="s">
        <v>1</v>
      </c>
      <c r="H436" s="1"/>
      <c r="I436" s="2">
        <v>-10674.51</v>
      </c>
      <c r="J436" s="2">
        <v>0</v>
      </c>
      <c r="K436" t="s">
        <v>474</v>
      </c>
      <c r="L436" t="s">
        <v>1</v>
      </c>
      <c r="M436" t="s">
        <v>398</v>
      </c>
      <c r="N436" s="2">
        <v>-10674.51</v>
      </c>
      <c r="O436" t="str">
        <f>IFERROR(VLOOKUP($A436,Accounts!$A:$G,3,FALSE),"")</f>
        <v/>
      </c>
    </row>
    <row r="437" spans="1:15" outlineLevel="2" x14ac:dyDescent="0.2">
      <c r="A437" t="str">
        <f t="shared" si="6"/>
        <v>1600000449287-11827.17</v>
      </c>
      <c r="B437" t="s">
        <v>0</v>
      </c>
      <c r="C437" t="s">
        <v>397</v>
      </c>
      <c r="D437" t="s">
        <v>100</v>
      </c>
      <c r="E437" t="s">
        <v>540</v>
      </c>
      <c r="F437" s="1">
        <v>43483</v>
      </c>
      <c r="G437" t="s">
        <v>1</v>
      </c>
      <c r="H437" s="1"/>
      <c r="I437" s="2">
        <v>-11827.17</v>
      </c>
      <c r="J437" s="2">
        <v>0</v>
      </c>
      <c r="K437" t="s">
        <v>474</v>
      </c>
      <c r="L437" t="s">
        <v>1</v>
      </c>
      <c r="M437" t="s">
        <v>398</v>
      </c>
      <c r="N437" s="2">
        <v>-11827.17</v>
      </c>
      <c r="O437" t="str">
        <f>IFERROR(VLOOKUP($A437,Accounts!$A:$G,3,FALSE),"")</f>
        <v/>
      </c>
    </row>
    <row r="438" spans="1:15" outlineLevel="2" x14ac:dyDescent="0.2">
      <c r="A438" t="str">
        <f t="shared" si="6"/>
        <v>1600000321287-9898.33</v>
      </c>
      <c r="B438" t="s">
        <v>0</v>
      </c>
      <c r="C438" t="s">
        <v>397</v>
      </c>
      <c r="D438" t="s">
        <v>100</v>
      </c>
      <c r="E438" t="s">
        <v>536</v>
      </c>
      <c r="F438" s="1">
        <v>43480</v>
      </c>
      <c r="G438" t="s">
        <v>1</v>
      </c>
      <c r="H438" s="1"/>
      <c r="I438" s="2">
        <v>-9898.33</v>
      </c>
      <c r="J438" s="2">
        <v>0</v>
      </c>
      <c r="K438" t="s">
        <v>474</v>
      </c>
      <c r="L438" t="s">
        <v>1</v>
      </c>
      <c r="M438" t="s">
        <v>398</v>
      </c>
      <c r="N438" s="2">
        <v>-9898.33</v>
      </c>
      <c r="O438" t="str">
        <f>IFERROR(VLOOKUP($A438,Accounts!$A:$G,3,FALSE),"")</f>
        <v/>
      </c>
    </row>
    <row r="439" spans="1:15" outlineLevel="2" x14ac:dyDescent="0.2">
      <c r="A439" t="str">
        <f t="shared" si="6"/>
        <v>1600000319287-11165.93</v>
      </c>
      <c r="B439" t="s">
        <v>0</v>
      </c>
      <c r="C439" t="s">
        <v>397</v>
      </c>
      <c r="D439" t="s">
        <v>100</v>
      </c>
      <c r="E439" t="s">
        <v>535</v>
      </c>
      <c r="F439" s="1">
        <v>43480</v>
      </c>
      <c r="G439" t="s">
        <v>1</v>
      </c>
      <c r="H439" s="1"/>
      <c r="I439" s="2">
        <v>-11165.93</v>
      </c>
      <c r="J439" s="2">
        <v>0</v>
      </c>
      <c r="K439" t="s">
        <v>474</v>
      </c>
      <c r="L439" t="s">
        <v>1</v>
      </c>
      <c r="M439" t="s">
        <v>398</v>
      </c>
      <c r="N439" s="2">
        <v>-11165.93</v>
      </c>
      <c r="O439" t="str">
        <f>IFERROR(VLOOKUP($A439,Accounts!$A:$G,3,FALSE),"")</f>
        <v/>
      </c>
    </row>
    <row r="440" spans="1:15" outlineLevel="2" x14ac:dyDescent="0.2">
      <c r="A440" t="str">
        <f t="shared" si="6"/>
        <v>1600000683287-10590.12</v>
      </c>
      <c r="B440" t="s">
        <v>0</v>
      </c>
      <c r="C440" t="s">
        <v>397</v>
      </c>
      <c r="D440" t="s">
        <v>100</v>
      </c>
      <c r="E440" t="s">
        <v>533</v>
      </c>
      <c r="F440" s="1">
        <v>43481</v>
      </c>
      <c r="G440" t="s">
        <v>1</v>
      </c>
      <c r="H440" s="1"/>
      <c r="I440" s="2">
        <v>-10590.12</v>
      </c>
      <c r="J440" s="2">
        <v>0</v>
      </c>
      <c r="K440" t="s">
        <v>474</v>
      </c>
      <c r="L440" t="s">
        <v>1</v>
      </c>
      <c r="M440" t="s">
        <v>398</v>
      </c>
      <c r="N440" s="2">
        <v>-10590.12</v>
      </c>
      <c r="O440" t="str">
        <f>IFERROR(VLOOKUP($A440,Accounts!$A:$G,3,FALSE),"")</f>
        <v/>
      </c>
    </row>
    <row r="441" spans="1:15" outlineLevel="2" x14ac:dyDescent="0.2">
      <c r="A441" t="str">
        <f t="shared" si="6"/>
        <v>1600000015287-11501.18</v>
      </c>
      <c r="B441" t="s">
        <v>0</v>
      </c>
      <c r="C441" t="s">
        <v>397</v>
      </c>
      <c r="D441" t="s">
        <v>100</v>
      </c>
      <c r="E441" t="s">
        <v>504</v>
      </c>
      <c r="F441" s="1">
        <v>43468</v>
      </c>
      <c r="G441" t="s">
        <v>1</v>
      </c>
      <c r="H441" s="1"/>
      <c r="I441" s="2">
        <v>-11501.18</v>
      </c>
      <c r="J441" s="2">
        <v>0</v>
      </c>
      <c r="K441" t="s">
        <v>474</v>
      </c>
      <c r="L441" t="s">
        <v>1</v>
      </c>
      <c r="M441" t="s">
        <v>398</v>
      </c>
      <c r="N441" s="2">
        <v>-11501.18</v>
      </c>
      <c r="O441" t="str">
        <f>IFERROR(VLOOKUP($A441,Accounts!$A:$G,3,FALSE),"")</f>
        <v/>
      </c>
    </row>
    <row r="442" spans="1:15" outlineLevel="2" x14ac:dyDescent="0.2">
      <c r="A442" t="str">
        <f t="shared" si="6"/>
        <v>1600000027287-10905.72</v>
      </c>
      <c r="B442" t="s">
        <v>0</v>
      </c>
      <c r="C442" t="s">
        <v>397</v>
      </c>
      <c r="D442" t="s">
        <v>100</v>
      </c>
      <c r="E442" t="s">
        <v>509</v>
      </c>
      <c r="F442" s="1">
        <v>43468</v>
      </c>
      <c r="G442" t="s">
        <v>1</v>
      </c>
      <c r="H442" s="1"/>
      <c r="I442" s="2">
        <v>-10905.72</v>
      </c>
      <c r="J442" s="2">
        <v>0</v>
      </c>
      <c r="K442" t="s">
        <v>474</v>
      </c>
      <c r="L442" t="s">
        <v>1</v>
      </c>
      <c r="M442" t="s">
        <v>398</v>
      </c>
      <c r="N442" s="2">
        <v>-10905.72</v>
      </c>
      <c r="O442" t="str">
        <f>IFERROR(VLOOKUP($A442,Accounts!$A:$G,3,FALSE),"")</f>
        <v/>
      </c>
    </row>
    <row r="443" spans="1:15" outlineLevel="2" x14ac:dyDescent="0.2">
      <c r="A443" t="str">
        <f t="shared" si="6"/>
        <v>1600000034287-10156.55</v>
      </c>
      <c r="B443" t="s">
        <v>0</v>
      </c>
      <c r="C443" t="s">
        <v>397</v>
      </c>
      <c r="D443" t="s">
        <v>100</v>
      </c>
      <c r="E443" t="s">
        <v>510</v>
      </c>
      <c r="F443" s="1">
        <v>43468</v>
      </c>
      <c r="G443" t="s">
        <v>1</v>
      </c>
      <c r="H443" s="1"/>
      <c r="I443" s="2">
        <v>-10156.549999999999</v>
      </c>
      <c r="J443" s="2">
        <v>0</v>
      </c>
      <c r="K443" t="s">
        <v>474</v>
      </c>
      <c r="L443" t="s">
        <v>1</v>
      </c>
      <c r="M443" t="s">
        <v>398</v>
      </c>
      <c r="N443" s="2">
        <v>-10156.549999999999</v>
      </c>
      <c r="O443" t="str">
        <f>IFERROR(VLOOKUP($A443,Accounts!$A:$G,3,FALSE),"")</f>
        <v/>
      </c>
    </row>
    <row r="444" spans="1:15" outlineLevel="2" x14ac:dyDescent="0.2">
      <c r="A444" t="str">
        <f t="shared" si="6"/>
        <v>1600000016287-12536.83</v>
      </c>
      <c r="B444" t="s">
        <v>0</v>
      </c>
      <c r="C444" t="s">
        <v>397</v>
      </c>
      <c r="D444" t="s">
        <v>100</v>
      </c>
      <c r="E444" t="s">
        <v>512</v>
      </c>
      <c r="F444" s="1">
        <v>43468</v>
      </c>
      <c r="G444" t="s">
        <v>1</v>
      </c>
      <c r="H444" s="1"/>
      <c r="I444" s="2">
        <v>-12536.83</v>
      </c>
      <c r="J444" s="2">
        <v>0</v>
      </c>
      <c r="K444" t="s">
        <v>474</v>
      </c>
      <c r="L444" t="s">
        <v>1</v>
      </c>
      <c r="M444" t="s">
        <v>398</v>
      </c>
      <c r="N444" s="2">
        <v>-12536.83</v>
      </c>
      <c r="O444" t="str">
        <f>IFERROR(VLOOKUP($A444,Accounts!$A:$G,3,FALSE),"")</f>
        <v/>
      </c>
    </row>
    <row r="445" spans="1:15" outlineLevel="2" x14ac:dyDescent="0.2">
      <c r="A445" t="str">
        <f t="shared" si="6"/>
        <v>1600000029287-10866.39</v>
      </c>
      <c r="B445" t="s">
        <v>0</v>
      </c>
      <c r="C445" t="s">
        <v>397</v>
      </c>
      <c r="D445" t="s">
        <v>100</v>
      </c>
      <c r="E445" t="s">
        <v>514</v>
      </c>
      <c r="F445" s="1">
        <v>43468</v>
      </c>
      <c r="G445" t="s">
        <v>1</v>
      </c>
      <c r="H445" s="1"/>
      <c r="I445" s="2">
        <v>-10866.39</v>
      </c>
      <c r="J445" s="2">
        <v>0</v>
      </c>
      <c r="K445" t="s">
        <v>474</v>
      </c>
      <c r="L445" t="s">
        <v>1</v>
      </c>
      <c r="M445" t="s">
        <v>398</v>
      </c>
      <c r="N445" s="2">
        <v>-10866.39</v>
      </c>
      <c r="O445" t="str">
        <f>IFERROR(VLOOKUP($A445,Accounts!$A:$G,3,FALSE),"")</f>
        <v/>
      </c>
    </row>
    <row r="446" spans="1:15" outlineLevel="2" x14ac:dyDescent="0.2">
      <c r="A446" t="str">
        <f t="shared" si="6"/>
        <v>1600000031287-9989.19</v>
      </c>
      <c r="B446" t="s">
        <v>0</v>
      </c>
      <c r="C446" t="s">
        <v>397</v>
      </c>
      <c r="D446" t="s">
        <v>100</v>
      </c>
      <c r="E446" t="s">
        <v>517</v>
      </c>
      <c r="F446" s="1">
        <v>43468</v>
      </c>
      <c r="G446" t="s">
        <v>1</v>
      </c>
      <c r="H446" s="1"/>
      <c r="I446" s="2">
        <v>-9989.19</v>
      </c>
      <c r="J446" s="2">
        <v>0</v>
      </c>
      <c r="K446" t="s">
        <v>474</v>
      </c>
      <c r="L446" t="s">
        <v>1</v>
      </c>
      <c r="M446" t="s">
        <v>398</v>
      </c>
      <c r="N446" s="2">
        <v>-9989.19</v>
      </c>
      <c r="O446" t="str">
        <f>IFERROR(VLOOKUP($A446,Accounts!$A:$G,3,FALSE),"")</f>
        <v/>
      </c>
    </row>
    <row r="447" spans="1:15" outlineLevel="2" x14ac:dyDescent="0.2">
      <c r="A447" t="str">
        <f t="shared" si="6"/>
        <v>1600000004287-10625.25</v>
      </c>
      <c r="B447" t="s">
        <v>0</v>
      </c>
      <c r="C447" t="s">
        <v>397</v>
      </c>
      <c r="D447" t="s">
        <v>100</v>
      </c>
      <c r="E447" t="s">
        <v>519</v>
      </c>
      <c r="F447" s="1">
        <v>43468</v>
      </c>
      <c r="G447" t="s">
        <v>1</v>
      </c>
      <c r="H447" s="1"/>
      <c r="I447" s="2">
        <v>-10625.25</v>
      </c>
      <c r="J447" s="2">
        <v>0</v>
      </c>
      <c r="K447" t="s">
        <v>474</v>
      </c>
      <c r="L447" t="s">
        <v>1</v>
      </c>
      <c r="M447" t="s">
        <v>398</v>
      </c>
      <c r="N447" s="2">
        <v>-10625.25</v>
      </c>
      <c r="O447" t="str">
        <f>IFERROR(VLOOKUP($A447,Accounts!$A:$G,3,FALSE),"")</f>
        <v/>
      </c>
    </row>
    <row r="448" spans="1:15" outlineLevel="2" x14ac:dyDescent="0.2">
      <c r="A448" t="str">
        <f t="shared" si="6"/>
        <v>1600000192287-11034.61</v>
      </c>
      <c r="B448" t="s">
        <v>0</v>
      </c>
      <c r="C448" t="s">
        <v>397</v>
      </c>
      <c r="D448" t="s">
        <v>100</v>
      </c>
      <c r="E448" t="s">
        <v>521</v>
      </c>
      <c r="F448" s="1">
        <v>43473</v>
      </c>
      <c r="G448" t="s">
        <v>1</v>
      </c>
      <c r="H448" s="1"/>
      <c r="I448" s="2">
        <v>-11034.61</v>
      </c>
      <c r="J448" s="2">
        <v>0</v>
      </c>
      <c r="K448" t="s">
        <v>474</v>
      </c>
      <c r="L448" t="s">
        <v>1</v>
      </c>
      <c r="M448" t="s">
        <v>398</v>
      </c>
      <c r="N448" s="2">
        <v>-11034.61</v>
      </c>
      <c r="O448" t="str">
        <f>IFERROR(VLOOKUP($A448,Accounts!$A:$G,3,FALSE),"")</f>
        <v/>
      </c>
    </row>
    <row r="449" spans="1:15" outlineLevel="2" x14ac:dyDescent="0.2">
      <c r="A449" t="str">
        <f t="shared" si="6"/>
        <v>1600000191287-11088.36</v>
      </c>
      <c r="B449" t="s">
        <v>0</v>
      </c>
      <c r="C449" t="s">
        <v>397</v>
      </c>
      <c r="D449" t="s">
        <v>100</v>
      </c>
      <c r="E449" t="s">
        <v>522</v>
      </c>
      <c r="F449" s="1">
        <v>43473</v>
      </c>
      <c r="G449" t="s">
        <v>1</v>
      </c>
      <c r="H449" s="1"/>
      <c r="I449" s="2">
        <v>-11088.36</v>
      </c>
      <c r="J449" s="2">
        <v>0</v>
      </c>
      <c r="K449" t="s">
        <v>474</v>
      </c>
      <c r="L449" t="s">
        <v>1</v>
      </c>
      <c r="M449" t="s">
        <v>398</v>
      </c>
      <c r="N449" s="2">
        <v>-11088.36</v>
      </c>
      <c r="O449" t="str">
        <f>IFERROR(VLOOKUP($A449,Accounts!$A:$G,3,FALSE),"")</f>
        <v/>
      </c>
    </row>
    <row r="450" spans="1:15" outlineLevel="2" x14ac:dyDescent="0.2">
      <c r="A450" t="str">
        <f t="shared" si="6"/>
        <v>1600000193287-9917.79</v>
      </c>
      <c r="B450" t="s">
        <v>0</v>
      </c>
      <c r="C450" t="s">
        <v>397</v>
      </c>
      <c r="D450" t="s">
        <v>100</v>
      </c>
      <c r="E450" t="s">
        <v>523</v>
      </c>
      <c r="F450" s="1">
        <v>43473</v>
      </c>
      <c r="G450" t="s">
        <v>1</v>
      </c>
      <c r="H450" s="1"/>
      <c r="I450" s="2">
        <v>-9917.7900000000009</v>
      </c>
      <c r="J450" s="2">
        <v>0</v>
      </c>
      <c r="K450" t="s">
        <v>474</v>
      </c>
      <c r="L450" t="s">
        <v>1</v>
      </c>
      <c r="M450" t="s">
        <v>398</v>
      </c>
      <c r="N450" s="2">
        <v>-9917.7900000000009</v>
      </c>
      <c r="O450" t="str">
        <f>IFERROR(VLOOKUP($A450,Accounts!$A:$G,3,FALSE),"")</f>
        <v/>
      </c>
    </row>
    <row r="451" spans="1:15" outlineLevel="2" x14ac:dyDescent="0.2">
      <c r="A451" t="str">
        <f t="shared" si="6"/>
        <v>1600000331287-11226.6</v>
      </c>
      <c r="B451" t="s">
        <v>0</v>
      </c>
      <c r="C451" t="s">
        <v>397</v>
      </c>
      <c r="D451" t="s">
        <v>100</v>
      </c>
      <c r="E451" t="s">
        <v>520</v>
      </c>
      <c r="F451" s="1">
        <v>43480</v>
      </c>
      <c r="G451" t="s">
        <v>1</v>
      </c>
      <c r="H451" s="1"/>
      <c r="I451" s="2">
        <v>-11226.6</v>
      </c>
      <c r="J451" s="2">
        <v>0</v>
      </c>
      <c r="K451" t="s">
        <v>474</v>
      </c>
      <c r="L451" t="s">
        <v>1</v>
      </c>
      <c r="M451" t="s">
        <v>398</v>
      </c>
      <c r="N451" s="2">
        <v>-11226.6</v>
      </c>
      <c r="O451" t="str">
        <f>IFERROR(VLOOKUP($A451,Accounts!$A:$G,3,FALSE),"")</f>
        <v/>
      </c>
    </row>
    <row r="452" spans="1:15" outlineLevel="2" x14ac:dyDescent="0.2">
      <c r="A452" t="str">
        <f t="shared" si="6"/>
        <v>1600000329287-11094.75</v>
      </c>
      <c r="B452" t="s">
        <v>0</v>
      </c>
      <c r="C452" t="s">
        <v>397</v>
      </c>
      <c r="D452" t="s">
        <v>100</v>
      </c>
      <c r="E452" t="s">
        <v>518</v>
      </c>
      <c r="F452" s="1">
        <v>43480</v>
      </c>
      <c r="G452" t="s">
        <v>1</v>
      </c>
      <c r="H452" s="1"/>
      <c r="I452" s="2">
        <v>-11094.75</v>
      </c>
      <c r="J452" s="2">
        <v>0</v>
      </c>
      <c r="K452" t="s">
        <v>474</v>
      </c>
      <c r="L452" t="s">
        <v>1</v>
      </c>
      <c r="M452" t="s">
        <v>398</v>
      </c>
      <c r="N452" s="2">
        <v>-11094.75</v>
      </c>
      <c r="O452" t="str">
        <f>IFERROR(VLOOKUP($A452,Accounts!$A:$G,3,FALSE),"")</f>
        <v/>
      </c>
    </row>
    <row r="453" spans="1:15" outlineLevel="2" x14ac:dyDescent="0.2">
      <c r="A453" t="str">
        <f t="shared" si="6"/>
        <v>1600000322287-10511.66</v>
      </c>
      <c r="B453" t="s">
        <v>0</v>
      </c>
      <c r="C453" t="s">
        <v>397</v>
      </c>
      <c r="D453" t="s">
        <v>100</v>
      </c>
      <c r="E453" t="s">
        <v>516</v>
      </c>
      <c r="F453" s="1">
        <v>43480</v>
      </c>
      <c r="G453" t="s">
        <v>1</v>
      </c>
      <c r="H453" s="1"/>
      <c r="I453" s="2">
        <v>-10511.66</v>
      </c>
      <c r="J453" s="2">
        <v>0</v>
      </c>
      <c r="K453" t="s">
        <v>474</v>
      </c>
      <c r="L453" t="s">
        <v>1</v>
      </c>
      <c r="M453" t="s">
        <v>398</v>
      </c>
      <c r="N453" s="2">
        <v>-10511.66</v>
      </c>
      <c r="O453" t="str">
        <f>IFERROR(VLOOKUP($A453,Accounts!$A:$G,3,FALSE),"")</f>
        <v/>
      </c>
    </row>
    <row r="454" spans="1:15" outlineLevel="2" x14ac:dyDescent="0.2">
      <c r="A454" t="str">
        <f t="shared" si="6"/>
        <v>1600000328287-10562.43</v>
      </c>
      <c r="B454" t="s">
        <v>0</v>
      </c>
      <c r="C454" t="s">
        <v>397</v>
      </c>
      <c r="D454" t="s">
        <v>100</v>
      </c>
      <c r="E454" t="s">
        <v>515</v>
      </c>
      <c r="F454" s="1">
        <v>43480</v>
      </c>
      <c r="G454" t="s">
        <v>1</v>
      </c>
      <c r="H454" s="1"/>
      <c r="I454" s="2">
        <v>-10562.43</v>
      </c>
      <c r="J454" s="2">
        <v>0</v>
      </c>
      <c r="K454" t="s">
        <v>474</v>
      </c>
      <c r="L454" t="s">
        <v>1</v>
      </c>
      <c r="M454" t="s">
        <v>398</v>
      </c>
      <c r="N454" s="2">
        <v>-10562.43</v>
      </c>
      <c r="O454" t="str">
        <f>IFERROR(VLOOKUP($A454,Accounts!$A:$G,3,FALSE),"")</f>
        <v/>
      </c>
    </row>
    <row r="455" spans="1:15" outlineLevel="2" x14ac:dyDescent="0.2">
      <c r="A455" t="str">
        <f t="shared" si="6"/>
        <v>1600000324287-10763.33</v>
      </c>
      <c r="B455" t="s">
        <v>0</v>
      </c>
      <c r="C455" t="s">
        <v>397</v>
      </c>
      <c r="D455" t="s">
        <v>100</v>
      </c>
      <c r="E455" t="s">
        <v>513</v>
      </c>
      <c r="F455" s="1">
        <v>43480</v>
      </c>
      <c r="G455" t="s">
        <v>1</v>
      </c>
      <c r="H455" s="1"/>
      <c r="I455" s="2">
        <v>-10763.33</v>
      </c>
      <c r="J455" s="2">
        <v>0</v>
      </c>
      <c r="K455" t="s">
        <v>474</v>
      </c>
      <c r="L455" t="s">
        <v>1</v>
      </c>
      <c r="M455" t="s">
        <v>398</v>
      </c>
      <c r="N455" s="2">
        <v>-10763.33</v>
      </c>
      <c r="O455" t="str">
        <f>IFERROR(VLOOKUP($A455,Accounts!$A:$G,3,FALSE),"")</f>
        <v/>
      </c>
    </row>
    <row r="456" spans="1:15" outlineLevel="2" x14ac:dyDescent="0.2">
      <c r="A456" t="str">
        <f t="shared" si="6"/>
        <v>1600000775287-10889.82</v>
      </c>
      <c r="B456" t="s">
        <v>0</v>
      </c>
      <c r="C456" t="s">
        <v>397</v>
      </c>
      <c r="D456" t="s">
        <v>100</v>
      </c>
      <c r="E456" t="s">
        <v>539</v>
      </c>
      <c r="F456" s="1">
        <v>43494</v>
      </c>
      <c r="G456" t="s">
        <v>1</v>
      </c>
      <c r="H456" s="1"/>
      <c r="I456" s="2">
        <v>-10889.82</v>
      </c>
      <c r="J456" s="2">
        <v>0</v>
      </c>
      <c r="K456" t="s">
        <v>474</v>
      </c>
      <c r="L456" t="s">
        <v>1</v>
      </c>
      <c r="M456" t="s">
        <v>398</v>
      </c>
      <c r="N456" s="2">
        <v>-10889.82</v>
      </c>
      <c r="O456" t="str">
        <f>IFERROR(VLOOKUP($A456,Accounts!$A:$G,3,FALSE),"")</f>
        <v/>
      </c>
    </row>
    <row r="457" spans="1:15" outlineLevel="2" x14ac:dyDescent="0.2">
      <c r="A457" t="str">
        <f t="shared" si="6"/>
        <v>1600000774287-11371.42</v>
      </c>
      <c r="B457" t="s">
        <v>0</v>
      </c>
      <c r="C457" t="s">
        <v>397</v>
      </c>
      <c r="D457" t="s">
        <v>100</v>
      </c>
      <c r="E457" t="s">
        <v>538</v>
      </c>
      <c r="F457" s="1">
        <v>43494</v>
      </c>
      <c r="G457" t="s">
        <v>1</v>
      </c>
      <c r="H457" s="1"/>
      <c r="I457" s="2">
        <v>-11371.42</v>
      </c>
      <c r="J457" s="2">
        <v>0</v>
      </c>
      <c r="K457" t="s">
        <v>474</v>
      </c>
      <c r="L457" t="s">
        <v>1</v>
      </c>
      <c r="M457" t="s">
        <v>398</v>
      </c>
      <c r="N457" s="2">
        <v>-11371.42</v>
      </c>
      <c r="O457" t="str">
        <f>IFERROR(VLOOKUP($A457,Accounts!$A:$G,3,FALSE),"")</f>
        <v/>
      </c>
    </row>
    <row r="458" spans="1:15" outlineLevel="2" x14ac:dyDescent="0.2">
      <c r="A458" t="str">
        <f t="shared" ref="A458:A521" si="7">IFERROR(IF(J458=0,E458&amp;C458&amp;I458,G458&amp;B458&amp;J458),"")</f>
        <v>2900000212999898.33</v>
      </c>
      <c r="B458" t="s">
        <v>0</v>
      </c>
      <c r="C458" t="s">
        <v>397</v>
      </c>
      <c r="D458" t="s">
        <v>99</v>
      </c>
      <c r="E458" t="s">
        <v>1</v>
      </c>
      <c r="F458" s="1"/>
      <c r="G458" t="s">
        <v>701</v>
      </c>
      <c r="H458" s="1">
        <v>43474</v>
      </c>
      <c r="I458" s="2">
        <v>0</v>
      </c>
      <c r="J458" s="2">
        <v>9898.33</v>
      </c>
      <c r="K458" t="s">
        <v>1</v>
      </c>
      <c r="L458" t="s">
        <v>474</v>
      </c>
      <c r="M458" t="s">
        <v>398</v>
      </c>
      <c r="N458" s="2">
        <v>9898.33</v>
      </c>
      <c r="O458" t="str">
        <f>IFERROR(VLOOKUP($A458,Accounts!$A:$G,3,FALSE),"")</f>
        <v/>
      </c>
    </row>
    <row r="459" spans="1:15" outlineLevel="2" x14ac:dyDescent="0.2">
      <c r="A459" t="str">
        <f t="shared" si="7"/>
        <v>29000001689910764.7</v>
      </c>
      <c r="B459" t="s">
        <v>0</v>
      </c>
      <c r="C459" t="s">
        <v>397</v>
      </c>
      <c r="D459" t="s">
        <v>99</v>
      </c>
      <c r="E459" t="s">
        <v>1</v>
      </c>
      <c r="F459" s="1"/>
      <c r="G459" t="s">
        <v>543</v>
      </c>
      <c r="H459" s="1">
        <v>43473</v>
      </c>
      <c r="I459" s="2">
        <v>0</v>
      </c>
      <c r="J459" s="2">
        <v>10764.7</v>
      </c>
      <c r="K459" t="s">
        <v>1</v>
      </c>
      <c r="L459" t="s">
        <v>474</v>
      </c>
      <c r="M459" t="s">
        <v>398</v>
      </c>
      <c r="N459" s="2">
        <v>10764.7</v>
      </c>
      <c r="O459" t="str">
        <f>IFERROR(VLOOKUP($A459,Accounts!$A:$G,3,FALSE),"")</f>
        <v/>
      </c>
    </row>
    <row r="460" spans="1:15" outlineLevel="2" x14ac:dyDescent="0.2">
      <c r="A460" t="str">
        <f t="shared" si="7"/>
        <v>29000001679911165.93</v>
      </c>
      <c r="B460" t="s">
        <v>0</v>
      </c>
      <c r="C460" t="s">
        <v>397</v>
      </c>
      <c r="D460" t="s">
        <v>99</v>
      </c>
      <c r="E460" t="s">
        <v>1</v>
      </c>
      <c r="F460" s="1"/>
      <c r="G460" t="s">
        <v>542</v>
      </c>
      <c r="H460" s="1">
        <v>43473</v>
      </c>
      <c r="I460" s="2">
        <v>0</v>
      </c>
      <c r="J460" s="2">
        <v>11165.93</v>
      </c>
      <c r="K460" t="s">
        <v>1</v>
      </c>
      <c r="L460" t="s">
        <v>474</v>
      </c>
      <c r="M460" t="s">
        <v>398</v>
      </c>
      <c r="N460" s="2">
        <v>11165.93</v>
      </c>
      <c r="O460" t="str">
        <f>IFERROR(VLOOKUP($A460,Accounts!$A:$G,3,FALSE),"")</f>
        <v/>
      </c>
    </row>
    <row r="461" spans="1:15" outlineLevel="2" x14ac:dyDescent="0.2">
      <c r="A461" t="str">
        <f t="shared" si="7"/>
        <v>29000001669910536.98</v>
      </c>
      <c r="B461" t="s">
        <v>0</v>
      </c>
      <c r="C461" t="s">
        <v>397</v>
      </c>
      <c r="D461" t="s">
        <v>99</v>
      </c>
      <c r="E461" t="s">
        <v>1</v>
      </c>
      <c r="F461" s="1"/>
      <c r="G461" t="s">
        <v>541</v>
      </c>
      <c r="H461" s="1">
        <v>43473</v>
      </c>
      <c r="I461" s="2">
        <v>0</v>
      </c>
      <c r="J461" s="2">
        <v>10536.98</v>
      </c>
      <c r="K461" t="s">
        <v>1</v>
      </c>
      <c r="L461" t="s">
        <v>474</v>
      </c>
      <c r="M461" t="s">
        <v>398</v>
      </c>
      <c r="N461" s="2">
        <v>10536.98</v>
      </c>
      <c r="O461" t="str">
        <f>IFERROR(VLOOKUP($A461,Accounts!$A:$G,3,FALSE),"")</f>
        <v/>
      </c>
    </row>
    <row r="462" spans="1:15" outlineLevel="2" x14ac:dyDescent="0.2">
      <c r="A462" t="str">
        <f t="shared" si="7"/>
        <v>29000002119910150.3</v>
      </c>
      <c r="B462" t="s">
        <v>0</v>
      </c>
      <c r="C462" t="s">
        <v>397</v>
      </c>
      <c r="D462" t="s">
        <v>99</v>
      </c>
      <c r="E462" t="s">
        <v>1</v>
      </c>
      <c r="F462" s="1"/>
      <c r="G462" t="s">
        <v>702</v>
      </c>
      <c r="H462" s="1">
        <v>43473</v>
      </c>
      <c r="I462" s="2">
        <v>0</v>
      </c>
      <c r="J462" s="2">
        <v>10150.299999999999</v>
      </c>
      <c r="K462" t="s">
        <v>1</v>
      </c>
      <c r="L462" t="s">
        <v>474</v>
      </c>
      <c r="M462" t="s">
        <v>398</v>
      </c>
      <c r="N462" s="2">
        <v>10150.299999999999</v>
      </c>
      <c r="O462" t="str">
        <f>IFERROR(VLOOKUP($A462,Accounts!$A:$G,3,FALSE),"")</f>
        <v/>
      </c>
    </row>
    <row r="463" spans="1:15" outlineLevel="2" x14ac:dyDescent="0.2">
      <c r="A463" t="str">
        <f t="shared" si="7"/>
        <v>29000001219910069.39</v>
      </c>
      <c r="B463" t="s">
        <v>0</v>
      </c>
      <c r="C463" t="s">
        <v>397</v>
      </c>
      <c r="D463" t="s">
        <v>99</v>
      </c>
      <c r="E463" t="s">
        <v>1</v>
      </c>
      <c r="F463" s="1"/>
      <c r="G463" t="s">
        <v>703</v>
      </c>
      <c r="H463" s="1">
        <v>43469</v>
      </c>
      <c r="I463" s="2">
        <v>0</v>
      </c>
      <c r="J463" s="2">
        <v>10069.39</v>
      </c>
      <c r="K463" t="s">
        <v>1</v>
      </c>
      <c r="L463" t="s">
        <v>474</v>
      </c>
      <c r="M463" t="s">
        <v>398</v>
      </c>
      <c r="N463" s="2">
        <v>10069.39</v>
      </c>
      <c r="O463" t="str">
        <f>IFERROR(VLOOKUP($A463,Accounts!$A:$G,3,FALSE),"")</f>
        <v/>
      </c>
    </row>
    <row r="464" spans="1:15" outlineLevel="2" x14ac:dyDescent="0.2">
      <c r="A464" t="str">
        <f t="shared" si="7"/>
        <v>29000001209910404.51</v>
      </c>
      <c r="B464" t="s">
        <v>0</v>
      </c>
      <c r="C464" t="s">
        <v>397</v>
      </c>
      <c r="D464" t="s">
        <v>99</v>
      </c>
      <c r="E464" t="s">
        <v>1</v>
      </c>
      <c r="F464" s="1"/>
      <c r="G464" t="s">
        <v>704</v>
      </c>
      <c r="H464" s="1">
        <v>43469</v>
      </c>
      <c r="I464" s="2">
        <v>0</v>
      </c>
      <c r="J464" s="2">
        <v>10404.51</v>
      </c>
      <c r="K464" t="s">
        <v>1</v>
      </c>
      <c r="L464" t="s">
        <v>474</v>
      </c>
      <c r="M464" t="s">
        <v>398</v>
      </c>
      <c r="N464" s="2">
        <v>10404.51</v>
      </c>
      <c r="O464" t="str">
        <f>IFERROR(VLOOKUP($A464,Accounts!$A:$G,3,FALSE),"")</f>
        <v/>
      </c>
    </row>
    <row r="465" spans="1:15" outlineLevel="1" x14ac:dyDescent="0.2">
      <c r="A465" t="str">
        <f t="shared" si="7"/>
        <v>29000001199910245.72</v>
      </c>
      <c r="B465" t="s">
        <v>0</v>
      </c>
      <c r="C465" t="s">
        <v>397</v>
      </c>
      <c r="D465" t="s">
        <v>99</v>
      </c>
      <c r="E465" t="s">
        <v>1</v>
      </c>
      <c r="F465" s="1"/>
      <c r="G465" t="s">
        <v>705</v>
      </c>
      <c r="H465" s="1">
        <v>43468</v>
      </c>
      <c r="I465" s="2">
        <v>0</v>
      </c>
      <c r="J465" s="2">
        <v>10245.719999999999</v>
      </c>
      <c r="K465" t="s">
        <v>1</v>
      </c>
      <c r="L465" t="s">
        <v>474</v>
      </c>
      <c r="M465" t="s">
        <v>398</v>
      </c>
      <c r="N465" s="2">
        <v>10245.719999999999</v>
      </c>
      <c r="O465" t="str">
        <f>IFERROR(VLOOKUP($A465,Accounts!$A:$G,3,FALSE),"")</f>
        <v/>
      </c>
    </row>
    <row r="466" spans="1:15" outlineLevel="2" x14ac:dyDescent="0.2">
      <c r="A466" t="str">
        <f t="shared" si="7"/>
        <v>29000000849910372.93</v>
      </c>
      <c r="B466" t="s">
        <v>0</v>
      </c>
      <c r="C466" t="s">
        <v>397</v>
      </c>
      <c r="D466" t="s">
        <v>99</v>
      </c>
      <c r="E466" t="s">
        <v>1</v>
      </c>
      <c r="F466" s="1"/>
      <c r="G466" t="s">
        <v>706</v>
      </c>
      <c r="H466" s="1">
        <v>43468</v>
      </c>
      <c r="I466" s="2">
        <v>0</v>
      </c>
      <c r="J466" s="2">
        <v>10372.93</v>
      </c>
      <c r="K466" t="s">
        <v>1</v>
      </c>
      <c r="L466" t="s">
        <v>474</v>
      </c>
      <c r="M466" t="s">
        <v>398</v>
      </c>
      <c r="N466" s="2">
        <v>10372.93</v>
      </c>
      <c r="O466" t="str">
        <f>IFERROR(VLOOKUP($A466,Accounts!$A:$G,3,FALSE),"")</f>
        <v/>
      </c>
    </row>
    <row r="467" spans="1:15" outlineLevel="2" x14ac:dyDescent="0.2">
      <c r="A467" t="str">
        <f t="shared" si="7"/>
        <v>2900000083999984.56</v>
      </c>
      <c r="B467" t="s">
        <v>0</v>
      </c>
      <c r="C467" t="s">
        <v>397</v>
      </c>
      <c r="D467" t="s">
        <v>99</v>
      </c>
      <c r="E467" t="s">
        <v>1</v>
      </c>
      <c r="F467" s="1"/>
      <c r="G467" t="s">
        <v>707</v>
      </c>
      <c r="H467" s="1">
        <v>43467</v>
      </c>
      <c r="I467" s="2">
        <v>0</v>
      </c>
      <c r="J467" s="2">
        <v>9984.56</v>
      </c>
      <c r="K467" t="s">
        <v>1</v>
      </c>
      <c r="L467" t="s">
        <v>474</v>
      </c>
      <c r="M467" t="s">
        <v>398</v>
      </c>
      <c r="N467" s="2">
        <v>9984.56</v>
      </c>
      <c r="O467" t="str">
        <f>IFERROR(VLOOKUP($A467,Accounts!$A:$G,3,FALSE),"")</f>
        <v/>
      </c>
    </row>
    <row r="468" spans="1:15" outlineLevel="2" x14ac:dyDescent="0.2">
      <c r="A468" t="str">
        <f t="shared" si="7"/>
        <v>29000000829911127.79</v>
      </c>
      <c r="B468" t="s">
        <v>0</v>
      </c>
      <c r="C468" t="s">
        <v>397</v>
      </c>
      <c r="D468" t="s">
        <v>99</v>
      </c>
      <c r="E468" t="s">
        <v>1</v>
      </c>
      <c r="F468" s="1"/>
      <c r="G468" t="s">
        <v>708</v>
      </c>
      <c r="H468" s="1">
        <v>43467</v>
      </c>
      <c r="I468" s="2">
        <v>0</v>
      </c>
      <c r="J468" s="2">
        <v>11127.79</v>
      </c>
      <c r="K468" t="s">
        <v>1</v>
      </c>
      <c r="L468" t="s">
        <v>474</v>
      </c>
      <c r="M468" t="s">
        <v>398</v>
      </c>
      <c r="N468" s="2">
        <v>11127.79</v>
      </c>
      <c r="O468" t="str">
        <f>IFERROR(VLOOKUP($A468,Accounts!$A:$G,3,FALSE),"")</f>
        <v/>
      </c>
    </row>
    <row r="469" spans="1:15" outlineLevel="2" x14ac:dyDescent="0.2">
      <c r="A469" t="str">
        <f t="shared" si="7"/>
        <v>28000017939910156.55</v>
      </c>
      <c r="B469" t="s">
        <v>0</v>
      </c>
      <c r="C469" t="s">
        <v>397</v>
      </c>
      <c r="D469" t="s">
        <v>99</v>
      </c>
      <c r="E469" t="s">
        <v>1</v>
      </c>
      <c r="F469" s="1"/>
      <c r="G469" t="s">
        <v>709</v>
      </c>
      <c r="H469" s="1">
        <v>43465</v>
      </c>
      <c r="I469" s="2">
        <v>0</v>
      </c>
      <c r="J469" s="2">
        <v>10156.549999999999</v>
      </c>
      <c r="K469" t="s">
        <v>1</v>
      </c>
      <c r="L469" t="s">
        <v>222</v>
      </c>
      <c r="M469" t="s">
        <v>398</v>
      </c>
      <c r="N469" s="2">
        <v>10156.549999999999</v>
      </c>
      <c r="O469" t="str">
        <f>IFERROR(VLOOKUP($A469,Accounts!$A:$G,3,FALSE),"")</f>
        <v/>
      </c>
    </row>
    <row r="470" spans="1:15" outlineLevel="2" x14ac:dyDescent="0.2">
      <c r="A470" t="str">
        <f t="shared" si="7"/>
        <v>28000017929911088.36</v>
      </c>
      <c r="B470" t="s">
        <v>0</v>
      </c>
      <c r="C470" t="s">
        <v>397</v>
      </c>
      <c r="D470" t="s">
        <v>99</v>
      </c>
      <c r="E470" t="s">
        <v>1</v>
      </c>
      <c r="F470" s="1"/>
      <c r="G470" t="s">
        <v>710</v>
      </c>
      <c r="H470" s="1">
        <v>43462</v>
      </c>
      <c r="I470" s="2">
        <v>0</v>
      </c>
      <c r="J470" s="2">
        <v>11088.36</v>
      </c>
      <c r="K470" t="s">
        <v>1</v>
      </c>
      <c r="L470" t="s">
        <v>222</v>
      </c>
      <c r="M470" t="s">
        <v>398</v>
      </c>
      <c r="N470" s="2">
        <v>11088.36</v>
      </c>
      <c r="O470" t="str">
        <f>IFERROR(VLOOKUP($A470,Accounts!$A:$G,3,FALSE),"")</f>
        <v/>
      </c>
    </row>
    <row r="471" spans="1:15" outlineLevel="2" x14ac:dyDescent="0.2">
      <c r="A471" t="str">
        <f t="shared" si="7"/>
        <v>2800001791999917.79</v>
      </c>
      <c r="B471" t="s">
        <v>0</v>
      </c>
      <c r="C471" t="s">
        <v>397</v>
      </c>
      <c r="D471" t="s">
        <v>99</v>
      </c>
      <c r="E471" t="s">
        <v>1</v>
      </c>
      <c r="F471" s="1"/>
      <c r="G471" t="s">
        <v>711</v>
      </c>
      <c r="H471" s="1">
        <v>43461</v>
      </c>
      <c r="I471" s="2">
        <v>0</v>
      </c>
      <c r="J471" s="2">
        <v>9917.7900000000009</v>
      </c>
      <c r="K471" t="s">
        <v>1</v>
      </c>
      <c r="L471" t="s">
        <v>222</v>
      </c>
      <c r="M471" t="s">
        <v>398</v>
      </c>
      <c r="N471" s="2">
        <v>9917.7900000000009</v>
      </c>
      <c r="O471" t="str">
        <f>IFERROR(VLOOKUP($A471,Accounts!$A:$G,3,FALSE),"")</f>
        <v/>
      </c>
    </row>
    <row r="472" spans="1:15" outlineLevel="2" x14ac:dyDescent="0.2">
      <c r="A472" t="str">
        <f t="shared" si="7"/>
        <v>28000017909911034.61</v>
      </c>
      <c r="B472" t="s">
        <v>0</v>
      </c>
      <c r="C472" t="s">
        <v>397</v>
      </c>
      <c r="D472" t="s">
        <v>99</v>
      </c>
      <c r="E472" t="s">
        <v>1</v>
      </c>
      <c r="F472" s="1"/>
      <c r="G472" t="s">
        <v>712</v>
      </c>
      <c r="H472" s="1">
        <v>43461</v>
      </c>
      <c r="I472" s="2">
        <v>0</v>
      </c>
      <c r="J472" s="2">
        <v>11034.61</v>
      </c>
      <c r="K472" t="s">
        <v>1</v>
      </c>
      <c r="L472" t="s">
        <v>222</v>
      </c>
      <c r="M472" t="s">
        <v>398</v>
      </c>
      <c r="N472" s="2">
        <v>11034.61</v>
      </c>
      <c r="O472" t="str">
        <f>IFERROR(VLOOKUP($A472,Accounts!$A:$G,3,FALSE),"")</f>
        <v/>
      </c>
    </row>
    <row r="473" spans="1:15" outlineLevel="2" x14ac:dyDescent="0.2">
      <c r="A473" t="str">
        <f t="shared" si="7"/>
        <v>28000016869910866.39</v>
      </c>
      <c r="B473" t="s">
        <v>0</v>
      </c>
      <c r="C473" t="s">
        <v>397</v>
      </c>
      <c r="D473" t="s">
        <v>99</v>
      </c>
      <c r="E473" t="s">
        <v>1</v>
      </c>
      <c r="F473" s="1"/>
      <c r="G473" t="s">
        <v>713</v>
      </c>
      <c r="H473" s="1">
        <v>43455</v>
      </c>
      <c r="I473" s="2">
        <v>0</v>
      </c>
      <c r="J473" s="2">
        <v>10866.39</v>
      </c>
      <c r="K473" t="s">
        <v>1</v>
      </c>
      <c r="L473" t="s">
        <v>222</v>
      </c>
      <c r="M473" t="s">
        <v>398</v>
      </c>
      <c r="N473" s="2">
        <v>10866.39</v>
      </c>
      <c r="O473" t="str">
        <f>IFERROR(VLOOKUP($A473,Accounts!$A:$G,3,FALSE),"")</f>
        <v/>
      </c>
    </row>
    <row r="474" spans="1:15" outlineLevel="2" x14ac:dyDescent="0.2">
      <c r="A474" t="str">
        <f t="shared" si="7"/>
        <v>28000016859910905.72</v>
      </c>
      <c r="B474" t="s">
        <v>0</v>
      </c>
      <c r="C474" t="s">
        <v>397</v>
      </c>
      <c r="D474" t="s">
        <v>99</v>
      </c>
      <c r="E474" t="s">
        <v>1</v>
      </c>
      <c r="F474" s="1"/>
      <c r="G474" t="s">
        <v>714</v>
      </c>
      <c r="H474" s="1">
        <v>43455</v>
      </c>
      <c r="I474" s="2">
        <v>0</v>
      </c>
      <c r="J474" s="2">
        <v>10905.72</v>
      </c>
      <c r="K474" t="s">
        <v>1</v>
      </c>
      <c r="L474" t="s">
        <v>222</v>
      </c>
      <c r="M474" t="s">
        <v>398</v>
      </c>
      <c r="N474" s="2">
        <v>10905.72</v>
      </c>
      <c r="O474" t="str">
        <f>IFERROR(VLOOKUP($A474,Accounts!$A:$G,3,FALSE),"")</f>
        <v/>
      </c>
    </row>
    <row r="475" spans="1:15" outlineLevel="2" x14ac:dyDescent="0.2">
      <c r="A475" t="str">
        <f t="shared" si="7"/>
        <v>2800001684999989.19</v>
      </c>
      <c r="B475" t="s">
        <v>0</v>
      </c>
      <c r="C475" t="s">
        <v>397</v>
      </c>
      <c r="D475" t="s">
        <v>99</v>
      </c>
      <c r="E475" t="s">
        <v>1</v>
      </c>
      <c r="F475" s="1"/>
      <c r="G475" t="s">
        <v>715</v>
      </c>
      <c r="H475" s="1">
        <v>43455</v>
      </c>
      <c r="I475" s="2">
        <v>0</v>
      </c>
      <c r="J475" s="2">
        <v>9989.19</v>
      </c>
      <c r="K475" t="s">
        <v>1</v>
      </c>
      <c r="L475" t="s">
        <v>222</v>
      </c>
      <c r="M475" t="s">
        <v>398</v>
      </c>
      <c r="N475" s="2">
        <v>9989.19</v>
      </c>
      <c r="O475" t="str">
        <f>IFERROR(VLOOKUP($A475,Accounts!$A:$G,3,FALSE),"")</f>
        <v/>
      </c>
    </row>
    <row r="476" spans="1:15" outlineLevel="2" x14ac:dyDescent="0.2">
      <c r="A476" t="str">
        <f t="shared" si="7"/>
        <v>28000016349912536.83</v>
      </c>
      <c r="B476" t="s">
        <v>0</v>
      </c>
      <c r="C476" t="s">
        <v>397</v>
      </c>
      <c r="D476" t="s">
        <v>99</v>
      </c>
      <c r="E476" t="s">
        <v>1</v>
      </c>
      <c r="F476" s="1"/>
      <c r="G476" t="s">
        <v>716</v>
      </c>
      <c r="H476" s="1">
        <v>43454</v>
      </c>
      <c r="I476" s="2">
        <v>0</v>
      </c>
      <c r="J476" s="2">
        <v>12536.83</v>
      </c>
      <c r="K476" t="s">
        <v>1</v>
      </c>
      <c r="L476" t="s">
        <v>222</v>
      </c>
      <c r="M476" t="s">
        <v>398</v>
      </c>
      <c r="N476" s="2">
        <v>12536.83</v>
      </c>
      <c r="O476" t="str">
        <f>IFERROR(VLOOKUP($A476,Accounts!$A:$G,3,FALSE),"")</f>
        <v/>
      </c>
    </row>
    <row r="477" spans="1:15" outlineLevel="2" x14ac:dyDescent="0.2">
      <c r="A477" t="str">
        <f t="shared" si="7"/>
        <v>28000016339911501.18</v>
      </c>
      <c r="B477" t="s">
        <v>0</v>
      </c>
      <c r="C477" t="s">
        <v>397</v>
      </c>
      <c r="D477" t="s">
        <v>99</v>
      </c>
      <c r="E477" t="s">
        <v>1</v>
      </c>
      <c r="F477" s="1"/>
      <c r="G477" t="s">
        <v>717</v>
      </c>
      <c r="H477" s="1">
        <v>43454</v>
      </c>
      <c r="I477" s="2">
        <v>0</v>
      </c>
      <c r="J477" s="2">
        <v>11501.18</v>
      </c>
      <c r="K477" t="s">
        <v>1</v>
      </c>
      <c r="L477" t="s">
        <v>222</v>
      </c>
      <c r="M477" t="s">
        <v>398</v>
      </c>
      <c r="N477" s="2">
        <v>11501.18</v>
      </c>
      <c r="O477" t="str">
        <f>IFERROR(VLOOKUP($A477,Accounts!$A:$G,3,FALSE),"")</f>
        <v/>
      </c>
    </row>
    <row r="478" spans="1:15" outlineLevel="2" x14ac:dyDescent="0.2">
      <c r="A478" t="str">
        <f t="shared" si="7"/>
        <v>28000016119910627.62</v>
      </c>
      <c r="B478" t="s">
        <v>0</v>
      </c>
      <c r="C478" t="s">
        <v>397</v>
      </c>
      <c r="D478" t="s">
        <v>99</v>
      </c>
      <c r="E478" t="s">
        <v>1</v>
      </c>
      <c r="F478" s="1"/>
      <c r="G478" t="s">
        <v>718</v>
      </c>
      <c r="H478" s="1">
        <v>43453</v>
      </c>
      <c r="I478" s="2">
        <v>0</v>
      </c>
      <c r="J478" s="2">
        <v>10627.62</v>
      </c>
      <c r="K478" t="s">
        <v>1</v>
      </c>
      <c r="L478" t="s">
        <v>222</v>
      </c>
      <c r="M478" t="s">
        <v>398</v>
      </c>
      <c r="N478" s="2">
        <v>10627.62</v>
      </c>
      <c r="O478" t="str">
        <f>IFERROR(VLOOKUP($A478,Accounts!$A:$G,3,FALSE),"")</f>
        <v/>
      </c>
    </row>
    <row r="479" spans="1:15" outlineLevel="2" x14ac:dyDescent="0.2">
      <c r="A479" t="str">
        <f t="shared" si="7"/>
        <v>28000016109910625.25</v>
      </c>
      <c r="B479" t="s">
        <v>0</v>
      </c>
      <c r="C479" t="s">
        <v>397</v>
      </c>
      <c r="D479" t="s">
        <v>99</v>
      </c>
      <c r="E479" t="s">
        <v>1</v>
      </c>
      <c r="F479" s="1"/>
      <c r="G479" t="s">
        <v>719</v>
      </c>
      <c r="H479" s="1">
        <v>43453</v>
      </c>
      <c r="I479" s="2">
        <v>0</v>
      </c>
      <c r="J479" s="2">
        <v>10625.25</v>
      </c>
      <c r="K479" t="s">
        <v>1</v>
      </c>
      <c r="L479" t="s">
        <v>222</v>
      </c>
      <c r="M479" t="s">
        <v>398</v>
      </c>
      <c r="N479" s="2">
        <v>10625.25</v>
      </c>
      <c r="O479" t="str">
        <f>IFERROR(VLOOKUP($A479,Accounts!$A:$G,3,FALSE),"")</f>
        <v/>
      </c>
    </row>
    <row r="480" spans="1:15" outlineLevel="2" x14ac:dyDescent="0.2">
      <c r="A480" t="str">
        <f t="shared" si="7"/>
        <v>28000015849910889.82</v>
      </c>
      <c r="B480" t="s">
        <v>0</v>
      </c>
      <c r="C480" t="s">
        <v>397</v>
      </c>
      <c r="D480" t="s">
        <v>99</v>
      </c>
      <c r="E480" t="s">
        <v>1</v>
      </c>
      <c r="F480" s="1"/>
      <c r="G480" t="s">
        <v>720</v>
      </c>
      <c r="H480" s="1">
        <v>43452</v>
      </c>
      <c r="I480" s="2">
        <v>0</v>
      </c>
      <c r="J480" s="2">
        <v>10889.82</v>
      </c>
      <c r="K480" t="s">
        <v>1</v>
      </c>
      <c r="L480" t="s">
        <v>222</v>
      </c>
      <c r="M480" t="s">
        <v>398</v>
      </c>
      <c r="N480" s="2">
        <v>10889.82</v>
      </c>
      <c r="O480" t="str">
        <f>IFERROR(VLOOKUP($A480,Accounts!$A:$G,3,FALSE),"")</f>
        <v/>
      </c>
    </row>
    <row r="481" spans="1:15" outlineLevel="2" x14ac:dyDescent="0.2">
      <c r="A481" t="str">
        <f t="shared" si="7"/>
        <v>28000015379911371.42</v>
      </c>
      <c r="B481" t="s">
        <v>0</v>
      </c>
      <c r="C481" t="s">
        <v>397</v>
      </c>
      <c r="D481" t="s">
        <v>99</v>
      </c>
      <c r="E481" t="s">
        <v>1</v>
      </c>
      <c r="F481" s="1"/>
      <c r="G481" t="s">
        <v>721</v>
      </c>
      <c r="H481" s="1">
        <v>43451</v>
      </c>
      <c r="I481" s="2">
        <v>0</v>
      </c>
      <c r="J481" s="2">
        <v>11371.42</v>
      </c>
      <c r="K481" t="s">
        <v>1</v>
      </c>
      <c r="L481" t="s">
        <v>222</v>
      </c>
      <c r="M481" t="s">
        <v>398</v>
      </c>
      <c r="N481" s="2">
        <v>11371.42</v>
      </c>
      <c r="O481" t="str">
        <f>IFERROR(VLOOKUP($A481,Accounts!$A:$G,3,FALSE),"")</f>
        <v/>
      </c>
    </row>
    <row r="482" spans="1:15" outlineLevel="1" x14ac:dyDescent="0.2">
      <c r="A482" t="str">
        <f t="shared" si="7"/>
        <v>280000120099-4326.57</v>
      </c>
      <c r="B482" t="s">
        <v>0</v>
      </c>
      <c r="C482" t="s">
        <v>397</v>
      </c>
      <c r="D482" t="s">
        <v>99</v>
      </c>
      <c r="E482" t="s">
        <v>1</v>
      </c>
      <c r="F482" s="1"/>
      <c r="G482" t="s">
        <v>722</v>
      </c>
      <c r="H482" s="1">
        <v>43434</v>
      </c>
      <c r="I482" s="2">
        <v>0</v>
      </c>
      <c r="J482" s="2">
        <v>-4326.57</v>
      </c>
      <c r="K482" t="s">
        <v>1</v>
      </c>
      <c r="L482" t="s">
        <v>222</v>
      </c>
      <c r="M482" t="s">
        <v>398</v>
      </c>
      <c r="N482" s="2">
        <v>-4326.57</v>
      </c>
      <c r="O482" t="str">
        <f>IFERROR(VLOOKUP($A482,Accounts!$A:$G,3,FALSE),"")</f>
        <v/>
      </c>
    </row>
    <row r="483" spans="1:15" outlineLevel="2" x14ac:dyDescent="0.2">
      <c r="A483" t="str">
        <f t="shared" si="7"/>
        <v>29000002139910511.66</v>
      </c>
      <c r="B483" t="s">
        <v>0</v>
      </c>
      <c r="C483" t="s">
        <v>397</v>
      </c>
      <c r="D483" t="s">
        <v>99</v>
      </c>
      <c r="E483" t="s">
        <v>1</v>
      </c>
      <c r="F483" s="1"/>
      <c r="G483" t="s">
        <v>723</v>
      </c>
      <c r="H483" s="1">
        <v>43474</v>
      </c>
      <c r="I483" s="2">
        <v>0</v>
      </c>
      <c r="J483" s="2">
        <v>10511.66</v>
      </c>
      <c r="K483" t="s">
        <v>1</v>
      </c>
      <c r="L483" t="s">
        <v>474</v>
      </c>
      <c r="M483" t="s">
        <v>398</v>
      </c>
      <c r="N483" s="2">
        <v>10511.66</v>
      </c>
      <c r="O483" t="str">
        <f>IFERROR(VLOOKUP($A483,Accounts!$A:$G,3,FALSE),"")</f>
        <v/>
      </c>
    </row>
    <row r="484" spans="1:15" outlineLevel="2" x14ac:dyDescent="0.2">
      <c r="A484" t="str">
        <f t="shared" si="7"/>
        <v>29000004629910721.16</v>
      </c>
      <c r="B484" t="s">
        <v>0</v>
      </c>
      <c r="C484" t="s">
        <v>397</v>
      </c>
      <c r="D484" t="s">
        <v>99</v>
      </c>
      <c r="E484" t="s">
        <v>1</v>
      </c>
      <c r="F484" s="1"/>
      <c r="G484" t="s">
        <v>724</v>
      </c>
      <c r="H484" s="1">
        <v>43481</v>
      </c>
      <c r="I484" s="2">
        <v>0</v>
      </c>
      <c r="J484" s="2">
        <v>10721.16</v>
      </c>
      <c r="K484" t="s">
        <v>1</v>
      </c>
      <c r="L484" t="s">
        <v>474</v>
      </c>
      <c r="M484" t="s">
        <v>398</v>
      </c>
      <c r="N484" s="2">
        <v>10721.16</v>
      </c>
      <c r="O484" t="str">
        <f>IFERROR(VLOOKUP($A484,Accounts!$A:$G,3,FALSE),"")</f>
        <v/>
      </c>
    </row>
    <row r="485" spans="1:15" outlineLevel="2" x14ac:dyDescent="0.2">
      <c r="A485" t="str">
        <f t="shared" si="7"/>
        <v>29000004309910590.12</v>
      </c>
      <c r="B485" t="s">
        <v>0</v>
      </c>
      <c r="C485" t="s">
        <v>397</v>
      </c>
      <c r="D485" t="s">
        <v>99</v>
      </c>
      <c r="E485" t="s">
        <v>1</v>
      </c>
      <c r="F485" s="1"/>
      <c r="G485" t="s">
        <v>725</v>
      </c>
      <c r="H485" s="1">
        <v>43481</v>
      </c>
      <c r="I485" s="2">
        <v>0</v>
      </c>
      <c r="J485" s="2">
        <v>10590.12</v>
      </c>
      <c r="K485" t="s">
        <v>1</v>
      </c>
      <c r="L485" t="s">
        <v>474</v>
      </c>
      <c r="M485" t="s">
        <v>398</v>
      </c>
      <c r="N485" s="2">
        <v>10590.12</v>
      </c>
      <c r="O485" t="str">
        <f>IFERROR(VLOOKUP($A485,Accounts!$A:$G,3,FALSE),"")</f>
        <v/>
      </c>
    </row>
    <row r="486" spans="1:15" outlineLevel="2" x14ac:dyDescent="0.2">
      <c r="A486" t="str">
        <f t="shared" si="7"/>
        <v>29000004299910120.54</v>
      </c>
      <c r="B486" t="s">
        <v>0</v>
      </c>
      <c r="C486" t="s">
        <v>397</v>
      </c>
      <c r="D486" t="s">
        <v>99</v>
      </c>
      <c r="E486" t="s">
        <v>1</v>
      </c>
      <c r="F486" s="1"/>
      <c r="G486" t="s">
        <v>545</v>
      </c>
      <c r="H486" s="1">
        <v>43480</v>
      </c>
      <c r="I486" s="2">
        <v>0</v>
      </c>
      <c r="J486" s="2">
        <v>10120.540000000001</v>
      </c>
      <c r="K486" t="s">
        <v>1</v>
      </c>
      <c r="L486" t="s">
        <v>474</v>
      </c>
      <c r="M486" t="s">
        <v>398</v>
      </c>
      <c r="N486" s="2">
        <v>10120.540000000001</v>
      </c>
      <c r="O486" t="str">
        <f>IFERROR(VLOOKUP($A486,Accounts!$A:$G,3,FALSE),"")</f>
        <v/>
      </c>
    </row>
    <row r="487" spans="1:15" outlineLevel="2" x14ac:dyDescent="0.2">
      <c r="A487" t="str">
        <f t="shared" si="7"/>
        <v>29000004289910052.26</v>
      </c>
      <c r="B487" t="s">
        <v>0</v>
      </c>
      <c r="C487" t="s">
        <v>397</v>
      </c>
      <c r="D487" t="s">
        <v>99</v>
      </c>
      <c r="E487" t="s">
        <v>1</v>
      </c>
      <c r="F487" s="1"/>
      <c r="G487" t="s">
        <v>726</v>
      </c>
      <c r="H487" s="1">
        <v>43480</v>
      </c>
      <c r="I487" s="2">
        <v>0</v>
      </c>
      <c r="J487" s="2">
        <v>10052.26</v>
      </c>
      <c r="K487" t="s">
        <v>1</v>
      </c>
      <c r="L487" t="s">
        <v>474</v>
      </c>
      <c r="M487" t="s">
        <v>398</v>
      </c>
      <c r="N487" s="2">
        <v>10052.26</v>
      </c>
      <c r="O487" t="str">
        <f>IFERROR(VLOOKUP($A487,Accounts!$A:$G,3,FALSE),"")</f>
        <v/>
      </c>
    </row>
    <row r="488" spans="1:15" outlineLevel="2" x14ac:dyDescent="0.2">
      <c r="A488" t="str">
        <f t="shared" si="7"/>
        <v>29000003869911827.17</v>
      </c>
      <c r="B488" t="s">
        <v>0</v>
      </c>
      <c r="C488" t="s">
        <v>397</v>
      </c>
      <c r="D488" t="s">
        <v>99</v>
      </c>
      <c r="E488" t="s">
        <v>1</v>
      </c>
      <c r="F488" s="1"/>
      <c r="G488" t="s">
        <v>727</v>
      </c>
      <c r="H488" s="1">
        <v>43480</v>
      </c>
      <c r="I488" s="2">
        <v>0</v>
      </c>
      <c r="J488" s="2">
        <v>11827.17</v>
      </c>
      <c r="K488" t="s">
        <v>1</v>
      </c>
      <c r="L488" t="s">
        <v>474</v>
      </c>
      <c r="M488" t="s">
        <v>398</v>
      </c>
      <c r="N488" s="2">
        <v>11827.17</v>
      </c>
      <c r="O488" t="str">
        <f>IFERROR(VLOOKUP($A488,Accounts!$A:$G,3,FALSE),"")</f>
        <v/>
      </c>
    </row>
    <row r="489" spans="1:15" outlineLevel="2" x14ac:dyDescent="0.2">
      <c r="A489" t="str">
        <f t="shared" si="7"/>
        <v>29000004639910033.42</v>
      </c>
      <c r="B489" t="s">
        <v>0</v>
      </c>
      <c r="C489" t="s">
        <v>397</v>
      </c>
      <c r="D489" t="s">
        <v>99</v>
      </c>
      <c r="E489" t="s">
        <v>1</v>
      </c>
      <c r="F489" s="1"/>
      <c r="G489" t="s">
        <v>728</v>
      </c>
      <c r="H489" s="1">
        <v>43481</v>
      </c>
      <c r="I489" s="2">
        <v>0</v>
      </c>
      <c r="J489" s="2">
        <v>10033.42</v>
      </c>
      <c r="K489" t="s">
        <v>1</v>
      </c>
      <c r="L489" t="s">
        <v>474</v>
      </c>
      <c r="M489" t="s">
        <v>398</v>
      </c>
      <c r="N489" s="2">
        <v>10033.42</v>
      </c>
      <c r="O489" t="str">
        <f>IFERROR(VLOOKUP($A489,Accounts!$A:$G,3,FALSE),"")</f>
        <v/>
      </c>
    </row>
    <row r="490" spans="1:15" outlineLevel="2" x14ac:dyDescent="0.2">
      <c r="A490" t="str">
        <f t="shared" si="7"/>
        <v>29000005039911238.64</v>
      </c>
      <c r="B490" t="s">
        <v>0</v>
      </c>
      <c r="C490" t="s">
        <v>397</v>
      </c>
      <c r="D490" t="s">
        <v>99</v>
      </c>
      <c r="E490" t="s">
        <v>1</v>
      </c>
      <c r="F490" s="1"/>
      <c r="G490" t="s">
        <v>393</v>
      </c>
      <c r="H490" s="1">
        <v>43482</v>
      </c>
      <c r="I490" s="2">
        <v>0</v>
      </c>
      <c r="J490" s="2">
        <v>11238.64</v>
      </c>
      <c r="K490" t="s">
        <v>1</v>
      </c>
      <c r="L490" t="s">
        <v>474</v>
      </c>
      <c r="M490" t="s">
        <v>398</v>
      </c>
      <c r="N490" s="2">
        <v>11238.64</v>
      </c>
      <c r="O490" t="str">
        <f>IFERROR(VLOOKUP($A490,Accounts!$A:$G,3,FALSE),"")</f>
        <v/>
      </c>
    </row>
    <row r="491" spans="1:15" outlineLevel="2" x14ac:dyDescent="0.2">
      <c r="A491" t="str">
        <f t="shared" si="7"/>
        <v>29000005339910997.86</v>
      </c>
      <c r="B491" t="s">
        <v>0</v>
      </c>
      <c r="C491" t="s">
        <v>397</v>
      </c>
      <c r="D491" t="s">
        <v>99</v>
      </c>
      <c r="E491" t="s">
        <v>1</v>
      </c>
      <c r="F491" s="1"/>
      <c r="G491" t="s">
        <v>729</v>
      </c>
      <c r="H491" s="1">
        <v>43483</v>
      </c>
      <c r="I491" s="2">
        <v>0</v>
      </c>
      <c r="J491" s="2">
        <v>10997.86</v>
      </c>
      <c r="K491" t="s">
        <v>1</v>
      </c>
      <c r="L491" t="s">
        <v>474</v>
      </c>
      <c r="M491" t="s">
        <v>398</v>
      </c>
      <c r="N491" s="2">
        <v>10997.86</v>
      </c>
      <c r="O491" t="str">
        <f>IFERROR(VLOOKUP($A491,Accounts!$A:$G,3,FALSE),"")</f>
        <v/>
      </c>
    </row>
    <row r="492" spans="1:15" outlineLevel="2" x14ac:dyDescent="0.2">
      <c r="A492" t="str">
        <f t="shared" si="7"/>
        <v>29000005639911318.83</v>
      </c>
      <c r="B492" t="s">
        <v>0</v>
      </c>
      <c r="C492" t="s">
        <v>397</v>
      </c>
      <c r="D492" t="s">
        <v>99</v>
      </c>
      <c r="E492" t="s">
        <v>1</v>
      </c>
      <c r="F492" s="1"/>
      <c r="G492" t="s">
        <v>730</v>
      </c>
      <c r="H492" s="1">
        <v>43486</v>
      </c>
      <c r="I492" s="2">
        <v>0</v>
      </c>
      <c r="J492" s="2">
        <v>11318.83</v>
      </c>
      <c r="K492" t="s">
        <v>1</v>
      </c>
      <c r="L492" t="s">
        <v>474</v>
      </c>
      <c r="M492" t="s">
        <v>398</v>
      </c>
      <c r="N492" s="2">
        <v>11318.83</v>
      </c>
      <c r="O492" t="str">
        <f>IFERROR(VLOOKUP($A492,Accounts!$A:$G,3,FALSE),"")</f>
        <v/>
      </c>
    </row>
    <row r="493" spans="1:15" outlineLevel="2" x14ac:dyDescent="0.2">
      <c r="A493" t="str">
        <f t="shared" si="7"/>
        <v>29000003859910674.51</v>
      </c>
      <c r="B493" t="s">
        <v>0</v>
      </c>
      <c r="C493" t="s">
        <v>397</v>
      </c>
      <c r="D493" t="s">
        <v>99</v>
      </c>
      <c r="E493" t="s">
        <v>1</v>
      </c>
      <c r="F493" s="1"/>
      <c r="G493" t="s">
        <v>731</v>
      </c>
      <c r="H493" s="1">
        <v>43480</v>
      </c>
      <c r="I493" s="2">
        <v>0</v>
      </c>
      <c r="J493" s="2">
        <v>10674.51</v>
      </c>
      <c r="K493" t="s">
        <v>1</v>
      </c>
      <c r="L493" t="s">
        <v>474</v>
      </c>
      <c r="M493" t="s">
        <v>398</v>
      </c>
      <c r="N493" s="2">
        <v>10674.51</v>
      </c>
      <c r="O493" t="str">
        <f>IFERROR(VLOOKUP($A493,Accounts!$A:$G,3,FALSE),"")</f>
        <v/>
      </c>
    </row>
    <row r="494" spans="1:15" outlineLevel="2" x14ac:dyDescent="0.2">
      <c r="A494" t="str">
        <f t="shared" si="7"/>
        <v>29000002879911226.6</v>
      </c>
      <c r="B494" t="s">
        <v>0</v>
      </c>
      <c r="C494" t="s">
        <v>397</v>
      </c>
      <c r="D494" t="s">
        <v>99</v>
      </c>
      <c r="E494" t="s">
        <v>1</v>
      </c>
      <c r="F494" s="1"/>
      <c r="G494" t="s">
        <v>732</v>
      </c>
      <c r="H494" s="1">
        <v>43476</v>
      </c>
      <c r="I494" s="2">
        <v>0</v>
      </c>
      <c r="J494" s="2">
        <v>11226.6</v>
      </c>
      <c r="K494" t="s">
        <v>1</v>
      </c>
      <c r="L494" t="s">
        <v>474</v>
      </c>
      <c r="M494" t="s">
        <v>398</v>
      </c>
      <c r="N494" s="2">
        <v>11226.6</v>
      </c>
      <c r="O494" t="str">
        <f>IFERROR(VLOOKUP($A494,Accounts!$A:$G,3,FALSE),"")</f>
        <v/>
      </c>
    </row>
    <row r="495" spans="1:15" outlineLevel="2" x14ac:dyDescent="0.2">
      <c r="A495" t="str">
        <f t="shared" si="7"/>
        <v>29000002869910606.19</v>
      </c>
      <c r="B495" t="s">
        <v>0</v>
      </c>
      <c r="C495" t="s">
        <v>397</v>
      </c>
      <c r="D495" t="s">
        <v>99</v>
      </c>
      <c r="E495" t="s">
        <v>1</v>
      </c>
      <c r="F495" s="1"/>
      <c r="G495" t="s">
        <v>733</v>
      </c>
      <c r="H495" s="1">
        <v>43476</v>
      </c>
      <c r="I495" s="2">
        <v>0</v>
      </c>
      <c r="J495" s="2">
        <v>10606.19</v>
      </c>
      <c r="K495" t="s">
        <v>1</v>
      </c>
      <c r="L495" t="s">
        <v>474</v>
      </c>
      <c r="M495" t="s">
        <v>398</v>
      </c>
      <c r="N495" s="2">
        <v>10606.19</v>
      </c>
      <c r="O495" t="str">
        <f>IFERROR(VLOOKUP($A495,Accounts!$A:$G,3,FALSE),"")</f>
        <v/>
      </c>
    </row>
    <row r="496" spans="1:15" outlineLevel="2" x14ac:dyDescent="0.2">
      <c r="A496" t="str">
        <f t="shared" si="7"/>
        <v>29000007229910120.54</v>
      </c>
      <c r="B496" t="s">
        <v>0</v>
      </c>
      <c r="C496" t="s">
        <v>397</v>
      </c>
      <c r="D496" t="s">
        <v>99</v>
      </c>
      <c r="E496" t="s">
        <v>1</v>
      </c>
      <c r="F496" s="1"/>
      <c r="G496" t="s">
        <v>734</v>
      </c>
      <c r="H496" s="1">
        <v>43493</v>
      </c>
      <c r="I496" s="2">
        <v>0</v>
      </c>
      <c r="J496" s="2">
        <v>10120.540000000001</v>
      </c>
      <c r="K496" t="s">
        <v>1</v>
      </c>
      <c r="L496" t="s">
        <v>474</v>
      </c>
      <c r="M496" t="s">
        <v>398</v>
      </c>
      <c r="N496" s="2">
        <v>10120.540000000001</v>
      </c>
      <c r="O496" t="str">
        <f>IFERROR(VLOOKUP($A496,Accounts!$A:$G,3,FALSE),"")</f>
        <v/>
      </c>
    </row>
    <row r="497" spans="1:15" outlineLevel="2" x14ac:dyDescent="0.2">
      <c r="A497" t="str">
        <f t="shared" si="7"/>
        <v>29000007639912583.42</v>
      </c>
      <c r="B497" t="s">
        <v>0</v>
      </c>
      <c r="C497" t="s">
        <v>397</v>
      </c>
      <c r="D497" t="s">
        <v>99</v>
      </c>
      <c r="E497" t="s">
        <v>1</v>
      </c>
      <c r="F497" s="1"/>
      <c r="G497" t="s">
        <v>636</v>
      </c>
      <c r="H497" s="1">
        <v>43494</v>
      </c>
      <c r="I497" s="2">
        <v>0</v>
      </c>
      <c r="J497" s="2">
        <v>12583.42</v>
      </c>
      <c r="K497" t="s">
        <v>1</v>
      </c>
      <c r="L497" t="s">
        <v>474</v>
      </c>
      <c r="M497" t="s">
        <v>398</v>
      </c>
      <c r="N497" s="2">
        <v>12583.42</v>
      </c>
      <c r="O497" t="str">
        <f>IFERROR(VLOOKUP($A497,Accounts!$A:$G,3,FALSE),"")</f>
        <v/>
      </c>
    </row>
    <row r="498" spans="1:15" outlineLevel="2" x14ac:dyDescent="0.2">
      <c r="A498" t="str">
        <f t="shared" si="7"/>
        <v>29000002859911094.75</v>
      </c>
      <c r="B498" t="s">
        <v>0</v>
      </c>
      <c r="C498" t="s">
        <v>397</v>
      </c>
      <c r="D498" t="s">
        <v>99</v>
      </c>
      <c r="E498" t="s">
        <v>1</v>
      </c>
      <c r="F498" s="1"/>
      <c r="G498" t="s">
        <v>735</v>
      </c>
      <c r="H498" s="1">
        <v>43476</v>
      </c>
      <c r="I498" s="2">
        <v>0</v>
      </c>
      <c r="J498" s="2">
        <v>11094.75</v>
      </c>
      <c r="K498" t="s">
        <v>1</v>
      </c>
      <c r="L498" t="s">
        <v>474</v>
      </c>
      <c r="M498" t="s">
        <v>398</v>
      </c>
      <c r="N498" s="2">
        <v>11094.75</v>
      </c>
      <c r="O498" t="str">
        <f>IFERROR(VLOOKUP($A498,Accounts!$A:$G,3,FALSE),"")</f>
        <v/>
      </c>
    </row>
    <row r="499" spans="1:15" outlineLevel="2" x14ac:dyDescent="0.2">
      <c r="A499" t="str">
        <f t="shared" si="7"/>
        <v>29000002849910562.43</v>
      </c>
      <c r="B499" t="s">
        <v>0</v>
      </c>
      <c r="C499" t="s">
        <v>397</v>
      </c>
      <c r="D499" t="s">
        <v>99</v>
      </c>
      <c r="E499" t="s">
        <v>1</v>
      </c>
      <c r="F499" s="1"/>
      <c r="G499" t="s">
        <v>736</v>
      </c>
      <c r="H499" s="1">
        <v>43476</v>
      </c>
      <c r="I499" s="2">
        <v>0</v>
      </c>
      <c r="J499" s="2">
        <v>10562.43</v>
      </c>
      <c r="K499" t="s">
        <v>1</v>
      </c>
      <c r="L499" t="s">
        <v>474</v>
      </c>
      <c r="M499" t="s">
        <v>398</v>
      </c>
      <c r="N499" s="2">
        <v>10562.43</v>
      </c>
      <c r="O499" t="str">
        <f>IFERROR(VLOOKUP($A499,Accounts!$A:$G,3,FALSE),"")</f>
        <v/>
      </c>
    </row>
    <row r="500" spans="1:15" outlineLevel="2" x14ac:dyDescent="0.2">
      <c r="A500" t="str">
        <f t="shared" si="7"/>
        <v>290000076499-8476.38</v>
      </c>
      <c r="B500" t="s">
        <v>0</v>
      </c>
      <c r="C500" t="s">
        <v>397</v>
      </c>
      <c r="D500" t="s">
        <v>99</v>
      </c>
      <c r="E500" t="s">
        <v>1</v>
      </c>
      <c r="F500" s="1"/>
      <c r="G500" t="s">
        <v>637</v>
      </c>
      <c r="H500" s="1">
        <v>43495</v>
      </c>
      <c r="I500" s="2">
        <v>0</v>
      </c>
      <c r="J500" s="2">
        <v>-8476.3799999999992</v>
      </c>
      <c r="K500" t="s">
        <v>1</v>
      </c>
      <c r="L500" t="s">
        <v>474</v>
      </c>
      <c r="M500" t="s">
        <v>398</v>
      </c>
      <c r="N500" s="2">
        <v>-8476.3799999999992</v>
      </c>
      <c r="O500" t="str">
        <f>IFERROR(VLOOKUP($A500,Accounts!$A:$G,3,FALSE),"")</f>
        <v/>
      </c>
    </row>
    <row r="501" spans="1:15" outlineLevel="2" x14ac:dyDescent="0.2">
      <c r="A501" t="str">
        <f t="shared" si="7"/>
        <v>29000002529910763.33</v>
      </c>
      <c r="B501" t="s">
        <v>0</v>
      </c>
      <c r="C501" t="s">
        <v>397</v>
      </c>
      <c r="D501" t="s">
        <v>99</v>
      </c>
      <c r="E501" t="s">
        <v>1</v>
      </c>
      <c r="F501" s="1"/>
      <c r="G501" t="s">
        <v>544</v>
      </c>
      <c r="H501" s="1">
        <v>43475</v>
      </c>
      <c r="I501" s="2">
        <v>0</v>
      </c>
      <c r="J501" s="2">
        <v>10763.33</v>
      </c>
      <c r="K501" t="s">
        <v>1</v>
      </c>
      <c r="L501" t="s">
        <v>474</v>
      </c>
      <c r="M501" t="s">
        <v>398</v>
      </c>
      <c r="N501" s="2">
        <v>10763.33</v>
      </c>
      <c r="O501" t="str">
        <f>IFERROR(VLOOKUP($A501,Accounts!$A:$G,3,FALSE),"")</f>
        <v/>
      </c>
    </row>
    <row r="502" spans="1:15" outlineLevel="2" x14ac:dyDescent="0.2">
      <c r="A502" t="str">
        <f t="shared" si="7"/>
        <v>438472.35</v>
      </c>
      <c r="B502" s="3" t="s">
        <v>1</v>
      </c>
      <c r="C502" s="3" t="s">
        <v>397</v>
      </c>
      <c r="D502" s="3" t="s">
        <v>1</v>
      </c>
      <c r="E502" s="3" t="s">
        <v>1</v>
      </c>
      <c r="F502" s="4"/>
      <c r="G502" s="3" t="s">
        <v>1</v>
      </c>
      <c r="H502" s="4"/>
      <c r="I502" s="5">
        <v>-413116.98</v>
      </c>
      <c r="J502" s="5">
        <v>438472.35</v>
      </c>
      <c r="K502" s="3" t="s">
        <v>1</v>
      </c>
      <c r="L502" s="3" t="s">
        <v>1</v>
      </c>
      <c r="M502" s="3" t="s">
        <v>1</v>
      </c>
      <c r="N502" s="5">
        <v>25355.37</v>
      </c>
      <c r="O502" t="str">
        <f>IFERROR(VLOOKUP($A502,Accounts!$A:$G,3,FALSE),"")</f>
        <v/>
      </c>
    </row>
    <row r="503" spans="1:15" outlineLevel="2" x14ac:dyDescent="0.2">
      <c r="A503" t="str">
        <f t="shared" si="7"/>
        <v>602197298133383.18</v>
      </c>
      <c r="B503" t="s">
        <v>0</v>
      </c>
      <c r="C503" t="s">
        <v>8</v>
      </c>
      <c r="D503" t="s">
        <v>95</v>
      </c>
      <c r="E503" t="s">
        <v>96</v>
      </c>
      <c r="F503" s="1">
        <v>39223</v>
      </c>
      <c r="G503" t="s">
        <v>1</v>
      </c>
      <c r="H503" s="1"/>
      <c r="I503" s="2">
        <v>133383.18</v>
      </c>
      <c r="J503" s="2">
        <v>0</v>
      </c>
      <c r="K503" t="s">
        <v>177</v>
      </c>
      <c r="L503" t="s">
        <v>1</v>
      </c>
      <c r="M503" t="s">
        <v>360</v>
      </c>
      <c r="N503" s="2">
        <v>133383.18</v>
      </c>
      <c r="O503" t="str">
        <f>IFERROR(VLOOKUP($A503,Accounts!$A:$G,3,FALSE),"")</f>
        <v/>
      </c>
    </row>
    <row r="504" spans="1:15" outlineLevel="2" x14ac:dyDescent="0.2">
      <c r="A504" t="str">
        <f t="shared" si="7"/>
        <v>141008026529820237.45</v>
      </c>
      <c r="B504" t="s">
        <v>0</v>
      </c>
      <c r="C504" t="s">
        <v>8</v>
      </c>
      <c r="D504" t="s">
        <v>178</v>
      </c>
      <c r="E504" t="s">
        <v>737</v>
      </c>
      <c r="F504" s="1">
        <v>38200</v>
      </c>
      <c r="G504" t="s">
        <v>1</v>
      </c>
      <c r="H504" s="1"/>
      <c r="I504" s="2">
        <v>20237.45</v>
      </c>
      <c r="J504" s="2">
        <v>0</v>
      </c>
      <c r="K504" t="s">
        <v>171</v>
      </c>
      <c r="L504" t="s">
        <v>1</v>
      </c>
      <c r="M504" t="s">
        <v>360</v>
      </c>
      <c r="N504" s="2">
        <v>20237.45</v>
      </c>
      <c r="O504" t="str">
        <f>IFERROR(VLOOKUP($A504,Accounts!$A:$G,3,FALSE),"")</f>
        <v/>
      </c>
    </row>
    <row r="505" spans="1:15" outlineLevel="2" x14ac:dyDescent="0.2">
      <c r="A505" t="str">
        <f t="shared" si="7"/>
        <v>141008026629811265.72</v>
      </c>
      <c r="B505" t="s">
        <v>0</v>
      </c>
      <c r="C505" t="s">
        <v>8</v>
      </c>
      <c r="D505" t="s">
        <v>178</v>
      </c>
      <c r="E505" t="s">
        <v>738</v>
      </c>
      <c r="F505" s="1">
        <v>38200</v>
      </c>
      <c r="G505" t="s">
        <v>1</v>
      </c>
      <c r="H505" s="1"/>
      <c r="I505" s="2">
        <v>11265.72</v>
      </c>
      <c r="J505" s="2">
        <v>0</v>
      </c>
      <c r="K505" t="s">
        <v>171</v>
      </c>
      <c r="L505" t="s">
        <v>1</v>
      </c>
      <c r="M505" t="s">
        <v>360</v>
      </c>
      <c r="N505" s="2">
        <v>11265.72</v>
      </c>
      <c r="O505" t="str">
        <f>IFERROR(VLOOKUP($A505,Accounts!$A:$G,3,FALSE),"")</f>
        <v/>
      </c>
    </row>
    <row r="506" spans="1:15" outlineLevel="2" x14ac:dyDescent="0.2">
      <c r="A506" t="str">
        <f t="shared" si="7"/>
        <v>14100802632988821.47</v>
      </c>
      <c r="B506" t="s">
        <v>0</v>
      </c>
      <c r="C506" t="s">
        <v>8</v>
      </c>
      <c r="D506" t="s">
        <v>178</v>
      </c>
      <c r="E506" t="s">
        <v>739</v>
      </c>
      <c r="F506" s="1">
        <v>38200</v>
      </c>
      <c r="G506" t="s">
        <v>1</v>
      </c>
      <c r="H506" s="1"/>
      <c r="I506" s="2">
        <v>8821.4699999999993</v>
      </c>
      <c r="J506" s="2">
        <v>0</v>
      </c>
      <c r="K506" t="s">
        <v>171</v>
      </c>
      <c r="L506" t="s">
        <v>1</v>
      </c>
      <c r="M506" t="s">
        <v>360</v>
      </c>
      <c r="N506" s="2">
        <v>8821.4699999999993</v>
      </c>
      <c r="O506" t="str">
        <f>IFERROR(VLOOKUP($A506,Accounts!$A:$G,3,FALSE),"")</f>
        <v/>
      </c>
    </row>
    <row r="507" spans="1:15" outlineLevel="2" x14ac:dyDescent="0.2">
      <c r="A507" t="str">
        <f t="shared" si="7"/>
        <v>14100802642982834.52</v>
      </c>
      <c r="B507" t="s">
        <v>0</v>
      </c>
      <c r="C507" t="s">
        <v>8</v>
      </c>
      <c r="D507" t="s">
        <v>178</v>
      </c>
      <c r="E507" t="s">
        <v>740</v>
      </c>
      <c r="F507" s="1">
        <v>38200</v>
      </c>
      <c r="G507" t="s">
        <v>1</v>
      </c>
      <c r="H507" s="1"/>
      <c r="I507" s="2">
        <v>2834.52</v>
      </c>
      <c r="J507" s="2">
        <v>0</v>
      </c>
      <c r="K507" t="s">
        <v>171</v>
      </c>
      <c r="L507" t="s">
        <v>1</v>
      </c>
      <c r="M507" t="s">
        <v>360</v>
      </c>
      <c r="N507" s="2">
        <v>2834.52</v>
      </c>
      <c r="O507" t="str">
        <f>IFERROR(VLOOKUP($A507,Accounts!$A:$G,3,FALSE),"")</f>
        <v/>
      </c>
    </row>
    <row r="508" spans="1:15" outlineLevel="2" x14ac:dyDescent="0.2">
      <c r="A508" t="str">
        <f t="shared" si="7"/>
        <v>141008026729810430.21</v>
      </c>
      <c r="B508" t="s">
        <v>0</v>
      </c>
      <c r="C508" t="s">
        <v>8</v>
      </c>
      <c r="D508" t="s">
        <v>178</v>
      </c>
      <c r="E508" t="s">
        <v>741</v>
      </c>
      <c r="F508" s="1">
        <v>38200</v>
      </c>
      <c r="G508" t="s">
        <v>1</v>
      </c>
      <c r="H508" s="1"/>
      <c r="I508" s="2">
        <v>10430.209999999999</v>
      </c>
      <c r="J508" s="2">
        <v>0</v>
      </c>
      <c r="K508" t="s">
        <v>171</v>
      </c>
      <c r="L508" t="s">
        <v>1</v>
      </c>
      <c r="M508" t="s">
        <v>360</v>
      </c>
      <c r="N508" s="2">
        <v>10430.209999999999</v>
      </c>
      <c r="O508" t="str">
        <f>IFERROR(VLOOKUP($A508,Accounts!$A:$G,3,FALSE),"")</f>
        <v/>
      </c>
    </row>
    <row r="509" spans="1:15" outlineLevel="2" x14ac:dyDescent="0.2">
      <c r="A509" t="str">
        <f t="shared" si="7"/>
        <v>141008026829830457.96</v>
      </c>
      <c r="B509" t="s">
        <v>0</v>
      </c>
      <c r="C509" t="s">
        <v>8</v>
      </c>
      <c r="D509" t="s">
        <v>178</v>
      </c>
      <c r="E509" t="s">
        <v>742</v>
      </c>
      <c r="F509" s="1">
        <v>38200</v>
      </c>
      <c r="G509" t="s">
        <v>1</v>
      </c>
      <c r="H509" s="1"/>
      <c r="I509" s="2">
        <v>30457.96</v>
      </c>
      <c r="J509" s="2">
        <v>0</v>
      </c>
      <c r="K509" t="s">
        <v>171</v>
      </c>
      <c r="L509" t="s">
        <v>1</v>
      </c>
      <c r="M509" t="s">
        <v>360</v>
      </c>
      <c r="N509" s="2">
        <v>30457.96</v>
      </c>
      <c r="O509" t="str">
        <f>IFERROR(VLOOKUP($A509,Accounts!$A:$G,3,FALSE),"")</f>
        <v/>
      </c>
    </row>
    <row r="510" spans="1:15" outlineLevel="2" x14ac:dyDescent="0.2">
      <c r="A510" t="str">
        <f t="shared" si="7"/>
        <v>141008026929853553.95</v>
      </c>
      <c r="B510" t="s">
        <v>0</v>
      </c>
      <c r="C510" t="s">
        <v>8</v>
      </c>
      <c r="D510" t="s">
        <v>178</v>
      </c>
      <c r="E510" t="s">
        <v>743</v>
      </c>
      <c r="F510" s="1">
        <v>38200</v>
      </c>
      <c r="G510" t="s">
        <v>1</v>
      </c>
      <c r="H510" s="1"/>
      <c r="I510" s="2">
        <v>53553.95</v>
      </c>
      <c r="J510" s="2">
        <v>0</v>
      </c>
      <c r="K510" t="s">
        <v>171</v>
      </c>
      <c r="L510" t="s">
        <v>1</v>
      </c>
      <c r="M510" t="s">
        <v>360</v>
      </c>
      <c r="N510" s="2">
        <v>53553.95</v>
      </c>
      <c r="O510" t="str">
        <f>IFERROR(VLOOKUP($A510,Accounts!$A:$G,3,FALSE),"")</f>
        <v/>
      </c>
    </row>
    <row r="511" spans="1:15" outlineLevel="2" x14ac:dyDescent="0.2">
      <c r="A511" t="str">
        <f t="shared" si="7"/>
        <v>141008027029820985.86</v>
      </c>
      <c r="B511" t="s">
        <v>0</v>
      </c>
      <c r="C511" t="s">
        <v>8</v>
      </c>
      <c r="D511" t="s">
        <v>178</v>
      </c>
      <c r="E511" t="s">
        <v>744</v>
      </c>
      <c r="F511" s="1">
        <v>38200</v>
      </c>
      <c r="G511" t="s">
        <v>1</v>
      </c>
      <c r="H511" s="1"/>
      <c r="I511" s="2">
        <v>20985.86</v>
      </c>
      <c r="J511" s="2">
        <v>0</v>
      </c>
      <c r="K511" t="s">
        <v>171</v>
      </c>
      <c r="L511" t="s">
        <v>1</v>
      </c>
      <c r="M511" t="s">
        <v>360</v>
      </c>
      <c r="N511" s="2">
        <v>20985.86</v>
      </c>
      <c r="O511" t="str">
        <f>IFERROR(VLOOKUP($A511,Accounts!$A:$G,3,FALSE),"")</f>
        <v/>
      </c>
    </row>
    <row r="512" spans="1:15" outlineLevel="2" x14ac:dyDescent="0.2">
      <c r="A512" t="str">
        <f t="shared" si="7"/>
        <v>141008104729820508.18</v>
      </c>
      <c r="B512" t="s">
        <v>0</v>
      </c>
      <c r="C512" t="s">
        <v>8</v>
      </c>
      <c r="D512" t="s">
        <v>178</v>
      </c>
      <c r="E512" t="s">
        <v>745</v>
      </c>
      <c r="F512" s="1">
        <v>38200</v>
      </c>
      <c r="G512" t="s">
        <v>1</v>
      </c>
      <c r="H512" s="1"/>
      <c r="I512" s="2">
        <v>20508.18</v>
      </c>
      <c r="J512" s="2">
        <v>0</v>
      </c>
      <c r="K512" t="s">
        <v>171</v>
      </c>
      <c r="L512" t="s">
        <v>1</v>
      </c>
      <c r="M512" t="s">
        <v>360</v>
      </c>
      <c r="N512" s="2">
        <v>20508.18</v>
      </c>
      <c r="O512" t="str">
        <f>IFERROR(VLOOKUP($A512,Accounts!$A:$G,3,FALSE),"")</f>
        <v/>
      </c>
    </row>
    <row r="513" spans="1:15" outlineLevel="2" x14ac:dyDescent="0.2">
      <c r="A513" t="str">
        <f t="shared" si="7"/>
        <v>141008104629887142.74</v>
      </c>
      <c r="B513" t="s">
        <v>0</v>
      </c>
      <c r="C513" t="s">
        <v>8</v>
      </c>
      <c r="D513" t="s">
        <v>178</v>
      </c>
      <c r="E513" t="s">
        <v>746</v>
      </c>
      <c r="F513" s="1">
        <v>38200</v>
      </c>
      <c r="G513" t="s">
        <v>1</v>
      </c>
      <c r="H513" s="1"/>
      <c r="I513" s="2">
        <v>87142.74</v>
      </c>
      <c r="J513" s="2">
        <v>0</v>
      </c>
      <c r="K513" t="s">
        <v>171</v>
      </c>
      <c r="L513" t="s">
        <v>1</v>
      </c>
      <c r="M513" t="s">
        <v>360</v>
      </c>
      <c r="N513" s="2">
        <v>87142.74</v>
      </c>
      <c r="O513" t="str">
        <f>IFERROR(VLOOKUP($A513,Accounts!$A:$G,3,FALSE),"")</f>
        <v/>
      </c>
    </row>
    <row r="514" spans="1:15" outlineLevel="2" x14ac:dyDescent="0.2">
      <c r="A514" t="str">
        <f t="shared" si="7"/>
        <v>141008104529865307.59</v>
      </c>
      <c r="B514" t="s">
        <v>0</v>
      </c>
      <c r="C514" t="s">
        <v>8</v>
      </c>
      <c r="D514" t="s">
        <v>178</v>
      </c>
      <c r="E514" t="s">
        <v>747</v>
      </c>
      <c r="F514" s="1">
        <v>38200</v>
      </c>
      <c r="G514" t="s">
        <v>1</v>
      </c>
      <c r="H514" s="1"/>
      <c r="I514" s="2">
        <v>65307.59</v>
      </c>
      <c r="J514" s="2">
        <v>0</v>
      </c>
      <c r="K514" t="s">
        <v>171</v>
      </c>
      <c r="L514" t="s">
        <v>1</v>
      </c>
      <c r="M514" t="s">
        <v>360</v>
      </c>
      <c r="N514" s="2">
        <v>65307.59</v>
      </c>
      <c r="O514" t="str">
        <f>IFERROR(VLOOKUP($A514,Accounts!$A:$G,3,FALSE),"")</f>
        <v/>
      </c>
    </row>
    <row r="515" spans="1:15" outlineLevel="2" x14ac:dyDescent="0.2">
      <c r="A515" t="str">
        <f t="shared" si="7"/>
        <v>141008089329841729.91</v>
      </c>
      <c r="B515" t="s">
        <v>0</v>
      </c>
      <c r="C515" t="s">
        <v>8</v>
      </c>
      <c r="D515" t="s">
        <v>178</v>
      </c>
      <c r="E515" t="s">
        <v>748</v>
      </c>
      <c r="F515" s="1">
        <v>38200</v>
      </c>
      <c r="G515" t="s">
        <v>1</v>
      </c>
      <c r="H515" s="1"/>
      <c r="I515" s="2">
        <v>41729.910000000003</v>
      </c>
      <c r="J515" s="2">
        <v>0</v>
      </c>
      <c r="K515" t="s">
        <v>171</v>
      </c>
      <c r="L515" t="s">
        <v>1</v>
      </c>
      <c r="M515" t="s">
        <v>360</v>
      </c>
      <c r="N515" s="2">
        <v>41729.910000000003</v>
      </c>
      <c r="O515" t="str">
        <f>IFERROR(VLOOKUP($A515,Accounts!$A:$G,3,FALSE),"")</f>
        <v/>
      </c>
    </row>
    <row r="516" spans="1:15" outlineLevel="2" x14ac:dyDescent="0.2">
      <c r="A516" t="str">
        <f t="shared" si="7"/>
        <v>141008089229810218.95</v>
      </c>
      <c r="B516" t="s">
        <v>0</v>
      </c>
      <c r="C516" t="s">
        <v>8</v>
      </c>
      <c r="D516" t="s">
        <v>178</v>
      </c>
      <c r="E516" t="s">
        <v>749</v>
      </c>
      <c r="F516" s="1">
        <v>38200</v>
      </c>
      <c r="G516" t="s">
        <v>1</v>
      </c>
      <c r="H516" s="1"/>
      <c r="I516" s="2">
        <v>10218.950000000001</v>
      </c>
      <c r="J516" s="2">
        <v>0</v>
      </c>
      <c r="K516" t="s">
        <v>171</v>
      </c>
      <c r="L516" t="s">
        <v>1</v>
      </c>
      <c r="M516" t="s">
        <v>360</v>
      </c>
      <c r="N516" s="2">
        <v>10218.950000000001</v>
      </c>
      <c r="O516" t="str">
        <f>IFERROR(VLOOKUP($A516,Accounts!$A:$G,3,FALSE),"")</f>
        <v/>
      </c>
    </row>
    <row r="517" spans="1:15" outlineLevel="2" x14ac:dyDescent="0.2">
      <c r="A517" t="str">
        <f t="shared" si="7"/>
        <v>141008089129832304.84</v>
      </c>
      <c r="B517" t="s">
        <v>0</v>
      </c>
      <c r="C517" t="s">
        <v>8</v>
      </c>
      <c r="D517" t="s">
        <v>178</v>
      </c>
      <c r="E517" t="s">
        <v>750</v>
      </c>
      <c r="F517" s="1">
        <v>38200</v>
      </c>
      <c r="G517" t="s">
        <v>1</v>
      </c>
      <c r="H517" s="1"/>
      <c r="I517" s="2">
        <v>32304.84</v>
      </c>
      <c r="J517" s="2">
        <v>0</v>
      </c>
      <c r="K517" t="s">
        <v>171</v>
      </c>
      <c r="L517" t="s">
        <v>1</v>
      </c>
      <c r="M517" t="s">
        <v>360</v>
      </c>
      <c r="N517" s="2">
        <v>32304.84</v>
      </c>
      <c r="O517" t="str">
        <f>IFERROR(VLOOKUP($A517,Accounts!$A:$G,3,FALSE),"")</f>
        <v/>
      </c>
    </row>
    <row r="518" spans="1:15" outlineLevel="2" x14ac:dyDescent="0.2">
      <c r="A518" t="str">
        <f t="shared" si="7"/>
        <v>141008076529810077.01</v>
      </c>
      <c r="B518" t="s">
        <v>0</v>
      </c>
      <c r="C518" t="s">
        <v>8</v>
      </c>
      <c r="D518" t="s">
        <v>178</v>
      </c>
      <c r="E518" t="s">
        <v>751</v>
      </c>
      <c r="F518" s="1">
        <v>38200</v>
      </c>
      <c r="G518" t="s">
        <v>1</v>
      </c>
      <c r="H518" s="1"/>
      <c r="I518" s="2">
        <v>10077.01</v>
      </c>
      <c r="J518" s="2">
        <v>0</v>
      </c>
      <c r="K518" t="s">
        <v>171</v>
      </c>
      <c r="L518" t="s">
        <v>1</v>
      </c>
      <c r="M518" t="s">
        <v>360</v>
      </c>
      <c r="N518" s="2">
        <v>10077.01</v>
      </c>
      <c r="O518" t="str">
        <f>IFERROR(VLOOKUP($A518,Accounts!$A:$G,3,FALSE),"")</f>
        <v/>
      </c>
    </row>
    <row r="519" spans="1:15" outlineLevel="2" x14ac:dyDescent="0.2">
      <c r="A519" t="str">
        <f t="shared" si="7"/>
        <v>141008076429810278.36</v>
      </c>
      <c r="B519" t="s">
        <v>0</v>
      </c>
      <c r="C519" t="s">
        <v>8</v>
      </c>
      <c r="D519" t="s">
        <v>178</v>
      </c>
      <c r="E519" t="s">
        <v>752</v>
      </c>
      <c r="F519" s="1">
        <v>38200</v>
      </c>
      <c r="G519" t="s">
        <v>1</v>
      </c>
      <c r="H519" s="1"/>
      <c r="I519" s="2">
        <v>10278.36</v>
      </c>
      <c r="J519" s="2">
        <v>0</v>
      </c>
      <c r="K519" t="s">
        <v>171</v>
      </c>
      <c r="L519" t="s">
        <v>1</v>
      </c>
      <c r="M519" t="s">
        <v>360</v>
      </c>
      <c r="N519" s="2">
        <v>10278.36</v>
      </c>
      <c r="O519" t="str">
        <f>IFERROR(VLOOKUP($A519,Accounts!$A:$G,3,FALSE),"")</f>
        <v/>
      </c>
    </row>
    <row r="520" spans="1:15" outlineLevel="2" x14ac:dyDescent="0.2">
      <c r="A520" t="str">
        <f t="shared" si="7"/>
        <v>141008076329810572.97</v>
      </c>
      <c r="B520" t="s">
        <v>0</v>
      </c>
      <c r="C520" t="s">
        <v>8</v>
      </c>
      <c r="D520" t="s">
        <v>178</v>
      </c>
      <c r="E520" t="s">
        <v>753</v>
      </c>
      <c r="F520" s="1">
        <v>38200</v>
      </c>
      <c r="G520" t="s">
        <v>1</v>
      </c>
      <c r="H520" s="1"/>
      <c r="I520" s="2">
        <v>10572.97</v>
      </c>
      <c r="J520" s="2">
        <v>0</v>
      </c>
      <c r="K520" t="s">
        <v>171</v>
      </c>
      <c r="L520" t="s">
        <v>1</v>
      </c>
      <c r="M520" t="s">
        <v>360</v>
      </c>
      <c r="N520" s="2">
        <v>10572.97</v>
      </c>
      <c r="O520" t="str">
        <f>IFERROR(VLOOKUP($A520,Accounts!$A:$G,3,FALSE),"")</f>
        <v/>
      </c>
    </row>
    <row r="521" spans="1:15" outlineLevel="2" x14ac:dyDescent="0.2">
      <c r="A521" t="str">
        <f t="shared" si="7"/>
        <v>141008076229842195.34</v>
      </c>
      <c r="B521" t="s">
        <v>0</v>
      </c>
      <c r="C521" t="s">
        <v>8</v>
      </c>
      <c r="D521" t="s">
        <v>178</v>
      </c>
      <c r="E521" t="s">
        <v>754</v>
      </c>
      <c r="F521" s="1">
        <v>38200</v>
      </c>
      <c r="G521" t="s">
        <v>1</v>
      </c>
      <c r="H521" s="1"/>
      <c r="I521" s="2">
        <v>42195.34</v>
      </c>
      <c r="J521" s="2">
        <v>0</v>
      </c>
      <c r="K521" t="s">
        <v>171</v>
      </c>
      <c r="L521" t="s">
        <v>1</v>
      </c>
      <c r="M521" t="s">
        <v>360</v>
      </c>
      <c r="N521" s="2">
        <v>42195.34</v>
      </c>
      <c r="O521" t="str">
        <f>IFERROR(VLOOKUP($A521,Accounts!$A:$G,3,FALSE),"")</f>
        <v/>
      </c>
    </row>
    <row r="522" spans="1:15" outlineLevel="2" x14ac:dyDescent="0.2">
      <c r="A522" t="str">
        <f t="shared" ref="A522:A585" si="8">IFERROR(IF(J522=0,E522&amp;C522&amp;I522,G522&amp;B522&amp;J522),"")</f>
        <v>141008076129810392.25</v>
      </c>
      <c r="B522" t="s">
        <v>0</v>
      </c>
      <c r="C522" t="s">
        <v>8</v>
      </c>
      <c r="D522" t="s">
        <v>178</v>
      </c>
      <c r="E522" t="s">
        <v>755</v>
      </c>
      <c r="F522" s="1">
        <v>38200</v>
      </c>
      <c r="G522" t="s">
        <v>1</v>
      </c>
      <c r="H522" s="1"/>
      <c r="I522" s="2">
        <v>10392.25</v>
      </c>
      <c r="J522" s="2">
        <v>0</v>
      </c>
      <c r="K522" t="s">
        <v>171</v>
      </c>
      <c r="L522" t="s">
        <v>1</v>
      </c>
      <c r="M522" t="s">
        <v>360</v>
      </c>
      <c r="N522" s="2">
        <v>10392.25</v>
      </c>
      <c r="O522" t="str">
        <f>IFERROR(VLOOKUP($A522,Accounts!$A:$G,3,FALSE),"")</f>
        <v/>
      </c>
    </row>
    <row r="523" spans="1:15" outlineLevel="2" x14ac:dyDescent="0.2">
      <c r="A523" t="str">
        <f t="shared" si="8"/>
        <v>141008075729810082.78</v>
      </c>
      <c r="B523" t="s">
        <v>0</v>
      </c>
      <c r="C523" t="s">
        <v>8</v>
      </c>
      <c r="D523" t="s">
        <v>178</v>
      </c>
      <c r="E523" t="s">
        <v>756</v>
      </c>
      <c r="F523" s="1">
        <v>38200</v>
      </c>
      <c r="G523" t="s">
        <v>1</v>
      </c>
      <c r="H523" s="1"/>
      <c r="I523" s="2">
        <v>10082.780000000001</v>
      </c>
      <c r="J523" s="2">
        <v>0</v>
      </c>
      <c r="K523" t="s">
        <v>171</v>
      </c>
      <c r="L523" t="s">
        <v>1</v>
      </c>
      <c r="M523" t="s">
        <v>360</v>
      </c>
      <c r="N523" s="2">
        <v>10082.780000000001</v>
      </c>
      <c r="O523" t="str">
        <f>IFERROR(VLOOKUP($A523,Accounts!$A:$G,3,FALSE),"")</f>
        <v/>
      </c>
    </row>
    <row r="524" spans="1:15" outlineLevel="2" x14ac:dyDescent="0.2">
      <c r="A524" t="str">
        <f t="shared" si="8"/>
        <v>141008075629810478.9</v>
      </c>
      <c r="B524" t="s">
        <v>0</v>
      </c>
      <c r="C524" t="s">
        <v>8</v>
      </c>
      <c r="D524" t="s">
        <v>178</v>
      </c>
      <c r="E524" t="s">
        <v>757</v>
      </c>
      <c r="F524" s="1">
        <v>38200</v>
      </c>
      <c r="G524" t="s">
        <v>1</v>
      </c>
      <c r="H524" s="1"/>
      <c r="I524" s="2">
        <v>10478.9</v>
      </c>
      <c r="J524" s="2">
        <v>0</v>
      </c>
      <c r="K524" t="s">
        <v>171</v>
      </c>
      <c r="L524" t="s">
        <v>1</v>
      </c>
      <c r="M524" t="s">
        <v>360</v>
      </c>
      <c r="N524" s="2">
        <v>10478.9</v>
      </c>
      <c r="O524" t="str">
        <f>IFERROR(VLOOKUP($A524,Accounts!$A:$G,3,FALSE),"")</f>
        <v/>
      </c>
    </row>
    <row r="525" spans="1:15" outlineLevel="2" x14ac:dyDescent="0.2">
      <c r="A525" t="str">
        <f t="shared" si="8"/>
        <v>141008075029810638.17</v>
      </c>
      <c r="B525" t="s">
        <v>0</v>
      </c>
      <c r="C525" t="s">
        <v>8</v>
      </c>
      <c r="D525" t="s">
        <v>178</v>
      </c>
      <c r="E525" t="s">
        <v>758</v>
      </c>
      <c r="F525" s="1">
        <v>38200</v>
      </c>
      <c r="G525" t="s">
        <v>1</v>
      </c>
      <c r="H525" s="1"/>
      <c r="I525" s="2">
        <v>10638.17</v>
      </c>
      <c r="J525" s="2">
        <v>0</v>
      </c>
      <c r="K525" t="s">
        <v>171</v>
      </c>
      <c r="L525" t="s">
        <v>1</v>
      </c>
      <c r="M525" t="s">
        <v>360</v>
      </c>
      <c r="N525" s="2">
        <v>10638.17</v>
      </c>
      <c r="O525" t="str">
        <f>IFERROR(VLOOKUP($A525,Accounts!$A:$G,3,FALSE),"")</f>
        <v/>
      </c>
    </row>
    <row r="526" spans="1:15" outlineLevel="2" x14ac:dyDescent="0.2">
      <c r="A526" t="str">
        <f t="shared" si="8"/>
        <v>141008074929821800.37</v>
      </c>
      <c r="B526" t="s">
        <v>0</v>
      </c>
      <c r="C526" t="s">
        <v>8</v>
      </c>
      <c r="D526" t="s">
        <v>178</v>
      </c>
      <c r="E526" t="s">
        <v>759</v>
      </c>
      <c r="F526" s="1">
        <v>38200</v>
      </c>
      <c r="G526" t="s">
        <v>1</v>
      </c>
      <c r="H526" s="1"/>
      <c r="I526" s="2">
        <v>21800.37</v>
      </c>
      <c r="J526" s="2">
        <v>0</v>
      </c>
      <c r="K526" t="s">
        <v>171</v>
      </c>
      <c r="L526" t="s">
        <v>1</v>
      </c>
      <c r="M526" t="s">
        <v>360</v>
      </c>
      <c r="N526" s="2">
        <v>21800.37</v>
      </c>
      <c r="O526" t="str">
        <f>IFERROR(VLOOKUP($A526,Accounts!$A:$G,3,FALSE),"")</f>
        <v/>
      </c>
    </row>
    <row r="527" spans="1:15" outlineLevel="2" x14ac:dyDescent="0.2">
      <c r="A527" t="str">
        <f t="shared" si="8"/>
        <v>14100807482982876.67</v>
      </c>
      <c r="B527" t="s">
        <v>0</v>
      </c>
      <c r="C527" t="s">
        <v>8</v>
      </c>
      <c r="D527" t="s">
        <v>178</v>
      </c>
      <c r="E527" t="s">
        <v>760</v>
      </c>
      <c r="F527" s="1">
        <v>38200</v>
      </c>
      <c r="G527" t="s">
        <v>1</v>
      </c>
      <c r="H527" s="1"/>
      <c r="I527" s="2">
        <v>2876.67</v>
      </c>
      <c r="J527" s="2">
        <v>0</v>
      </c>
      <c r="K527" t="s">
        <v>171</v>
      </c>
      <c r="L527" t="s">
        <v>1</v>
      </c>
      <c r="M527" t="s">
        <v>360</v>
      </c>
      <c r="N527" s="2">
        <v>2876.67</v>
      </c>
      <c r="O527" t="str">
        <f>IFERROR(VLOOKUP($A527,Accounts!$A:$G,3,FALSE),"")</f>
        <v/>
      </c>
    </row>
    <row r="528" spans="1:15" outlineLevel="2" x14ac:dyDescent="0.2">
      <c r="A528" t="str">
        <f t="shared" si="8"/>
        <v>141008074729818161.87</v>
      </c>
      <c r="B528" t="s">
        <v>0</v>
      </c>
      <c r="C528" t="s">
        <v>8</v>
      </c>
      <c r="D528" t="s">
        <v>178</v>
      </c>
      <c r="E528" t="s">
        <v>761</v>
      </c>
      <c r="F528" s="1">
        <v>38200</v>
      </c>
      <c r="G528" t="s">
        <v>1</v>
      </c>
      <c r="H528" s="1"/>
      <c r="I528" s="2">
        <v>18161.87</v>
      </c>
      <c r="J528" s="2">
        <v>0</v>
      </c>
      <c r="K528" t="s">
        <v>171</v>
      </c>
      <c r="L528" t="s">
        <v>1</v>
      </c>
      <c r="M528" t="s">
        <v>360</v>
      </c>
      <c r="N528" s="2">
        <v>18161.87</v>
      </c>
      <c r="O528" t="str">
        <f>IFERROR(VLOOKUP($A528,Accounts!$A:$G,3,FALSE),"")</f>
        <v/>
      </c>
    </row>
    <row r="529" spans="1:15" outlineLevel="2" x14ac:dyDescent="0.2">
      <c r="A529" t="str">
        <f t="shared" si="8"/>
        <v>141008074629810742.97</v>
      </c>
      <c r="B529" t="s">
        <v>0</v>
      </c>
      <c r="C529" t="s">
        <v>8</v>
      </c>
      <c r="D529" t="s">
        <v>178</v>
      </c>
      <c r="E529" t="s">
        <v>762</v>
      </c>
      <c r="F529" s="1">
        <v>38200</v>
      </c>
      <c r="G529" t="s">
        <v>1</v>
      </c>
      <c r="H529" s="1"/>
      <c r="I529" s="2">
        <v>10742.97</v>
      </c>
      <c r="J529" s="2">
        <v>0</v>
      </c>
      <c r="K529" t="s">
        <v>171</v>
      </c>
      <c r="L529" t="s">
        <v>1</v>
      </c>
      <c r="M529" t="s">
        <v>360</v>
      </c>
      <c r="N529" s="2">
        <v>10742.97</v>
      </c>
      <c r="O529" t="str">
        <f>IFERROR(VLOOKUP($A529,Accounts!$A:$G,3,FALSE),"")</f>
        <v/>
      </c>
    </row>
    <row r="530" spans="1:15" outlineLevel="2" x14ac:dyDescent="0.2">
      <c r="A530" t="str">
        <f t="shared" si="8"/>
        <v>141008074529826330.11</v>
      </c>
      <c r="B530" t="s">
        <v>0</v>
      </c>
      <c r="C530" t="s">
        <v>8</v>
      </c>
      <c r="D530" t="s">
        <v>178</v>
      </c>
      <c r="E530" t="s">
        <v>763</v>
      </c>
      <c r="F530" s="1">
        <v>38200</v>
      </c>
      <c r="G530" t="s">
        <v>1</v>
      </c>
      <c r="H530" s="1"/>
      <c r="I530" s="2">
        <v>26330.11</v>
      </c>
      <c r="J530" s="2">
        <v>0</v>
      </c>
      <c r="K530" t="s">
        <v>171</v>
      </c>
      <c r="L530" t="s">
        <v>1</v>
      </c>
      <c r="M530" t="s">
        <v>360</v>
      </c>
      <c r="N530" s="2">
        <v>26330.11</v>
      </c>
      <c r="O530" t="str">
        <f>IFERROR(VLOOKUP($A530,Accounts!$A:$G,3,FALSE),"")</f>
        <v/>
      </c>
    </row>
    <row r="531" spans="1:15" outlineLevel="2" x14ac:dyDescent="0.2">
      <c r="A531" t="str">
        <f t="shared" si="8"/>
        <v>141008074429816532.86</v>
      </c>
      <c r="B531" t="s">
        <v>0</v>
      </c>
      <c r="C531" t="s">
        <v>8</v>
      </c>
      <c r="D531" t="s">
        <v>178</v>
      </c>
      <c r="E531" t="s">
        <v>764</v>
      </c>
      <c r="F531" s="1">
        <v>38200</v>
      </c>
      <c r="G531" t="s">
        <v>1</v>
      </c>
      <c r="H531" s="1"/>
      <c r="I531" s="2">
        <v>16532.86</v>
      </c>
      <c r="J531" s="2">
        <v>0</v>
      </c>
      <c r="K531" t="s">
        <v>171</v>
      </c>
      <c r="L531" t="s">
        <v>1</v>
      </c>
      <c r="M531" t="s">
        <v>360</v>
      </c>
      <c r="N531" s="2">
        <v>16532.86</v>
      </c>
      <c r="O531" t="str">
        <f>IFERROR(VLOOKUP($A531,Accounts!$A:$G,3,FALSE),"")</f>
        <v/>
      </c>
    </row>
    <row r="532" spans="1:15" outlineLevel="2" x14ac:dyDescent="0.2">
      <c r="A532" t="str">
        <f t="shared" si="8"/>
        <v>141008068729875.78</v>
      </c>
      <c r="B532" t="s">
        <v>0</v>
      </c>
      <c r="C532" t="s">
        <v>8</v>
      </c>
      <c r="D532" t="s">
        <v>178</v>
      </c>
      <c r="E532" t="s">
        <v>765</v>
      </c>
      <c r="F532" s="1">
        <v>38200</v>
      </c>
      <c r="G532" t="s">
        <v>1</v>
      </c>
      <c r="H532" s="1"/>
      <c r="I532" s="2">
        <v>75.78</v>
      </c>
      <c r="J532" s="2">
        <v>0</v>
      </c>
      <c r="K532" t="s">
        <v>171</v>
      </c>
      <c r="L532" t="s">
        <v>1</v>
      </c>
      <c r="M532" t="s">
        <v>360</v>
      </c>
      <c r="N532" s="2">
        <v>75.78</v>
      </c>
      <c r="O532" t="str">
        <f>IFERROR(VLOOKUP($A532,Accounts!$A:$G,3,FALSE),"")</f>
        <v/>
      </c>
    </row>
    <row r="533" spans="1:15" outlineLevel="2" x14ac:dyDescent="0.2">
      <c r="A533" t="str">
        <f t="shared" si="8"/>
        <v>141008024629820221.68</v>
      </c>
      <c r="B533" t="s">
        <v>0</v>
      </c>
      <c r="C533" t="s">
        <v>8</v>
      </c>
      <c r="D533" t="s">
        <v>178</v>
      </c>
      <c r="E533" t="s">
        <v>766</v>
      </c>
      <c r="F533" s="1">
        <v>38200</v>
      </c>
      <c r="G533" t="s">
        <v>1</v>
      </c>
      <c r="H533" s="1"/>
      <c r="I533" s="2">
        <v>20221.68</v>
      </c>
      <c r="J533" s="2">
        <v>0</v>
      </c>
      <c r="K533" t="s">
        <v>171</v>
      </c>
      <c r="L533" t="s">
        <v>1</v>
      </c>
      <c r="M533" t="s">
        <v>360</v>
      </c>
      <c r="N533" s="2">
        <v>20221.68</v>
      </c>
      <c r="O533" t="str">
        <f>IFERROR(VLOOKUP($A533,Accounts!$A:$G,3,FALSE),"")</f>
        <v/>
      </c>
    </row>
    <row r="534" spans="1:15" outlineLevel="2" x14ac:dyDescent="0.2">
      <c r="A534" t="str">
        <f t="shared" si="8"/>
        <v>14100802472985057.99</v>
      </c>
      <c r="B534" t="s">
        <v>0</v>
      </c>
      <c r="C534" t="s">
        <v>8</v>
      </c>
      <c r="D534" t="s">
        <v>178</v>
      </c>
      <c r="E534" t="s">
        <v>767</v>
      </c>
      <c r="F534" s="1">
        <v>38200</v>
      </c>
      <c r="G534" t="s">
        <v>1</v>
      </c>
      <c r="H534" s="1"/>
      <c r="I534" s="2">
        <v>5057.99</v>
      </c>
      <c r="J534" s="2">
        <v>0</v>
      </c>
      <c r="K534" t="s">
        <v>171</v>
      </c>
      <c r="L534" t="s">
        <v>1</v>
      </c>
      <c r="M534" t="s">
        <v>360</v>
      </c>
      <c r="N534" s="2">
        <v>5057.99</v>
      </c>
      <c r="O534" t="str">
        <f>IFERROR(VLOOKUP($A534,Accounts!$A:$G,3,FALSE),"")</f>
        <v/>
      </c>
    </row>
    <row r="535" spans="1:15" outlineLevel="2" x14ac:dyDescent="0.2">
      <c r="A535" t="str">
        <f t="shared" si="8"/>
        <v>141008024829820490.71</v>
      </c>
      <c r="B535" t="s">
        <v>0</v>
      </c>
      <c r="C535" t="s">
        <v>8</v>
      </c>
      <c r="D535" t="s">
        <v>178</v>
      </c>
      <c r="E535" t="s">
        <v>768</v>
      </c>
      <c r="F535" s="1">
        <v>38200</v>
      </c>
      <c r="G535" t="s">
        <v>1</v>
      </c>
      <c r="H535" s="1"/>
      <c r="I535" s="2">
        <v>20490.71</v>
      </c>
      <c r="J535" s="2">
        <v>0</v>
      </c>
      <c r="K535" t="s">
        <v>171</v>
      </c>
      <c r="L535" t="s">
        <v>1</v>
      </c>
      <c r="M535" t="s">
        <v>360</v>
      </c>
      <c r="N535" s="2">
        <v>20490.71</v>
      </c>
      <c r="O535" t="str">
        <f>IFERROR(VLOOKUP($A535,Accounts!$A:$G,3,FALSE),"")</f>
        <v/>
      </c>
    </row>
    <row r="536" spans="1:15" outlineLevel="2" x14ac:dyDescent="0.2">
      <c r="A536" t="str">
        <f t="shared" si="8"/>
        <v>141008024929820682.99</v>
      </c>
      <c r="B536" t="s">
        <v>0</v>
      </c>
      <c r="C536" t="s">
        <v>8</v>
      </c>
      <c r="D536" t="s">
        <v>178</v>
      </c>
      <c r="E536" t="s">
        <v>769</v>
      </c>
      <c r="F536" s="1">
        <v>38200</v>
      </c>
      <c r="G536" t="s">
        <v>1</v>
      </c>
      <c r="H536" s="1"/>
      <c r="I536" s="2">
        <v>20682.990000000002</v>
      </c>
      <c r="J536" s="2">
        <v>0</v>
      </c>
      <c r="K536" t="s">
        <v>171</v>
      </c>
      <c r="L536" t="s">
        <v>1</v>
      </c>
      <c r="M536" t="s">
        <v>360</v>
      </c>
      <c r="N536" s="2">
        <v>20682.990000000002</v>
      </c>
      <c r="O536" t="str">
        <f>IFERROR(VLOOKUP($A536,Accounts!$A:$G,3,FALSE),"")</f>
        <v/>
      </c>
    </row>
    <row r="537" spans="1:15" outlineLevel="2" x14ac:dyDescent="0.2">
      <c r="A537" t="str">
        <f t="shared" si="8"/>
        <v>141008025029830590.82</v>
      </c>
      <c r="B537" t="s">
        <v>0</v>
      </c>
      <c r="C537" t="s">
        <v>8</v>
      </c>
      <c r="D537" t="s">
        <v>178</v>
      </c>
      <c r="E537" t="s">
        <v>770</v>
      </c>
      <c r="F537" s="1">
        <v>38200</v>
      </c>
      <c r="G537" t="s">
        <v>1</v>
      </c>
      <c r="H537" s="1"/>
      <c r="I537" s="2">
        <v>30590.82</v>
      </c>
      <c r="J537" s="2">
        <v>0</v>
      </c>
      <c r="K537" t="s">
        <v>171</v>
      </c>
      <c r="L537" t="s">
        <v>1</v>
      </c>
      <c r="M537" t="s">
        <v>360</v>
      </c>
      <c r="N537" s="2">
        <v>30590.82</v>
      </c>
      <c r="O537" t="str">
        <f>IFERROR(VLOOKUP($A537,Accounts!$A:$G,3,FALSE),"")</f>
        <v/>
      </c>
    </row>
    <row r="538" spans="1:15" outlineLevel="2" x14ac:dyDescent="0.2">
      <c r="A538" t="str">
        <f t="shared" si="8"/>
        <v>141008025129818675.44</v>
      </c>
      <c r="B538" t="s">
        <v>0</v>
      </c>
      <c r="C538" t="s">
        <v>8</v>
      </c>
      <c r="D538" t="s">
        <v>178</v>
      </c>
      <c r="E538" t="s">
        <v>771</v>
      </c>
      <c r="F538" s="1">
        <v>38200</v>
      </c>
      <c r="G538" t="s">
        <v>1</v>
      </c>
      <c r="H538" s="1"/>
      <c r="I538" s="2">
        <v>18675.439999999999</v>
      </c>
      <c r="J538" s="2">
        <v>0</v>
      </c>
      <c r="K538" t="s">
        <v>171</v>
      </c>
      <c r="L538" t="s">
        <v>1</v>
      </c>
      <c r="M538" t="s">
        <v>360</v>
      </c>
      <c r="N538" s="2">
        <v>18675.439999999999</v>
      </c>
      <c r="O538" t="str">
        <f>IFERROR(VLOOKUP($A538,Accounts!$A:$G,3,FALSE),"")</f>
        <v/>
      </c>
    </row>
    <row r="539" spans="1:15" outlineLevel="2" x14ac:dyDescent="0.2">
      <c r="A539" t="str">
        <f t="shared" si="8"/>
        <v>141008025229861547.23</v>
      </c>
      <c r="B539" t="s">
        <v>0</v>
      </c>
      <c r="C539" t="s">
        <v>8</v>
      </c>
      <c r="D539" t="s">
        <v>178</v>
      </c>
      <c r="E539" t="s">
        <v>772</v>
      </c>
      <c r="F539" s="1">
        <v>38200</v>
      </c>
      <c r="G539" t="s">
        <v>1</v>
      </c>
      <c r="H539" s="1"/>
      <c r="I539" s="2">
        <v>61547.23</v>
      </c>
      <c r="J539" s="2">
        <v>0</v>
      </c>
      <c r="K539" t="s">
        <v>171</v>
      </c>
      <c r="L539" t="s">
        <v>1</v>
      </c>
      <c r="M539" t="s">
        <v>360</v>
      </c>
      <c r="N539" s="2">
        <v>61547.23</v>
      </c>
      <c r="O539" t="str">
        <f>IFERROR(VLOOKUP($A539,Accounts!$A:$G,3,FALSE),"")</f>
        <v/>
      </c>
    </row>
    <row r="540" spans="1:15" outlineLevel="2" x14ac:dyDescent="0.2">
      <c r="A540" t="str">
        <f t="shared" si="8"/>
        <v>141008025529832384.07</v>
      </c>
      <c r="B540" t="s">
        <v>0</v>
      </c>
      <c r="C540" t="s">
        <v>8</v>
      </c>
      <c r="D540" t="s">
        <v>178</v>
      </c>
      <c r="E540" t="s">
        <v>773</v>
      </c>
      <c r="F540" s="1">
        <v>38200</v>
      </c>
      <c r="G540" t="s">
        <v>1</v>
      </c>
      <c r="H540" s="1"/>
      <c r="I540" s="2">
        <v>32384.07</v>
      </c>
      <c r="J540" s="2">
        <v>0</v>
      </c>
      <c r="K540" t="s">
        <v>171</v>
      </c>
      <c r="L540" t="s">
        <v>1</v>
      </c>
      <c r="M540" t="s">
        <v>360</v>
      </c>
      <c r="N540" s="2">
        <v>32384.07</v>
      </c>
      <c r="O540" t="str">
        <f>IFERROR(VLOOKUP($A540,Accounts!$A:$G,3,FALSE),"")</f>
        <v/>
      </c>
    </row>
    <row r="541" spans="1:15" outlineLevel="2" x14ac:dyDescent="0.2">
      <c r="A541" t="str">
        <f t="shared" si="8"/>
        <v>141008025929810955.06</v>
      </c>
      <c r="B541" t="s">
        <v>0</v>
      </c>
      <c r="C541" t="s">
        <v>8</v>
      </c>
      <c r="D541" t="s">
        <v>178</v>
      </c>
      <c r="E541" t="s">
        <v>774</v>
      </c>
      <c r="F541" s="1">
        <v>38200</v>
      </c>
      <c r="G541" t="s">
        <v>1</v>
      </c>
      <c r="H541" s="1"/>
      <c r="I541" s="2">
        <v>10955.06</v>
      </c>
      <c r="J541" s="2">
        <v>0</v>
      </c>
      <c r="K541" t="s">
        <v>171</v>
      </c>
      <c r="L541" t="s">
        <v>1</v>
      </c>
      <c r="M541" t="s">
        <v>360</v>
      </c>
      <c r="N541" s="2">
        <v>10955.06</v>
      </c>
      <c r="O541" t="str">
        <f>IFERROR(VLOOKUP($A541,Accounts!$A:$G,3,FALSE),"")</f>
        <v/>
      </c>
    </row>
    <row r="542" spans="1:15" outlineLevel="2" x14ac:dyDescent="0.2">
      <c r="A542" t="str">
        <f t="shared" si="8"/>
        <v>14100802602982800.63</v>
      </c>
      <c r="B542" t="s">
        <v>0</v>
      </c>
      <c r="C542" t="s">
        <v>8</v>
      </c>
      <c r="D542" t="s">
        <v>178</v>
      </c>
      <c r="E542" t="s">
        <v>775</v>
      </c>
      <c r="F542" s="1">
        <v>38200</v>
      </c>
      <c r="G542" t="s">
        <v>1</v>
      </c>
      <c r="H542" s="1"/>
      <c r="I542" s="2">
        <v>2800.63</v>
      </c>
      <c r="J542" s="2">
        <v>0</v>
      </c>
      <c r="K542" t="s">
        <v>171</v>
      </c>
      <c r="L542" t="s">
        <v>1</v>
      </c>
      <c r="M542" t="s">
        <v>360</v>
      </c>
      <c r="N542" s="2">
        <v>2800.63</v>
      </c>
      <c r="O542" t="str">
        <f>IFERROR(VLOOKUP($A542,Accounts!$A:$G,3,FALSE),"")</f>
        <v/>
      </c>
    </row>
    <row r="543" spans="1:15" outlineLevel="2" x14ac:dyDescent="0.2">
      <c r="A543" t="str">
        <f t="shared" si="8"/>
        <v>141008026129810279.19</v>
      </c>
      <c r="B543" t="s">
        <v>0</v>
      </c>
      <c r="C543" t="s">
        <v>8</v>
      </c>
      <c r="D543" t="s">
        <v>178</v>
      </c>
      <c r="E543" t="s">
        <v>776</v>
      </c>
      <c r="F543" s="1">
        <v>38200</v>
      </c>
      <c r="G543" t="s">
        <v>1</v>
      </c>
      <c r="H543" s="1"/>
      <c r="I543" s="2">
        <v>10279.19</v>
      </c>
      <c r="J543" s="2">
        <v>0</v>
      </c>
      <c r="K543" t="s">
        <v>171</v>
      </c>
      <c r="L543" t="s">
        <v>1</v>
      </c>
      <c r="M543" t="s">
        <v>360</v>
      </c>
      <c r="N543" s="2">
        <v>10279.19</v>
      </c>
      <c r="O543" t="str">
        <f>IFERROR(VLOOKUP($A543,Accounts!$A:$G,3,FALSE),"")</f>
        <v/>
      </c>
    </row>
    <row r="544" spans="1:15" outlineLevel="2" x14ac:dyDescent="0.2">
      <c r="A544" t="str">
        <f t="shared" si="8"/>
        <v>141008026229811048.31</v>
      </c>
      <c r="B544" t="s">
        <v>0</v>
      </c>
      <c r="C544" t="s">
        <v>8</v>
      </c>
      <c r="D544" t="s">
        <v>178</v>
      </c>
      <c r="E544" t="s">
        <v>777</v>
      </c>
      <c r="F544" s="1">
        <v>38200</v>
      </c>
      <c r="G544" t="s">
        <v>1</v>
      </c>
      <c r="H544" s="1"/>
      <c r="I544" s="2">
        <v>11048.31</v>
      </c>
      <c r="J544" s="2">
        <v>0</v>
      </c>
      <c r="K544" t="s">
        <v>171</v>
      </c>
      <c r="L544" t="s">
        <v>1</v>
      </c>
      <c r="M544" t="s">
        <v>360</v>
      </c>
      <c r="N544" s="2">
        <v>11048.31</v>
      </c>
      <c r="O544" t="str">
        <f>IFERROR(VLOOKUP($A544,Accounts!$A:$G,3,FALSE),"")</f>
        <v/>
      </c>
    </row>
    <row r="545" spans="1:15" outlineLevel="2" x14ac:dyDescent="0.2">
      <c r="A545" t="str">
        <f t="shared" si="8"/>
        <v>14100802712989535.65</v>
      </c>
      <c r="B545" t="s">
        <v>0</v>
      </c>
      <c r="C545" t="s">
        <v>8</v>
      </c>
      <c r="D545" t="s">
        <v>178</v>
      </c>
      <c r="E545" t="s">
        <v>778</v>
      </c>
      <c r="F545" s="1">
        <v>38200</v>
      </c>
      <c r="G545" t="s">
        <v>1</v>
      </c>
      <c r="H545" s="1"/>
      <c r="I545" s="2">
        <v>9535.65</v>
      </c>
      <c r="J545" s="2">
        <v>0</v>
      </c>
      <c r="K545" t="s">
        <v>171</v>
      </c>
      <c r="L545" t="s">
        <v>1</v>
      </c>
      <c r="M545" t="s">
        <v>360</v>
      </c>
      <c r="N545" s="2">
        <v>9535.65</v>
      </c>
      <c r="O545" t="str">
        <f>IFERROR(VLOOKUP($A545,Accounts!$A:$G,3,FALSE),"")</f>
        <v/>
      </c>
    </row>
    <row r="546" spans="1:15" outlineLevel="2" x14ac:dyDescent="0.2">
      <c r="A546" t="str">
        <f t="shared" si="8"/>
        <v>1410080685298-28.63</v>
      </c>
      <c r="B546" t="s">
        <v>0</v>
      </c>
      <c r="C546" t="s">
        <v>8</v>
      </c>
      <c r="D546" t="s">
        <v>178</v>
      </c>
      <c r="E546" t="s">
        <v>779</v>
      </c>
      <c r="F546" s="1">
        <v>38200</v>
      </c>
      <c r="G546" t="s">
        <v>1</v>
      </c>
      <c r="H546" s="1"/>
      <c r="I546" s="2">
        <v>-28.63</v>
      </c>
      <c r="J546" s="2">
        <v>0</v>
      </c>
      <c r="K546" t="s">
        <v>171</v>
      </c>
      <c r="L546" t="s">
        <v>1</v>
      </c>
      <c r="M546" t="s">
        <v>360</v>
      </c>
      <c r="N546" s="2">
        <v>-28.63</v>
      </c>
      <c r="O546" t="str">
        <f>IFERROR(VLOOKUP($A546,Accounts!$A:$G,3,FALSE),"")</f>
        <v/>
      </c>
    </row>
    <row r="547" spans="1:15" outlineLevel="2" x14ac:dyDescent="0.2">
      <c r="A547" t="str">
        <f t="shared" si="8"/>
        <v>141008066829821876.29</v>
      </c>
      <c r="B547" t="s">
        <v>0</v>
      </c>
      <c r="C547" t="s">
        <v>8</v>
      </c>
      <c r="D547" t="s">
        <v>178</v>
      </c>
      <c r="E547" t="s">
        <v>780</v>
      </c>
      <c r="F547" s="1">
        <v>38200</v>
      </c>
      <c r="G547" t="s">
        <v>1</v>
      </c>
      <c r="H547" s="1"/>
      <c r="I547" s="2">
        <v>21876.29</v>
      </c>
      <c r="J547" s="2">
        <v>0</v>
      </c>
      <c r="K547" t="s">
        <v>171</v>
      </c>
      <c r="L547" t="s">
        <v>1</v>
      </c>
      <c r="M547" t="s">
        <v>360</v>
      </c>
      <c r="N547" s="2">
        <v>21876.29</v>
      </c>
      <c r="O547" t="str">
        <f>IFERROR(VLOOKUP($A547,Accounts!$A:$G,3,FALSE),"")</f>
        <v/>
      </c>
    </row>
    <row r="548" spans="1:15" outlineLevel="2" x14ac:dyDescent="0.2">
      <c r="A548" t="str">
        <f t="shared" si="8"/>
        <v>141008065129876073.11</v>
      </c>
      <c r="B548" t="s">
        <v>0</v>
      </c>
      <c r="C548" t="s">
        <v>8</v>
      </c>
      <c r="D548" t="s">
        <v>178</v>
      </c>
      <c r="E548" t="s">
        <v>781</v>
      </c>
      <c r="F548" s="1">
        <v>38200</v>
      </c>
      <c r="G548" t="s">
        <v>1</v>
      </c>
      <c r="H548" s="1"/>
      <c r="I548" s="2">
        <v>76073.11</v>
      </c>
      <c r="J548" s="2">
        <v>0</v>
      </c>
      <c r="K548" t="s">
        <v>171</v>
      </c>
      <c r="L548" t="s">
        <v>1</v>
      </c>
      <c r="M548" t="s">
        <v>360</v>
      </c>
      <c r="N548" s="2">
        <v>76073.11</v>
      </c>
      <c r="O548" t="str">
        <f>IFERROR(VLOOKUP($A548,Accounts!$A:$G,3,FALSE),"")</f>
        <v/>
      </c>
    </row>
    <row r="549" spans="1:15" outlineLevel="2" x14ac:dyDescent="0.2">
      <c r="A549" t="str">
        <f t="shared" si="8"/>
        <v>141008065029818036.45</v>
      </c>
      <c r="B549" t="s">
        <v>0</v>
      </c>
      <c r="C549" t="s">
        <v>8</v>
      </c>
      <c r="D549" t="s">
        <v>178</v>
      </c>
      <c r="E549" t="s">
        <v>782</v>
      </c>
      <c r="F549" s="1">
        <v>38200</v>
      </c>
      <c r="G549" t="s">
        <v>1</v>
      </c>
      <c r="H549" s="1"/>
      <c r="I549" s="2">
        <v>18036.45</v>
      </c>
      <c r="J549" s="2">
        <v>0</v>
      </c>
      <c r="K549" t="s">
        <v>171</v>
      </c>
      <c r="L549" t="s">
        <v>1</v>
      </c>
      <c r="M549" t="s">
        <v>360</v>
      </c>
      <c r="N549" s="2">
        <v>18036.45</v>
      </c>
      <c r="O549" t="str">
        <f>IFERROR(VLOOKUP($A549,Accounts!$A:$G,3,FALSE),"")</f>
        <v/>
      </c>
    </row>
    <row r="550" spans="1:15" outlineLevel="2" x14ac:dyDescent="0.2">
      <c r="A550" t="str">
        <f t="shared" si="8"/>
        <v>14100806492989884.72</v>
      </c>
      <c r="B550" t="s">
        <v>0</v>
      </c>
      <c r="C550" t="s">
        <v>8</v>
      </c>
      <c r="D550" t="s">
        <v>178</v>
      </c>
      <c r="E550" t="s">
        <v>783</v>
      </c>
      <c r="F550" s="1">
        <v>38200</v>
      </c>
      <c r="G550" t="s">
        <v>1</v>
      </c>
      <c r="H550" s="1"/>
      <c r="I550" s="2">
        <v>9884.7199999999993</v>
      </c>
      <c r="J550" s="2">
        <v>0</v>
      </c>
      <c r="K550" t="s">
        <v>171</v>
      </c>
      <c r="L550" t="s">
        <v>1</v>
      </c>
      <c r="M550" t="s">
        <v>360</v>
      </c>
      <c r="N550" s="2">
        <v>9884.7199999999993</v>
      </c>
      <c r="O550" t="str">
        <f>IFERROR(VLOOKUP($A550,Accounts!$A:$G,3,FALSE),"")</f>
        <v/>
      </c>
    </row>
    <row r="551" spans="1:15" outlineLevel="2" x14ac:dyDescent="0.2">
      <c r="A551" t="str">
        <f t="shared" si="8"/>
        <v>1410080646298290.17</v>
      </c>
      <c r="B551" t="s">
        <v>0</v>
      </c>
      <c r="C551" t="s">
        <v>8</v>
      </c>
      <c r="D551" t="s">
        <v>178</v>
      </c>
      <c r="E551" t="s">
        <v>784</v>
      </c>
      <c r="F551" s="1">
        <v>38200</v>
      </c>
      <c r="G551" t="s">
        <v>1</v>
      </c>
      <c r="H551" s="1"/>
      <c r="I551" s="2">
        <v>290.17</v>
      </c>
      <c r="J551" s="2">
        <v>0</v>
      </c>
      <c r="K551" t="s">
        <v>171</v>
      </c>
      <c r="L551" t="s">
        <v>1</v>
      </c>
      <c r="M551" t="s">
        <v>360</v>
      </c>
      <c r="N551" s="2">
        <v>290.17</v>
      </c>
      <c r="O551" t="str">
        <f>IFERROR(VLOOKUP($A551,Accounts!$A:$G,3,FALSE),"")</f>
        <v/>
      </c>
    </row>
    <row r="552" spans="1:15" outlineLevel="2" x14ac:dyDescent="0.2">
      <c r="A552" t="str">
        <f t="shared" si="8"/>
        <v>141008061529843600.74</v>
      </c>
      <c r="B552" t="s">
        <v>0</v>
      </c>
      <c r="C552" t="s">
        <v>8</v>
      </c>
      <c r="D552" t="s">
        <v>178</v>
      </c>
      <c r="E552" t="s">
        <v>785</v>
      </c>
      <c r="F552" s="1">
        <v>38200</v>
      </c>
      <c r="G552" t="s">
        <v>1</v>
      </c>
      <c r="H552" s="1"/>
      <c r="I552" s="2">
        <v>43600.74</v>
      </c>
      <c r="J552" s="2">
        <v>0</v>
      </c>
      <c r="K552" t="s">
        <v>171</v>
      </c>
      <c r="L552" t="s">
        <v>1</v>
      </c>
      <c r="M552" t="s">
        <v>360</v>
      </c>
      <c r="N552" s="2">
        <v>43600.74</v>
      </c>
      <c r="O552" t="str">
        <f>IFERROR(VLOOKUP($A552,Accounts!$A:$G,3,FALSE),"")</f>
        <v/>
      </c>
    </row>
    <row r="553" spans="1:15" outlineLevel="2" x14ac:dyDescent="0.2">
      <c r="A553" t="str">
        <f t="shared" si="8"/>
        <v>141008061429821074.15</v>
      </c>
      <c r="B553" t="s">
        <v>0</v>
      </c>
      <c r="C553" t="s">
        <v>8</v>
      </c>
      <c r="D553" t="s">
        <v>178</v>
      </c>
      <c r="E553" t="s">
        <v>786</v>
      </c>
      <c r="F553" s="1">
        <v>38200</v>
      </c>
      <c r="G553" t="s">
        <v>1</v>
      </c>
      <c r="H553" s="1"/>
      <c r="I553" s="2">
        <v>21074.15</v>
      </c>
      <c r="J553" s="2">
        <v>0</v>
      </c>
      <c r="K553" t="s">
        <v>171</v>
      </c>
      <c r="L553" t="s">
        <v>1</v>
      </c>
      <c r="M553" t="s">
        <v>360</v>
      </c>
      <c r="N553" s="2">
        <v>21074.15</v>
      </c>
      <c r="O553" t="str">
        <f>IFERROR(VLOOKUP($A553,Accounts!$A:$G,3,FALSE),"")</f>
        <v/>
      </c>
    </row>
    <row r="554" spans="1:15" outlineLevel="2" x14ac:dyDescent="0.2">
      <c r="A554" t="str">
        <f t="shared" si="8"/>
        <v>141008061229843585.05</v>
      </c>
      <c r="B554" t="s">
        <v>0</v>
      </c>
      <c r="C554" t="s">
        <v>8</v>
      </c>
      <c r="D554" t="s">
        <v>178</v>
      </c>
      <c r="E554" t="s">
        <v>787</v>
      </c>
      <c r="F554" s="1">
        <v>38200</v>
      </c>
      <c r="G554" t="s">
        <v>1</v>
      </c>
      <c r="H554" s="1"/>
      <c r="I554" s="2">
        <v>43585.05</v>
      </c>
      <c r="J554" s="2">
        <v>0</v>
      </c>
      <c r="K554" t="s">
        <v>171</v>
      </c>
      <c r="L554" t="s">
        <v>1</v>
      </c>
      <c r="M554" t="s">
        <v>360</v>
      </c>
      <c r="N554" s="2">
        <v>43585.05</v>
      </c>
      <c r="O554" t="str">
        <f>IFERROR(VLOOKUP($A554,Accounts!$A:$G,3,FALSE),"")</f>
        <v/>
      </c>
    </row>
    <row r="555" spans="1:15" outlineLevel="2" x14ac:dyDescent="0.2">
      <c r="A555" t="str">
        <f t="shared" si="8"/>
        <v>141008059629821992.65</v>
      </c>
      <c r="B555" t="s">
        <v>0</v>
      </c>
      <c r="C555" t="s">
        <v>8</v>
      </c>
      <c r="D555" t="s">
        <v>178</v>
      </c>
      <c r="E555" t="s">
        <v>788</v>
      </c>
      <c r="F555" s="1">
        <v>38200</v>
      </c>
      <c r="G555" t="s">
        <v>1</v>
      </c>
      <c r="H555" s="1"/>
      <c r="I555" s="2">
        <v>21992.65</v>
      </c>
      <c r="J555" s="2">
        <v>0</v>
      </c>
      <c r="K555" t="s">
        <v>171</v>
      </c>
      <c r="L555" t="s">
        <v>1</v>
      </c>
      <c r="M555" t="s">
        <v>360</v>
      </c>
      <c r="N555" s="2">
        <v>21992.65</v>
      </c>
      <c r="O555" t="str">
        <f>IFERROR(VLOOKUP($A555,Accounts!$A:$G,3,FALSE),"")</f>
        <v/>
      </c>
    </row>
    <row r="556" spans="1:15" outlineLevel="2" x14ac:dyDescent="0.2">
      <c r="A556" t="str">
        <f t="shared" si="8"/>
        <v>1410080543298-14.75</v>
      </c>
      <c r="B556" t="s">
        <v>0</v>
      </c>
      <c r="C556" t="s">
        <v>8</v>
      </c>
      <c r="D556" t="s">
        <v>178</v>
      </c>
      <c r="E556" t="s">
        <v>789</v>
      </c>
      <c r="F556" s="1">
        <v>38200</v>
      </c>
      <c r="G556" t="s">
        <v>1</v>
      </c>
      <c r="H556" s="1"/>
      <c r="I556" s="2">
        <v>-14.75</v>
      </c>
      <c r="J556" s="2">
        <v>0</v>
      </c>
      <c r="K556" t="s">
        <v>171</v>
      </c>
      <c r="L556" t="s">
        <v>1</v>
      </c>
      <c r="M556" t="s">
        <v>360</v>
      </c>
      <c r="N556" s="2">
        <v>-14.75</v>
      </c>
      <c r="O556" t="str">
        <f>IFERROR(VLOOKUP($A556,Accounts!$A:$G,3,FALSE),"")</f>
        <v/>
      </c>
    </row>
    <row r="557" spans="1:15" outlineLevel="2" x14ac:dyDescent="0.2">
      <c r="A557" t="str">
        <f t="shared" si="8"/>
        <v>1410080542298-9124.65</v>
      </c>
      <c r="B557" t="s">
        <v>0</v>
      </c>
      <c r="C557" t="s">
        <v>8</v>
      </c>
      <c r="D557" t="s">
        <v>178</v>
      </c>
      <c r="E557" t="s">
        <v>790</v>
      </c>
      <c r="F557" s="1">
        <v>38200</v>
      </c>
      <c r="G557" t="s">
        <v>1</v>
      </c>
      <c r="H557" s="1"/>
      <c r="I557" s="2">
        <v>-9124.65</v>
      </c>
      <c r="J557" s="2">
        <v>0</v>
      </c>
      <c r="K557" t="s">
        <v>171</v>
      </c>
      <c r="L557" t="s">
        <v>1</v>
      </c>
      <c r="M557" t="s">
        <v>360</v>
      </c>
      <c r="N557" s="2">
        <v>-9124.65</v>
      </c>
      <c r="O557" t="str">
        <f>IFERROR(VLOOKUP($A557,Accounts!$A:$G,3,FALSE),"")</f>
        <v/>
      </c>
    </row>
    <row r="558" spans="1:15" outlineLevel="2" x14ac:dyDescent="0.2">
      <c r="A558" t="str">
        <f t="shared" si="8"/>
        <v>141008048829831561.31</v>
      </c>
      <c r="B558" t="s">
        <v>0</v>
      </c>
      <c r="C558" t="s">
        <v>8</v>
      </c>
      <c r="D558" t="s">
        <v>178</v>
      </c>
      <c r="E558" t="s">
        <v>791</v>
      </c>
      <c r="F558" s="1">
        <v>38200</v>
      </c>
      <c r="G558" t="s">
        <v>1</v>
      </c>
      <c r="H558" s="1"/>
      <c r="I558" s="2">
        <v>31561.31</v>
      </c>
      <c r="J558" s="2">
        <v>0</v>
      </c>
      <c r="K558" t="s">
        <v>171</v>
      </c>
      <c r="L558" t="s">
        <v>1</v>
      </c>
      <c r="M558" t="s">
        <v>360</v>
      </c>
      <c r="N558" s="2">
        <v>31561.31</v>
      </c>
      <c r="O558" t="str">
        <f>IFERROR(VLOOKUP($A558,Accounts!$A:$G,3,FALSE),"")</f>
        <v/>
      </c>
    </row>
    <row r="559" spans="1:15" outlineLevel="2" x14ac:dyDescent="0.2">
      <c r="A559" t="str">
        <f t="shared" si="8"/>
        <v>141008048729843136.95</v>
      </c>
      <c r="B559" t="s">
        <v>0</v>
      </c>
      <c r="C559" t="s">
        <v>8</v>
      </c>
      <c r="D559" t="s">
        <v>178</v>
      </c>
      <c r="E559" t="s">
        <v>792</v>
      </c>
      <c r="F559" s="1">
        <v>38200</v>
      </c>
      <c r="G559" t="s">
        <v>1</v>
      </c>
      <c r="H559" s="1"/>
      <c r="I559" s="2">
        <v>43136.95</v>
      </c>
      <c r="J559" s="2">
        <v>0</v>
      </c>
      <c r="K559" t="s">
        <v>171</v>
      </c>
      <c r="L559" t="s">
        <v>1</v>
      </c>
      <c r="M559" t="s">
        <v>360</v>
      </c>
      <c r="N559" s="2">
        <v>43136.95</v>
      </c>
      <c r="O559" t="str">
        <f>IFERROR(VLOOKUP($A559,Accounts!$A:$G,3,FALSE),"")</f>
        <v/>
      </c>
    </row>
    <row r="560" spans="1:15" outlineLevel="2" x14ac:dyDescent="0.2">
      <c r="A560" t="str">
        <f t="shared" si="8"/>
        <v>141008043729811014.48</v>
      </c>
      <c r="B560" t="s">
        <v>0</v>
      </c>
      <c r="C560" t="s">
        <v>8</v>
      </c>
      <c r="D560" t="s">
        <v>178</v>
      </c>
      <c r="E560" t="s">
        <v>793</v>
      </c>
      <c r="F560" s="1">
        <v>38200</v>
      </c>
      <c r="G560" t="s">
        <v>1</v>
      </c>
      <c r="H560" s="1"/>
      <c r="I560" s="2">
        <v>11014.48</v>
      </c>
      <c r="J560" s="2">
        <v>0</v>
      </c>
      <c r="K560" t="s">
        <v>171</v>
      </c>
      <c r="L560" t="s">
        <v>1</v>
      </c>
      <c r="M560" t="s">
        <v>360</v>
      </c>
      <c r="N560" s="2">
        <v>11014.48</v>
      </c>
      <c r="O560" t="str">
        <f>IFERROR(VLOOKUP($A560,Accounts!$A:$G,3,FALSE),"")</f>
        <v/>
      </c>
    </row>
    <row r="561" spans="1:15" outlineLevel="2" x14ac:dyDescent="0.2">
      <c r="A561" t="str">
        <f t="shared" si="8"/>
        <v>141008043629810871.71</v>
      </c>
      <c r="B561" t="s">
        <v>0</v>
      </c>
      <c r="C561" t="s">
        <v>8</v>
      </c>
      <c r="D561" t="s">
        <v>178</v>
      </c>
      <c r="E561" t="s">
        <v>794</v>
      </c>
      <c r="F561" s="1">
        <v>38200</v>
      </c>
      <c r="G561" t="s">
        <v>1</v>
      </c>
      <c r="H561" s="1"/>
      <c r="I561" s="2">
        <v>10871.71</v>
      </c>
      <c r="J561" s="2">
        <v>0</v>
      </c>
      <c r="K561" t="s">
        <v>171</v>
      </c>
      <c r="L561" t="s">
        <v>1</v>
      </c>
      <c r="M561" t="s">
        <v>360</v>
      </c>
      <c r="N561" s="2">
        <v>10871.71</v>
      </c>
      <c r="O561" t="str">
        <f>IFERROR(VLOOKUP($A561,Accounts!$A:$G,3,FALSE),"")</f>
        <v/>
      </c>
    </row>
    <row r="562" spans="1:15" outlineLevel="2" x14ac:dyDescent="0.2">
      <c r="A562" t="str">
        <f t="shared" si="8"/>
        <v>141008043529810047.3</v>
      </c>
      <c r="B562" t="s">
        <v>0</v>
      </c>
      <c r="C562" t="s">
        <v>8</v>
      </c>
      <c r="D562" t="s">
        <v>178</v>
      </c>
      <c r="E562" t="s">
        <v>795</v>
      </c>
      <c r="F562" s="1">
        <v>38200</v>
      </c>
      <c r="G562" t="s">
        <v>1</v>
      </c>
      <c r="H562" s="1"/>
      <c r="I562" s="2">
        <v>10047.299999999999</v>
      </c>
      <c r="J562" s="2">
        <v>0</v>
      </c>
      <c r="K562" t="s">
        <v>171</v>
      </c>
      <c r="L562" t="s">
        <v>1</v>
      </c>
      <c r="M562" t="s">
        <v>360</v>
      </c>
      <c r="N562" s="2">
        <v>10047.299999999999</v>
      </c>
      <c r="O562" t="str">
        <f>IFERROR(VLOOKUP($A562,Accounts!$A:$G,3,FALSE),"")</f>
        <v/>
      </c>
    </row>
    <row r="563" spans="1:15" outlineLevel="2" x14ac:dyDescent="0.2">
      <c r="A563" t="str">
        <f t="shared" si="8"/>
        <v>141008043429810634.04</v>
      </c>
      <c r="B563" t="s">
        <v>0</v>
      </c>
      <c r="C563" t="s">
        <v>8</v>
      </c>
      <c r="D563" t="s">
        <v>178</v>
      </c>
      <c r="E563" t="s">
        <v>796</v>
      </c>
      <c r="F563" s="1">
        <v>38200</v>
      </c>
      <c r="G563" t="s">
        <v>1</v>
      </c>
      <c r="H563" s="1"/>
      <c r="I563" s="2">
        <v>10634.04</v>
      </c>
      <c r="J563" s="2">
        <v>0</v>
      </c>
      <c r="K563" t="s">
        <v>171</v>
      </c>
      <c r="L563" t="s">
        <v>1</v>
      </c>
      <c r="M563" t="s">
        <v>360</v>
      </c>
      <c r="N563" s="2">
        <v>10634.04</v>
      </c>
      <c r="O563" t="str">
        <f>IFERROR(VLOOKUP($A563,Accounts!$A:$G,3,FALSE),"")</f>
        <v/>
      </c>
    </row>
    <row r="564" spans="1:15" outlineLevel="2" x14ac:dyDescent="0.2">
      <c r="A564" t="str">
        <f t="shared" si="8"/>
        <v>141008041129812565.73</v>
      </c>
      <c r="B564" t="s">
        <v>0</v>
      </c>
      <c r="C564" t="s">
        <v>8</v>
      </c>
      <c r="D564" t="s">
        <v>178</v>
      </c>
      <c r="E564" t="s">
        <v>797</v>
      </c>
      <c r="F564" s="1">
        <v>38200</v>
      </c>
      <c r="G564" t="s">
        <v>1</v>
      </c>
      <c r="H564" s="1"/>
      <c r="I564" s="2">
        <v>12565.73</v>
      </c>
      <c r="J564" s="2">
        <v>0</v>
      </c>
      <c r="K564" t="s">
        <v>171</v>
      </c>
      <c r="L564" t="s">
        <v>1</v>
      </c>
      <c r="M564" t="s">
        <v>360</v>
      </c>
      <c r="N564" s="2">
        <v>12565.73</v>
      </c>
      <c r="O564" t="str">
        <f>IFERROR(VLOOKUP($A564,Accounts!$A:$G,3,FALSE),"")</f>
        <v/>
      </c>
    </row>
    <row r="565" spans="1:15" outlineLevel="2" x14ac:dyDescent="0.2">
      <c r="A565" t="str">
        <f t="shared" si="8"/>
        <v>141008041029830267.33</v>
      </c>
      <c r="B565" t="s">
        <v>0</v>
      </c>
      <c r="C565" t="s">
        <v>8</v>
      </c>
      <c r="D565" t="s">
        <v>178</v>
      </c>
      <c r="E565" t="s">
        <v>798</v>
      </c>
      <c r="F565" s="1">
        <v>38200</v>
      </c>
      <c r="G565" t="s">
        <v>1</v>
      </c>
      <c r="H565" s="1"/>
      <c r="I565" s="2">
        <v>30267.33</v>
      </c>
      <c r="J565" s="2">
        <v>0</v>
      </c>
      <c r="K565" t="s">
        <v>171</v>
      </c>
      <c r="L565" t="s">
        <v>1</v>
      </c>
      <c r="M565" t="s">
        <v>360</v>
      </c>
      <c r="N565" s="2">
        <v>30267.33</v>
      </c>
      <c r="O565" t="str">
        <f>IFERROR(VLOOKUP($A565,Accounts!$A:$G,3,FALSE),"")</f>
        <v/>
      </c>
    </row>
    <row r="566" spans="1:15" outlineLevel="2" x14ac:dyDescent="0.2">
      <c r="A566" t="str">
        <f t="shared" si="8"/>
        <v>141008040929831476.31</v>
      </c>
      <c r="B566" t="s">
        <v>0</v>
      </c>
      <c r="C566" t="s">
        <v>8</v>
      </c>
      <c r="D566" t="s">
        <v>178</v>
      </c>
      <c r="E566" t="s">
        <v>799</v>
      </c>
      <c r="F566" s="1">
        <v>38200</v>
      </c>
      <c r="G566" t="s">
        <v>1</v>
      </c>
      <c r="H566" s="1"/>
      <c r="I566" s="2">
        <v>31476.31</v>
      </c>
      <c r="J566" s="2">
        <v>0</v>
      </c>
      <c r="K566" t="s">
        <v>171</v>
      </c>
      <c r="L566" t="s">
        <v>1</v>
      </c>
      <c r="M566" t="s">
        <v>360</v>
      </c>
      <c r="N566" s="2">
        <v>31476.31</v>
      </c>
      <c r="O566" t="str">
        <f>IFERROR(VLOOKUP($A566,Accounts!$A:$G,3,FALSE),"")</f>
        <v/>
      </c>
    </row>
    <row r="567" spans="1:15" outlineLevel="2" x14ac:dyDescent="0.2">
      <c r="A567" t="str">
        <f t="shared" si="8"/>
        <v>141008040829859367.77</v>
      </c>
      <c r="B567" t="s">
        <v>0</v>
      </c>
      <c r="C567" t="s">
        <v>8</v>
      </c>
      <c r="D567" t="s">
        <v>178</v>
      </c>
      <c r="E567" t="s">
        <v>800</v>
      </c>
      <c r="F567" s="1">
        <v>38200</v>
      </c>
      <c r="G567" t="s">
        <v>1</v>
      </c>
      <c r="H567" s="1"/>
      <c r="I567" s="2">
        <v>59367.77</v>
      </c>
      <c r="J567" s="2">
        <v>0</v>
      </c>
      <c r="K567" t="s">
        <v>171</v>
      </c>
      <c r="L567" t="s">
        <v>1</v>
      </c>
      <c r="M567" t="s">
        <v>360</v>
      </c>
      <c r="N567" s="2">
        <v>59367.77</v>
      </c>
      <c r="O567" t="str">
        <f>IFERROR(VLOOKUP($A567,Accounts!$A:$G,3,FALSE),"")</f>
        <v/>
      </c>
    </row>
    <row r="568" spans="1:15" outlineLevel="2" x14ac:dyDescent="0.2">
      <c r="A568" t="str">
        <f t="shared" si="8"/>
        <v>141008040729842439.62</v>
      </c>
      <c r="B568" t="s">
        <v>0</v>
      </c>
      <c r="C568" t="s">
        <v>8</v>
      </c>
      <c r="D568" t="s">
        <v>178</v>
      </c>
      <c r="E568" t="s">
        <v>801</v>
      </c>
      <c r="F568" s="1">
        <v>38200</v>
      </c>
      <c r="G568" t="s">
        <v>1</v>
      </c>
      <c r="H568" s="1"/>
      <c r="I568" s="2">
        <v>42439.62</v>
      </c>
      <c r="J568" s="2">
        <v>0</v>
      </c>
      <c r="K568" t="s">
        <v>171</v>
      </c>
      <c r="L568" t="s">
        <v>1</v>
      </c>
      <c r="M568" t="s">
        <v>360</v>
      </c>
      <c r="N568" s="2">
        <v>42439.62</v>
      </c>
      <c r="O568" t="str">
        <f>IFERROR(VLOOKUP($A568,Accounts!$A:$G,3,FALSE),"")</f>
        <v/>
      </c>
    </row>
    <row r="569" spans="1:15" outlineLevel="2" x14ac:dyDescent="0.2">
      <c r="A569" t="str">
        <f t="shared" si="8"/>
        <v>141008040629823207.55</v>
      </c>
      <c r="B569" t="s">
        <v>0</v>
      </c>
      <c r="C569" t="s">
        <v>8</v>
      </c>
      <c r="D569" t="s">
        <v>178</v>
      </c>
      <c r="E569" t="s">
        <v>802</v>
      </c>
      <c r="F569" s="1">
        <v>38200</v>
      </c>
      <c r="G569" t="s">
        <v>1</v>
      </c>
      <c r="H569" s="1"/>
      <c r="I569" s="2">
        <v>23207.55</v>
      </c>
      <c r="J569" s="2">
        <v>0</v>
      </c>
      <c r="K569" t="s">
        <v>171</v>
      </c>
      <c r="L569" t="s">
        <v>1</v>
      </c>
      <c r="M569" t="s">
        <v>360</v>
      </c>
      <c r="N569" s="2">
        <v>23207.55</v>
      </c>
      <c r="O569" t="str">
        <f>IFERROR(VLOOKUP($A569,Accounts!$A:$G,3,FALSE),"")</f>
        <v/>
      </c>
    </row>
    <row r="570" spans="1:15" outlineLevel="2" x14ac:dyDescent="0.2">
      <c r="A570" t="str">
        <f t="shared" si="8"/>
        <v>14100804052982763.07</v>
      </c>
      <c r="B570" t="s">
        <v>0</v>
      </c>
      <c r="C570" t="s">
        <v>8</v>
      </c>
      <c r="D570" t="s">
        <v>178</v>
      </c>
      <c r="E570" t="s">
        <v>803</v>
      </c>
      <c r="F570" s="1">
        <v>38200</v>
      </c>
      <c r="G570" t="s">
        <v>1</v>
      </c>
      <c r="H570" s="1"/>
      <c r="I570" s="2">
        <v>2763.07</v>
      </c>
      <c r="J570" s="2">
        <v>0</v>
      </c>
      <c r="K570" t="s">
        <v>171</v>
      </c>
      <c r="L570" t="s">
        <v>1</v>
      </c>
      <c r="M570" t="s">
        <v>360</v>
      </c>
      <c r="N570" s="2">
        <v>2763.07</v>
      </c>
      <c r="O570" t="str">
        <f>IFERROR(VLOOKUP($A570,Accounts!$A:$G,3,FALSE),"")</f>
        <v/>
      </c>
    </row>
    <row r="571" spans="1:15" outlineLevel="2" x14ac:dyDescent="0.2">
      <c r="A571" t="str">
        <f t="shared" si="8"/>
        <v>141008034129810530.98</v>
      </c>
      <c r="B571" t="s">
        <v>0</v>
      </c>
      <c r="C571" t="s">
        <v>8</v>
      </c>
      <c r="D571" t="s">
        <v>178</v>
      </c>
      <c r="E571" t="s">
        <v>804</v>
      </c>
      <c r="F571" s="1">
        <v>38200</v>
      </c>
      <c r="G571" t="s">
        <v>1</v>
      </c>
      <c r="H571" s="1"/>
      <c r="I571" s="2">
        <v>10530.98</v>
      </c>
      <c r="J571" s="2">
        <v>0</v>
      </c>
      <c r="K571" t="s">
        <v>171</v>
      </c>
      <c r="L571" t="s">
        <v>1</v>
      </c>
      <c r="M571" t="s">
        <v>360</v>
      </c>
      <c r="N571" s="2">
        <v>10530.98</v>
      </c>
      <c r="O571" t="str">
        <f>IFERROR(VLOOKUP($A571,Accounts!$A:$G,3,FALSE),"")</f>
        <v/>
      </c>
    </row>
    <row r="572" spans="1:15" outlineLevel="2" x14ac:dyDescent="0.2">
      <c r="A572" t="str">
        <f t="shared" si="8"/>
        <v>141008034029810312.2</v>
      </c>
      <c r="B572" t="s">
        <v>0</v>
      </c>
      <c r="C572" t="s">
        <v>8</v>
      </c>
      <c r="D572" t="s">
        <v>178</v>
      </c>
      <c r="E572" t="s">
        <v>805</v>
      </c>
      <c r="F572" s="1">
        <v>38200</v>
      </c>
      <c r="G572" t="s">
        <v>1</v>
      </c>
      <c r="H572" s="1"/>
      <c r="I572" s="2">
        <v>10312.200000000001</v>
      </c>
      <c r="J572" s="2">
        <v>0</v>
      </c>
      <c r="K572" t="s">
        <v>171</v>
      </c>
      <c r="L572" t="s">
        <v>1</v>
      </c>
      <c r="M572" t="s">
        <v>360</v>
      </c>
      <c r="N572" s="2">
        <v>10312.200000000001</v>
      </c>
      <c r="O572" t="str">
        <f>IFERROR(VLOOKUP($A572,Accounts!$A:$G,3,FALSE),"")</f>
        <v/>
      </c>
    </row>
    <row r="573" spans="1:15" outlineLevel="2" x14ac:dyDescent="0.2">
      <c r="A573" t="str">
        <f t="shared" si="8"/>
        <v>141008033929855790.86</v>
      </c>
      <c r="B573" t="s">
        <v>0</v>
      </c>
      <c r="C573" t="s">
        <v>8</v>
      </c>
      <c r="D573" t="s">
        <v>178</v>
      </c>
      <c r="E573" t="s">
        <v>806</v>
      </c>
      <c r="F573" s="1">
        <v>38200</v>
      </c>
      <c r="G573" t="s">
        <v>1</v>
      </c>
      <c r="H573" s="1"/>
      <c r="I573" s="2">
        <v>55790.86</v>
      </c>
      <c r="J573" s="2">
        <v>0</v>
      </c>
      <c r="K573" t="s">
        <v>171</v>
      </c>
      <c r="L573" t="s">
        <v>1</v>
      </c>
      <c r="M573" t="s">
        <v>360</v>
      </c>
      <c r="N573" s="2">
        <v>55790.86</v>
      </c>
      <c r="O573" t="str">
        <f>IFERROR(VLOOKUP($A573,Accounts!$A:$G,3,FALSE),"")</f>
        <v/>
      </c>
    </row>
    <row r="574" spans="1:15" outlineLevel="2" x14ac:dyDescent="0.2">
      <c r="A574" t="str">
        <f t="shared" si="8"/>
        <v>141008033829872600.5</v>
      </c>
      <c r="B574" t="s">
        <v>0</v>
      </c>
      <c r="C574" t="s">
        <v>8</v>
      </c>
      <c r="D574" t="s">
        <v>178</v>
      </c>
      <c r="E574" t="s">
        <v>807</v>
      </c>
      <c r="F574" s="1">
        <v>38200</v>
      </c>
      <c r="G574" t="s">
        <v>1</v>
      </c>
      <c r="H574" s="1"/>
      <c r="I574" s="2">
        <v>72600.5</v>
      </c>
      <c r="J574" s="2">
        <v>0</v>
      </c>
      <c r="K574" t="s">
        <v>171</v>
      </c>
      <c r="L574" t="s">
        <v>1</v>
      </c>
      <c r="M574" t="s">
        <v>360</v>
      </c>
      <c r="N574" s="2">
        <v>72600.5</v>
      </c>
      <c r="O574" t="str">
        <f>IFERROR(VLOOKUP($A574,Accounts!$A:$G,3,FALSE),"")</f>
        <v/>
      </c>
    </row>
    <row r="575" spans="1:15" outlineLevel="2" x14ac:dyDescent="0.2">
      <c r="A575" t="str">
        <f t="shared" si="8"/>
        <v>141008032729831016.24</v>
      </c>
      <c r="B575" t="s">
        <v>0</v>
      </c>
      <c r="C575" t="s">
        <v>8</v>
      </c>
      <c r="D575" t="s">
        <v>178</v>
      </c>
      <c r="E575" t="s">
        <v>808</v>
      </c>
      <c r="F575" s="1">
        <v>38200</v>
      </c>
      <c r="G575" t="s">
        <v>1</v>
      </c>
      <c r="H575" s="1"/>
      <c r="I575" s="2">
        <v>31016.240000000002</v>
      </c>
      <c r="J575" s="2">
        <v>0</v>
      </c>
      <c r="K575" t="s">
        <v>171</v>
      </c>
      <c r="L575" t="s">
        <v>1</v>
      </c>
      <c r="M575" t="s">
        <v>360</v>
      </c>
      <c r="N575" s="2">
        <v>31016.240000000002</v>
      </c>
      <c r="O575" t="str">
        <f>IFERROR(VLOOKUP($A575,Accounts!$A:$G,3,FALSE),"")</f>
        <v/>
      </c>
    </row>
    <row r="576" spans="1:15" outlineLevel="2" x14ac:dyDescent="0.2">
      <c r="A576" t="str">
        <f t="shared" si="8"/>
        <v>141008032629810595.26</v>
      </c>
      <c r="B576" t="s">
        <v>0</v>
      </c>
      <c r="C576" t="s">
        <v>8</v>
      </c>
      <c r="D576" t="s">
        <v>178</v>
      </c>
      <c r="E576" t="s">
        <v>809</v>
      </c>
      <c r="F576" s="1">
        <v>38200</v>
      </c>
      <c r="G576" t="s">
        <v>1</v>
      </c>
      <c r="H576" s="1"/>
      <c r="I576" s="2">
        <v>10595.26</v>
      </c>
      <c r="J576" s="2">
        <v>0</v>
      </c>
      <c r="K576" t="s">
        <v>171</v>
      </c>
      <c r="L576" t="s">
        <v>1</v>
      </c>
      <c r="M576" t="s">
        <v>360</v>
      </c>
      <c r="N576" s="2">
        <v>10595.26</v>
      </c>
      <c r="O576" t="str">
        <f>IFERROR(VLOOKUP($A576,Accounts!$A:$G,3,FALSE),"")</f>
        <v/>
      </c>
    </row>
    <row r="577" spans="1:15" outlineLevel="2" x14ac:dyDescent="0.2">
      <c r="A577" t="str">
        <f t="shared" si="8"/>
        <v>141008032529812053.6</v>
      </c>
      <c r="B577" t="s">
        <v>0</v>
      </c>
      <c r="C577" t="s">
        <v>8</v>
      </c>
      <c r="D577" t="s">
        <v>178</v>
      </c>
      <c r="E577" t="s">
        <v>810</v>
      </c>
      <c r="F577" s="1">
        <v>38200</v>
      </c>
      <c r="G577" t="s">
        <v>1</v>
      </c>
      <c r="H577" s="1"/>
      <c r="I577" s="2">
        <v>12053.6</v>
      </c>
      <c r="J577" s="2">
        <v>0</v>
      </c>
      <c r="K577" t="s">
        <v>171</v>
      </c>
      <c r="L577" t="s">
        <v>1</v>
      </c>
      <c r="M577" t="s">
        <v>360</v>
      </c>
      <c r="N577" s="2">
        <v>12053.6</v>
      </c>
      <c r="O577" t="str">
        <f>IFERROR(VLOOKUP($A577,Accounts!$A:$G,3,FALSE),"")</f>
        <v/>
      </c>
    </row>
    <row r="578" spans="1:15" outlineLevel="2" x14ac:dyDescent="0.2">
      <c r="A578" t="str">
        <f t="shared" si="8"/>
        <v>141008032429810769.38</v>
      </c>
      <c r="B578" t="s">
        <v>0</v>
      </c>
      <c r="C578" t="s">
        <v>8</v>
      </c>
      <c r="D578" t="s">
        <v>178</v>
      </c>
      <c r="E578" t="s">
        <v>811</v>
      </c>
      <c r="F578" s="1">
        <v>38200</v>
      </c>
      <c r="G578" t="s">
        <v>1</v>
      </c>
      <c r="H578" s="1"/>
      <c r="I578" s="2">
        <v>10769.38</v>
      </c>
      <c r="J578" s="2">
        <v>0</v>
      </c>
      <c r="K578" t="s">
        <v>171</v>
      </c>
      <c r="L578" t="s">
        <v>1</v>
      </c>
      <c r="M578" t="s">
        <v>360</v>
      </c>
      <c r="N578" s="2">
        <v>10769.38</v>
      </c>
      <c r="O578" t="str">
        <f>IFERROR(VLOOKUP($A578,Accounts!$A:$G,3,FALSE),"")</f>
        <v/>
      </c>
    </row>
    <row r="579" spans="1:15" outlineLevel="2" x14ac:dyDescent="0.2">
      <c r="A579" t="str">
        <f t="shared" si="8"/>
        <v>141008032329810435.16</v>
      </c>
      <c r="B579" t="s">
        <v>0</v>
      </c>
      <c r="C579" t="s">
        <v>8</v>
      </c>
      <c r="D579" t="s">
        <v>178</v>
      </c>
      <c r="E579" t="s">
        <v>812</v>
      </c>
      <c r="F579" s="1">
        <v>38200</v>
      </c>
      <c r="G579" t="s">
        <v>1</v>
      </c>
      <c r="H579" s="1"/>
      <c r="I579" s="2">
        <v>10435.16</v>
      </c>
      <c r="J579" s="2">
        <v>0</v>
      </c>
      <c r="K579" t="s">
        <v>171</v>
      </c>
      <c r="L579" t="s">
        <v>1</v>
      </c>
      <c r="M579" t="s">
        <v>360</v>
      </c>
      <c r="N579" s="2">
        <v>10435.16</v>
      </c>
      <c r="O579" t="str">
        <f>IFERROR(VLOOKUP($A579,Accounts!$A:$G,3,FALSE),"")</f>
        <v/>
      </c>
    </row>
    <row r="580" spans="1:15" outlineLevel="2" x14ac:dyDescent="0.2">
      <c r="A580" t="str">
        <f t="shared" si="8"/>
        <v>141008032229822975.78</v>
      </c>
      <c r="B580" t="s">
        <v>0</v>
      </c>
      <c r="C580" t="s">
        <v>8</v>
      </c>
      <c r="D580" t="s">
        <v>178</v>
      </c>
      <c r="E580" t="s">
        <v>813</v>
      </c>
      <c r="F580" s="1">
        <v>38200</v>
      </c>
      <c r="G580" t="s">
        <v>1</v>
      </c>
      <c r="H580" s="1"/>
      <c r="I580" s="2">
        <v>22975.78</v>
      </c>
      <c r="J580" s="2">
        <v>0</v>
      </c>
      <c r="K580" t="s">
        <v>171</v>
      </c>
      <c r="L580" t="s">
        <v>1</v>
      </c>
      <c r="M580" t="s">
        <v>360</v>
      </c>
      <c r="N580" s="2">
        <v>22975.78</v>
      </c>
      <c r="O580" t="str">
        <f>IFERROR(VLOOKUP($A580,Accounts!$A:$G,3,FALSE),"")</f>
        <v/>
      </c>
    </row>
    <row r="581" spans="1:15" outlineLevel="2" x14ac:dyDescent="0.2">
      <c r="A581" t="str">
        <f t="shared" si="8"/>
        <v>141008032129810924.53</v>
      </c>
      <c r="B581" t="s">
        <v>0</v>
      </c>
      <c r="C581" t="s">
        <v>8</v>
      </c>
      <c r="D581" t="s">
        <v>178</v>
      </c>
      <c r="E581" t="s">
        <v>814</v>
      </c>
      <c r="F581" s="1">
        <v>38200</v>
      </c>
      <c r="G581" t="s">
        <v>1</v>
      </c>
      <c r="H581" s="1"/>
      <c r="I581" s="2">
        <v>10924.53</v>
      </c>
      <c r="J581" s="2">
        <v>0</v>
      </c>
      <c r="K581" t="s">
        <v>171</v>
      </c>
      <c r="L581" t="s">
        <v>1</v>
      </c>
      <c r="M581" t="s">
        <v>360</v>
      </c>
      <c r="N581" s="2">
        <v>10924.53</v>
      </c>
      <c r="O581" t="str">
        <f>IFERROR(VLOOKUP($A581,Accounts!$A:$G,3,FALSE),"")</f>
        <v/>
      </c>
    </row>
    <row r="582" spans="1:15" outlineLevel="2" x14ac:dyDescent="0.2">
      <c r="A582" t="str">
        <f t="shared" si="8"/>
        <v>141008032029840345.99</v>
      </c>
      <c r="B582" t="s">
        <v>0</v>
      </c>
      <c r="C582" t="s">
        <v>8</v>
      </c>
      <c r="D582" t="s">
        <v>178</v>
      </c>
      <c r="E582" t="s">
        <v>815</v>
      </c>
      <c r="F582" s="1">
        <v>38200</v>
      </c>
      <c r="G582" t="s">
        <v>1</v>
      </c>
      <c r="H582" s="1"/>
      <c r="I582" s="2">
        <v>40345.99</v>
      </c>
      <c r="J582" s="2">
        <v>0</v>
      </c>
      <c r="K582" t="s">
        <v>171</v>
      </c>
      <c r="L582" t="s">
        <v>1</v>
      </c>
      <c r="M582" t="s">
        <v>360</v>
      </c>
      <c r="N582" s="2">
        <v>40345.99</v>
      </c>
      <c r="O582" t="str">
        <f>IFERROR(VLOOKUP($A582,Accounts!$A:$G,3,FALSE),"")</f>
        <v/>
      </c>
    </row>
    <row r="583" spans="1:15" outlineLevel="2" x14ac:dyDescent="0.2">
      <c r="A583" t="str">
        <f t="shared" si="8"/>
        <v>141008030329810829.62</v>
      </c>
      <c r="B583" t="s">
        <v>0</v>
      </c>
      <c r="C583" t="s">
        <v>8</v>
      </c>
      <c r="D583" t="s">
        <v>178</v>
      </c>
      <c r="E583" t="s">
        <v>816</v>
      </c>
      <c r="F583" s="1">
        <v>38200</v>
      </c>
      <c r="G583" t="s">
        <v>1</v>
      </c>
      <c r="H583" s="1"/>
      <c r="I583" s="2">
        <v>10829.62</v>
      </c>
      <c r="J583" s="2">
        <v>0</v>
      </c>
      <c r="K583" t="s">
        <v>171</v>
      </c>
      <c r="L583" t="s">
        <v>1</v>
      </c>
      <c r="M583" t="s">
        <v>360</v>
      </c>
      <c r="N583" s="2">
        <v>10829.62</v>
      </c>
      <c r="O583" t="str">
        <f>IFERROR(VLOOKUP($A583,Accounts!$A:$G,3,FALSE),"")</f>
        <v/>
      </c>
    </row>
    <row r="584" spans="1:15" outlineLevel="2" x14ac:dyDescent="0.2">
      <c r="A584" t="str">
        <f t="shared" si="8"/>
        <v>1410080686298-85.9</v>
      </c>
      <c r="B584" t="s">
        <v>0</v>
      </c>
      <c r="C584" t="s">
        <v>8</v>
      </c>
      <c r="D584" t="s">
        <v>178</v>
      </c>
      <c r="E584" t="s">
        <v>817</v>
      </c>
      <c r="F584" s="1">
        <v>38200</v>
      </c>
      <c r="G584" t="s">
        <v>1</v>
      </c>
      <c r="H584" s="1"/>
      <c r="I584" s="2">
        <v>-85.9</v>
      </c>
      <c r="J584" s="2">
        <v>0</v>
      </c>
      <c r="K584" t="s">
        <v>171</v>
      </c>
      <c r="L584" t="s">
        <v>1</v>
      </c>
      <c r="M584" t="s">
        <v>360</v>
      </c>
      <c r="N584" s="2">
        <v>-85.9</v>
      </c>
      <c r="O584" t="str">
        <f>IFERROR(VLOOKUP($A584,Accounts!$A:$G,3,FALSE),"")</f>
        <v/>
      </c>
    </row>
    <row r="585" spans="1:15" outlineLevel="2" x14ac:dyDescent="0.2">
      <c r="A585" t="str">
        <f t="shared" si="8"/>
        <v>141008029929820404.18</v>
      </c>
      <c r="B585" t="s">
        <v>0</v>
      </c>
      <c r="C585" t="s">
        <v>8</v>
      </c>
      <c r="D585" t="s">
        <v>178</v>
      </c>
      <c r="E585" t="s">
        <v>818</v>
      </c>
      <c r="F585" s="1">
        <v>38200</v>
      </c>
      <c r="G585" t="s">
        <v>1</v>
      </c>
      <c r="H585" s="1"/>
      <c r="I585" s="2">
        <v>20404.18</v>
      </c>
      <c r="J585" s="2">
        <v>0</v>
      </c>
      <c r="K585" t="s">
        <v>171</v>
      </c>
      <c r="L585" t="s">
        <v>1</v>
      </c>
      <c r="M585" t="s">
        <v>360</v>
      </c>
      <c r="N585" s="2">
        <v>20404.18</v>
      </c>
      <c r="O585" t="str">
        <f>IFERROR(VLOOKUP($A585,Accounts!$A:$G,3,FALSE),"")</f>
        <v/>
      </c>
    </row>
    <row r="586" spans="1:15" outlineLevel="2" x14ac:dyDescent="0.2">
      <c r="A586" t="str">
        <f t="shared" ref="A586:A649" si="9">IFERROR(IF(J586=0,E586&amp;C586&amp;I586,G586&amp;B586&amp;J586),"")</f>
        <v>141008029829821232.6</v>
      </c>
      <c r="B586" t="s">
        <v>0</v>
      </c>
      <c r="C586" t="s">
        <v>8</v>
      </c>
      <c r="D586" t="s">
        <v>178</v>
      </c>
      <c r="E586" t="s">
        <v>819</v>
      </c>
      <c r="F586" s="1">
        <v>38200</v>
      </c>
      <c r="G586" t="s">
        <v>1</v>
      </c>
      <c r="H586" s="1"/>
      <c r="I586" s="2">
        <v>21232.6</v>
      </c>
      <c r="J586" s="2">
        <v>0</v>
      </c>
      <c r="K586" t="s">
        <v>171</v>
      </c>
      <c r="L586" t="s">
        <v>1</v>
      </c>
      <c r="M586" t="s">
        <v>360</v>
      </c>
      <c r="N586" s="2">
        <v>21232.6</v>
      </c>
      <c r="O586" t="str">
        <f>IFERROR(VLOOKUP($A586,Accounts!$A:$G,3,FALSE),"")</f>
        <v/>
      </c>
    </row>
    <row r="587" spans="1:15" outlineLevel="2" x14ac:dyDescent="0.2">
      <c r="A587" t="str">
        <f t="shared" si="9"/>
        <v>141008029729866477.63</v>
      </c>
      <c r="B587" t="s">
        <v>0</v>
      </c>
      <c r="C587" t="s">
        <v>8</v>
      </c>
      <c r="D587" t="s">
        <v>178</v>
      </c>
      <c r="E587" t="s">
        <v>820</v>
      </c>
      <c r="F587" s="1">
        <v>38200</v>
      </c>
      <c r="G587" t="s">
        <v>1</v>
      </c>
      <c r="H587" s="1"/>
      <c r="I587" s="2">
        <v>66477.63</v>
      </c>
      <c r="J587" s="2">
        <v>0</v>
      </c>
      <c r="K587" t="s">
        <v>171</v>
      </c>
      <c r="L587" t="s">
        <v>1</v>
      </c>
      <c r="M587" t="s">
        <v>360</v>
      </c>
      <c r="N587" s="2">
        <v>66477.63</v>
      </c>
      <c r="O587" t="str">
        <f>IFERROR(VLOOKUP($A587,Accounts!$A:$G,3,FALSE),"")</f>
        <v/>
      </c>
    </row>
    <row r="588" spans="1:15" outlineLevel="2" x14ac:dyDescent="0.2">
      <c r="A588" t="str">
        <f t="shared" si="9"/>
        <v>141008027229811524.99</v>
      </c>
      <c r="B588" t="s">
        <v>0</v>
      </c>
      <c r="C588" t="s">
        <v>8</v>
      </c>
      <c r="D588" t="s">
        <v>178</v>
      </c>
      <c r="E588" t="s">
        <v>821</v>
      </c>
      <c r="F588" s="1">
        <v>38200</v>
      </c>
      <c r="G588" t="s">
        <v>1</v>
      </c>
      <c r="H588" s="1"/>
      <c r="I588" s="2">
        <v>11524.99</v>
      </c>
      <c r="J588" s="2">
        <v>0</v>
      </c>
      <c r="K588" t="s">
        <v>171</v>
      </c>
      <c r="L588" t="s">
        <v>1</v>
      </c>
      <c r="M588" t="s">
        <v>360</v>
      </c>
      <c r="N588" s="2">
        <v>11524.99</v>
      </c>
      <c r="O588" t="str">
        <f>IFERROR(VLOOKUP($A588,Accounts!$A:$G,3,FALSE),"")</f>
        <v/>
      </c>
    </row>
    <row r="589" spans="1:15" outlineLevel="2" x14ac:dyDescent="0.2">
      <c r="A589" t="str">
        <f t="shared" si="9"/>
        <v>14100810502989849.02</v>
      </c>
      <c r="B589" t="s">
        <v>0</v>
      </c>
      <c r="C589" t="s">
        <v>8</v>
      </c>
      <c r="D589" t="s">
        <v>178</v>
      </c>
      <c r="E589" t="s">
        <v>822</v>
      </c>
      <c r="F589" s="1">
        <v>38200</v>
      </c>
      <c r="G589" t="s">
        <v>1</v>
      </c>
      <c r="H589" s="1"/>
      <c r="I589" s="2">
        <v>9849.02</v>
      </c>
      <c r="J589" s="2">
        <v>0</v>
      </c>
      <c r="K589" t="s">
        <v>171</v>
      </c>
      <c r="L589" t="s">
        <v>1</v>
      </c>
      <c r="M589" t="s">
        <v>360</v>
      </c>
      <c r="N589" s="2">
        <v>9849.02</v>
      </c>
      <c r="O589" t="str">
        <f>IFERROR(VLOOKUP($A589,Accounts!$A:$G,3,FALSE),"")</f>
        <v/>
      </c>
    </row>
    <row r="590" spans="1:15" outlineLevel="2" x14ac:dyDescent="0.2">
      <c r="A590" t="str">
        <f t="shared" si="9"/>
        <v>655558298-1967684.36</v>
      </c>
      <c r="B590" t="s">
        <v>0</v>
      </c>
      <c r="C590" t="s">
        <v>8</v>
      </c>
      <c r="D590" t="s">
        <v>178</v>
      </c>
      <c r="E590" t="s">
        <v>170</v>
      </c>
      <c r="F590" s="1">
        <v>38223</v>
      </c>
      <c r="G590" t="s">
        <v>1</v>
      </c>
      <c r="H590" s="1"/>
      <c r="I590" s="2">
        <v>-1967684.36</v>
      </c>
      <c r="J590" s="2">
        <v>0</v>
      </c>
      <c r="K590" t="s">
        <v>171</v>
      </c>
      <c r="L590" t="s">
        <v>1</v>
      </c>
      <c r="M590" t="s">
        <v>360</v>
      </c>
      <c r="N590" s="2">
        <v>-1967684.36</v>
      </c>
      <c r="O590" t="str">
        <f>IFERROR(VLOOKUP($A590,Accounts!$A:$G,3,FALSE),"")</f>
        <v/>
      </c>
    </row>
    <row r="591" spans="1:15" outlineLevel="2" x14ac:dyDescent="0.2">
      <c r="A591" t="str">
        <f t="shared" si="9"/>
        <v>14100810622989630.26</v>
      </c>
      <c r="B591" t="s">
        <v>0</v>
      </c>
      <c r="C591" t="s">
        <v>8</v>
      </c>
      <c r="D591" t="s">
        <v>178</v>
      </c>
      <c r="E591" t="s">
        <v>823</v>
      </c>
      <c r="F591" s="1">
        <v>38200</v>
      </c>
      <c r="G591" t="s">
        <v>1</v>
      </c>
      <c r="H591" s="1"/>
      <c r="I591" s="2">
        <v>9630.26</v>
      </c>
      <c r="J591" s="2">
        <v>0</v>
      </c>
      <c r="K591" t="s">
        <v>171</v>
      </c>
      <c r="L591" t="s">
        <v>1</v>
      </c>
      <c r="M591" t="s">
        <v>360</v>
      </c>
      <c r="N591" s="2">
        <v>9630.26</v>
      </c>
      <c r="O591" t="str">
        <f>IFERROR(VLOOKUP($A591,Accounts!$A:$G,3,FALSE),"")</f>
        <v/>
      </c>
    </row>
    <row r="592" spans="1:15" outlineLevel="2" x14ac:dyDescent="0.2">
      <c r="A592" t="str">
        <f t="shared" si="9"/>
        <v>141008107029820991.38</v>
      </c>
      <c r="B592" t="s">
        <v>0</v>
      </c>
      <c r="C592" t="s">
        <v>8</v>
      </c>
      <c r="D592" t="s">
        <v>178</v>
      </c>
      <c r="E592" t="s">
        <v>824</v>
      </c>
      <c r="F592" s="1">
        <v>38200</v>
      </c>
      <c r="G592" t="s">
        <v>1</v>
      </c>
      <c r="H592" s="1"/>
      <c r="I592" s="2">
        <v>20991.38</v>
      </c>
      <c r="J592" s="2">
        <v>0</v>
      </c>
      <c r="K592" t="s">
        <v>171</v>
      </c>
      <c r="L592" t="s">
        <v>1</v>
      </c>
      <c r="M592" t="s">
        <v>360</v>
      </c>
      <c r="N592" s="2">
        <v>20991.38</v>
      </c>
      <c r="O592" t="str">
        <f>IFERROR(VLOOKUP($A592,Accounts!$A:$G,3,FALSE),"")</f>
        <v/>
      </c>
    </row>
    <row r="593" spans="1:15" outlineLevel="2" x14ac:dyDescent="0.2">
      <c r="A593" t="str">
        <f t="shared" si="9"/>
        <v>141008107229850576.1</v>
      </c>
      <c r="B593" t="s">
        <v>0</v>
      </c>
      <c r="C593" t="s">
        <v>8</v>
      </c>
      <c r="D593" t="s">
        <v>178</v>
      </c>
      <c r="E593" t="s">
        <v>825</v>
      </c>
      <c r="F593" s="1">
        <v>38200</v>
      </c>
      <c r="G593" t="s">
        <v>1</v>
      </c>
      <c r="H593" s="1"/>
      <c r="I593" s="2">
        <v>50576.1</v>
      </c>
      <c r="J593" s="2">
        <v>0</v>
      </c>
      <c r="K593" t="s">
        <v>171</v>
      </c>
      <c r="L593" t="s">
        <v>1</v>
      </c>
      <c r="M593" t="s">
        <v>360</v>
      </c>
      <c r="N593" s="2">
        <v>50576.1</v>
      </c>
      <c r="O593" t="str">
        <f>IFERROR(VLOOKUP($A593,Accounts!$A:$G,3,FALSE),"")</f>
        <v/>
      </c>
    </row>
    <row r="594" spans="1:15" outlineLevel="2" x14ac:dyDescent="0.2">
      <c r="A594" t="str">
        <f t="shared" si="9"/>
        <v>6000069925300426.86</v>
      </c>
      <c r="B594" t="s">
        <v>0</v>
      </c>
      <c r="C594" t="s">
        <v>8</v>
      </c>
      <c r="D594" t="s">
        <v>99</v>
      </c>
      <c r="E594" t="s">
        <v>1</v>
      </c>
      <c r="F594" s="1"/>
      <c r="G594" t="s">
        <v>383</v>
      </c>
      <c r="H594" s="1">
        <v>43312</v>
      </c>
      <c r="I594" s="2">
        <v>0</v>
      </c>
      <c r="J594" s="2">
        <v>25300426.859999999</v>
      </c>
      <c r="K594" t="s">
        <v>1</v>
      </c>
      <c r="L594" t="s">
        <v>222</v>
      </c>
      <c r="M594" t="s">
        <v>360</v>
      </c>
      <c r="N594" s="2">
        <v>25300426.859999999</v>
      </c>
      <c r="O594" t="str">
        <f>IFERROR(VLOOKUP($A594,Accounts!$A:$G,3,FALSE),"")</f>
        <v/>
      </c>
    </row>
    <row r="595" spans="1:15" outlineLevel="2" x14ac:dyDescent="0.2">
      <c r="A595" t="str">
        <f t="shared" si="9"/>
        <v>60000699-25300426.86</v>
      </c>
      <c r="B595" t="s">
        <v>0</v>
      </c>
      <c r="C595" t="s">
        <v>8</v>
      </c>
      <c r="D595" t="s">
        <v>99</v>
      </c>
      <c r="E595" t="s">
        <v>1</v>
      </c>
      <c r="F595" s="1"/>
      <c r="G595" t="s">
        <v>383</v>
      </c>
      <c r="H595" s="1">
        <v>43312</v>
      </c>
      <c r="I595" s="2">
        <v>0</v>
      </c>
      <c r="J595" s="2">
        <v>-25300426.859999999</v>
      </c>
      <c r="K595" t="s">
        <v>1</v>
      </c>
      <c r="L595" t="s">
        <v>222</v>
      </c>
      <c r="M595" t="s">
        <v>360</v>
      </c>
      <c r="N595" s="2">
        <v>-25300426.859999999</v>
      </c>
      <c r="O595" t="str">
        <f>IFERROR(VLOOKUP($A595,Accounts!$A:$G,3,FALSE),"")</f>
        <v/>
      </c>
    </row>
    <row r="596" spans="1:15" outlineLevel="2" x14ac:dyDescent="0.2">
      <c r="A596" t="str">
        <f t="shared" si="9"/>
        <v>240001078499-10077.01</v>
      </c>
      <c r="B596" t="s">
        <v>0</v>
      </c>
      <c r="C596" t="s">
        <v>8</v>
      </c>
      <c r="D596" t="s">
        <v>169</v>
      </c>
      <c r="E596" t="s">
        <v>1</v>
      </c>
      <c r="F596" s="1"/>
      <c r="G596" t="s">
        <v>826</v>
      </c>
      <c r="H596" s="1">
        <v>38159</v>
      </c>
      <c r="I596" s="2">
        <v>0</v>
      </c>
      <c r="J596" s="2">
        <v>-10077.01</v>
      </c>
      <c r="K596" t="s">
        <v>1</v>
      </c>
      <c r="L596" t="s">
        <v>171</v>
      </c>
      <c r="M596" t="s">
        <v>360</v>
      </c>
      <c r="N596" s="2">
        <v>-10077.01</v>
      </c>
      <c r="O596" t="str">
        <f>IFERROR(VLOOKUP($A596,Accounts!$A:$G,3,FALSE),"")</f>
        <v/>
      </c>
    </row>
    <row r="597" spans="1:15" outlineLevel="2" x14ac:dyDescent="0.2">
      <c r="A597" t="str">
        <f t="shared" si="9"/>
        <v>240001078399-10278.36</v>
      </c>
      <c r="B597" t="s">
        <v>0</v>
      </c>
      <c r="C597" t="s">
        <v>8</v>
      </c>
      <c r="D597" t="s">
        <v>169</v>
      </c>
      <c r="E597" t="s">
        <v>1</v>
      </c>
      <c r="F597" s="1"/>
      <c r="G597" t="s">
        <v>827</v>
      </c>
      <c r="H597" s="1">
        <v>38159</v>
      </c>
      <c r="I597" s="2">
        <v>0</v>
      </c>
      <c r="J597" s="2">
        <v>-10278.36</v>
      </c>
      <c r="K597" t="s">
        <v>1</v>
      </c>
      <c r="L597" t="s">
        <v>171</v>
      </c>
      <c r="M597" t="s">
        <v>360</v>
      </c>
      <c r="N597" s="2">
        <v>-10278.36</v>
      </c>
      <c r="O597" t="str">
        <f>IFERROR(VLOOKUP($A597,Accounts!$A:$G,3,FALSE),"")</f>
        <v/>
      </c>
    </row>
    <row r="598" spans="1:15" outlineLevel="2" x14ac:dyDescent="0.2">
      <c r="A598" t="str">
        <f t="shared" si="9"/>
        <v>240001078299-10572.97</v>
      </c>
      <c r="B598" t="s">
        <v>0</v>
      </c>
      <c r="C598" t="s">
        <v>8</v>
      </c>
      <c r="D598" t="s">
        <v>169</v>
      </c>
      <c r="E598" t="s">
        <v>1</v>
      </c>
      <c r="F598" s="1"/>
      <c r="G598" t="s">
        <v>828</v>
      </c>
      <c r="H598" s="1">
        <v>38159</v>
      </c>
      <c r="I598" s="2">
        <v>0</v>
      </c>
      <c r="J598" s="2">
        <v>-10572.97</v>
      </c>
      <c r="K598" t="s">
        <v>1</v>
      </c>
      <c r="L598" t="s">
        <v>171</v>
      </c>
      <c r="M598" t="s">
        <v>360</v>
      </c>
      <c r="N598" s="2">
        <v>-10572.97</v>
      </c>
      <c r="O598" t="str">
        <f>IFERROR(VLOOKUP($A598,Accounts!$A:$G,3,FALSE),"")</f>
        <v/>
      </c>
    </row>
    <row r="599" spans="1:15" outlineLevel="2" x14ac:dyDescent="0.2">
      <c r="A599" t="str">
        <f t="shared" si="9"/>
        <v>240001078199-42195.34</v>
      </c>
      <c r="B599" t="s">
        <v>0</v>
      </c>
      <c r="C599" t="s">
        <v>8</v>
      </c>
      <c r="D599" t="s">
        <v>169</v>
      </c>
      <c r="E599" t="s">
        <v>1</v>
      </c>
      <c r="F599" s="1"/>
      <c r="G599" t="s">
        <v>829</v>
      </c>
      <c r="H599" s="1">
        <v>38159</v>
      </c>
      <c r="I599" s="2">
        <v>0</v>
      </c>
      <c r="J599" s="2">
        <v>-42195.34</v>
      </c>
      <c r="K599" t="s">
        <v>1</v>
      </c>
      <c r="L599" t="s">
        <v>171</v>
      </c>
      <c r="M599" t="s">
        <v>360</v>
      </c>
      <c r="N599" s="2">
        <v>-42195.34</v>
      </c>
      <c r="O599" t="str">
        <f>IFERROR(VLOOKUP($A599,Accounts!$A:$G,3,FALSE),"")</f>
        <v/>
      </c>
    </row>
    <row r="600" spans="1:15" outlineLevel="2" x14ac:dyDescent="0.2">
      <c r="A600" t="str">
        <f t="shared" si="9"/>
        <v>604447991989155.79</v>
      </c>
      <c r="B600" t="s">
        <v>0</v>
      </c>
      <c r="C600" t="s">
        <v>8</v>
      </c>
      <c r="D600" t="s">
        <v>169</v>
      </c>
      <c r="E600" t="s">
        <v>1</v>
      </c>
      <c r="F600" s="1"/>
      <c r="G600" t="s">
        <v>361</v>
      </c>
      <c r="H600" s="1">
        <v>38223</v>
      </c>
      <c r="I600" s="2">
        <v>0</v>
      </c>
      <c r="J600" s="2">
        <v>1989155.79</v>
      </c>
      <c r="K600" t="s">
        <v>1</v>
      </c>
      <c r="L600" t="s">
        <v>171</v>
      </c>
      <c r="M600" t="s">
        <v>360</v>
      </c>
      <c r="N600" s="2">
        <v>1989155.79</v>
      </c>
      <c r="O600" t="str">
        <f>IFERROR(VLOOKUP($A600,Accounts!$A:$G,3,FALSE),"")</f>
        <v/>
      </c>
    </row>
    <row r="601" spans="1:15" outlineLevel="2" x14ac:dyDescent="0.2">
      <c r="A601" t="str">
        <f t="shared" si="9"/>
        <v>240001081499-75.78</v>
      </c>
      <c r="B601" t="s">
        <v>0</v>
      </c>
      <c r="C601" t="s">
        <v>8</v>
      </c>
      <c r="D601" t="s">
        <v>169</v>
      </c>
      <c r="E601" t="s">
        <v>1</v>
      </c>
      <c r="F601" s="1"/>
      <c r="G601" t="s">
        <v>830</v>
      </c>
      <c r="H601" s="1">
        <v>38163</v>
      </c>
      <c r="I601" s="2">
        <v>0</v>
      </c>
      <c r="J601" s="2">
        <v>-75.78</v>
      </c>
      <c r="K601" t="s">
        <v>1</v>
      </c>
      <c r="L601" t="s">
        <v>171</v>
      </c>
      <c r="M601" t="s">
        <v>360</v>
      </c>
      <c r="N601" s="2">
        <v>-75.78</v>
      </c>
      <c r="O601" t="str">
        <f>IFERROR(VLOOKUP($A601,Accounts!$A:$G,3,FALSE),"")</f>
        <v/>
      </c>
    </row>
    <row r="602" spans="1:15" outlineLevel="2" x14ac:dyDescent="0.2">
      <c r="A602" t="str">
        <f t="shared" si="9"/>
        <v>24000108159985.9</v>
      </c>
      <c r="B602" t="s">
        <v>0</v>
      </c>
      <c r="C602" t="s">
        <v>8</v>
      </c>
      <c r="D602" t="s">
        <v>169</v>
      </c>
      <c r="E602" t="s">
        <v>1</v>
      </c>
      <c r="F602" s="1"/>
      <c r="G602" t="s">
        <v>831</v>
      </c>
      <c r="H602" s="1">
        <v>38163</v>
      </c>
      <c r="I602" s="2">
        <v>0</v>
      </c>
      <c r="J602" s="2">
        <v>85.9</v>
      </c>
      <c r="K602" t="s">
        <v>1</v>
      </c>
      <c r="L602" t="s">
        <v>171</v>
      </c>
      <c r="M602" t="s">
        <v>360</v>
      </c>
      <c r="N602" s="2">
        <v>85.9</v>
      </c>
      <c r="O602" t="str">
        <f>IFERROR(VLOOKUP($A602,Accounts!$A:$G,3,FALSE),"")</f>
        <v/>
      </c>
    </row>
    <row r="603" spans="1:15" outlineLevel="2" x14ac:dyDescent="0.2">
      <c r="A603" t="str">
        <f t="shared" si="9"/>
        <v>24000108169928.63</v>
      </c>
      <c r="B603" t="s">
        <v>0</v>
      </c>
      <c r="C603" t="s">
        <v>8</v>
      </c>
      <c r="D603" t="s">
        <v>169</v>
      </c>
      <c r="E603" t="s">
        <v>1</v>
      </c>
      <c r="F603" s="1"/>
      <c r="G603" t="s">
        <v>832</v>
      </c>
      <c r="H603" s="1">
        <v>38163</v>
      </c>
      <c r="I603" s="2">
        <v>0</v>
      </c>
      <c r="J603" s="2">
        <v>28.63</v>
      </c>
      <c r="K603" t="s">
        <v>1</v>
      </c>
      <c r="L603" t="s">
        <v>171</v>
      </c>
      <c r="M603" t="s">
        <v>360</v>
      </c>
      <c r="N603" s="2">
        <v>28.63</v>
      </c>
      <c r="O603" t="str">
        <f>IFERROR(VLOOKUP($A603,Accounts!$A:$G,3,FALSE),"")</f>
        <v/>
      </c>
    </row>
    <row r="604" spans="1:15" outlineLevel="2" x14ac:dyDescent="0.2">
      <c r="A604" t="str">
        <f t="shared" si="9"/>
        <v>240001083899-16532.86</v>
      </c>
      <c r="B604" t="s">
        <v>0</v>
      </c>
      <c r="C604" t="s">
        <v>8</v>
      </c>
      <c r="D604" t="s">
        <v>169</v>
      </c>
      <c r="E604" t="s">
        <v>1</v>
      </c>
      <c r="F604" s="1"/>
      <c r="G604" t="s">
        <v>833</v>
      </c>
      <c r="H604" s="1">
        <v>38163</v>
      </c>
      <c r="I604" s="2">
        <v>0</v>
      </c>
      <c r="J604" s="2">
        <v>-16532.86</v>
      </c>
      <c r="K604" t="s">
        <v>1</v>
      </c>
      <c r="L604" t="s">
        <v>171</v>
      </c>
      <c r="M604" t="s">
        <v>360</v>
      </c>
      <c r="N604" s="2">
        <v>-16532.86</v>
      </c>
      <c r="O604" t="str">
        <f>IFERROR(VLOOKUP($A604,Accounts!$A:$G,3,FALSE),"")</f>
        <v/>
      </c>
    </row>
    <row r="605" spans="1:15" outlineLevel="2" x14ac:dyDescent="0.2">
      <c r="A605" t="str">
        <f t="shared" si="9"/>
        <v>240001083999-26330.11</v>
      </c>
      <c r="B605" t="s">
        <v>0</v>
      </c>
      <c r="C605" t="s">
        <v>8</v>
      </c>
      <c r="D605" t="s">
        <v>169</v>
      </c>
      <c r="E605" t="s">
        <v>1</v>
      </c>
      <c r="F605" s="1"/>
      <c r="G605" t="s">
        <v>834</v>
      </c>
      <c r="H605" s="1">
        <v>38163</v>
      </c>
      <c r="I605" s="2">
        <v>0</v>
      </c>
      <c r="J605" s="2">
        <v>-26330.11</v>
      </c>
      <c r="K605" t="s">
        <v>1</v>
      </c>
      <c r="L605" t="s">
        <v>171</v>
      </c>
      <c r="M605" t="s">
        <v>360</v>
      </c>
      <c r="N605" s="2">
        <v>-26330.11</v>
      </c>
      <c r="O605" t="str">
        <f>IFERROR(VLOOKUP($A605,Accounts!$A:$G,3,FALSE),"")</f>
        <v/>
      </c>
    </row>
    <row r="606" spans="1:15" outlineLevel="2" x14ac:dyDescent="0.2">
      <c r="A606" t="str">
        <f t="shared" si="9"/>
        <v>240001084099-10742.97</v>
      </c>
      <c r="B606" t="s">
        <v>0</v>
      </c>
      <c r="C606" t="s">
        <v>8</v>
      </c>
      <c r="D606" t="s">
        <v>169</v>
      </c>
      <c r="E606" t="s">
        <v>1</v>
      </c>
      <c r="F606" s="1"/>
      <c r="G606" t="s">
        <v>835</v>
      </c>
      <c r="H606" s="1">
        <v>38163</v>
      </c>
      <c r="I606" s="2">
        <v>0</v>
      </c>
      <c r="J606" s="2">
        <v>-10742.97</v>
      </c>
      <c r="K606" t="s">
        <v>1</v>
      </c>
      <c r="L606" t="s">
        <v>171</v>
      </c>
      <c r="M606" t="s">
        <v>360</v>
      </c>
      <c r="N606" s="2">
        <v>-10742.97</v>
      </c>
      <c r="O606" t="str">
        <f>IFERROR(VLOOKUP($A606,Accounts!$A:$G,3,FALSE),"")</f>
        <v/>
      </c>
    </row>
    <row r="607" spans="1:15" outlineLevel="2" x14ac:dyDescent="0.2">
      <c r="A607" t="str">
        <f t="shared" si="9"/>
        <v>240001084199-18161.87</v>
      </c>
      <c r="B607" t="s">
        <v>0</v>
      </c>
      <c r="C607" t="s">
        <v>8</v>
      </c>
      <c r="D607" t="s">
        <v>169</v>
      </c>
      <c r="E607" t="s">
        <v>1</v>
      </c>
      <c r="F607" s="1"/>
      <c r="G607" t="s">
        <v>836</v>
      </c>
      <c r="H607" s="1">
        <v>38163</v>
      </c>
      <c r="I607" s="2">
        <v>0</v>
      </c>
      <c r="J607" s="2">
        <v>-18161.87</v>
      </c>
      <c r="K607" t="s">
        <v>1</v>
      </c>
      <c r="L607" t="s">
        <v>171</v>
      </c>
      <c r="M607" t="s">
        <v>360</v>
      </c>
      <c r="N607" s="2">
        <v>-18161.87</v>
      </c>
      <c r="O607" t="str">
        <f>IFERROR(VLOOKUP($A607,Accounts!$A:$G,3,FALSE),"")</f>
        <v/>
      </c>
    </row>
    <row r="608" spans="1:15" outlineLevel="2" x14ac:dyDescent="0.2">
      <c r="A608" t="str">
        <f t="shared" si="9"/>
        <v>240001084299-2876.67</v>
      </c>
      <c r="B608" t="s">
        <v>0</v>
      </c>
      <c r="C608" t="s">
        <v>8</v>
      </c>
      <c r="D608" t="s">
        <v>169</v>
      </c>
      <c r="E608" t="s">
        <v>1</v>
      </c>
      <c r="F608" s="1"/>
      <c r="G608" t="s">
        <v>837</v>
      </c>
      <c r="H608" s="1">
        <v>38163</v>
      </c>
      <c r="I608" s="2">
        <v>0</v>
      </c>
      <c r="J608" s="2">
        <v>-2876.67</v>
      </c>
      <c r="K608" t="s">
        <v>1</v>
      </c>
      <c r="L608" t="s">
        <v>171</v>
      </c>
      <c r="M608" t="s">
        <v>360</v>
      </c>
      <c r="N608" s="2">
        <v>-2876.67</v>
      </c>
      <c r="O608" t="str">
        <f>IFERROR(VLOOKUP($A608,Accounts!$A:$G,3,FALSE),"")</f>
        <v/>
      </c>
    </row>
    <row r="609" spans="1:15" outlineLevel="2" x14ac:dyDescent="0.2">
      <c r="A609" t="str">
        <f t="shared" si="9"/>
        <v>240001084399-21800.37</v>
      </c>
      <c r="B609" t="s">
        <v>0</v>
      </c>
      <c r="C609" t="s">
        <v>8</v>
      </c>
      <c r="D609" t="s">
        <v>169</v>
      </c>
      <c r="E609" t="s">
        <v>1</v>
      </c>
      <c r="F609" s="1"/>
      <c r="G609" t="s">
        <v>838</v>
      </c>
      <c r="H609" s="1">
        <v>38163</v>
      </c>
      <c r="I609" s="2">
        <v>0</v>
      </c>
      <c r="J609" s="2">
        <v>-21800.37</v>
      </c>
      <c r="K609" t="s">
        <v>1</v>
      </c>
      <c r="L609" t="s">
        <v>171</v>
      </c>
      <c r="M609" t="s">
        <v>360</v>
      </c>
      <c r="N609" s="2">
        <v>-21800.37</v>
      </c>
      <c r="O609" t="str">
        <f>IFERROR(VLOOKUP($A609,Accounts!$A:$G,3,FALSE),"")</f>
        <v/>
      </c>
    </row>
    <row r="610" spans="1:15" outlineLevel="2" x14ac:dyDescent="0.2">
      <c r="A610" t="str">
        <f t="shared" si="9"/>
        <v>240001084499-10638.17</v>
      </c>
      <c r="B610" t="s">
        <v>0</v>
      </c>
      <c r="C610" t="s">
        <v>8</v>
      </c>
      <c r="D610" t="s">
        <v>169</v>
      </c>
      <c r="E610" t="s">
        <v>1</v>
      </c>
      <c r="F610" s="1"/>
      <c r="G610" t="s">
        <v>839</v>
      </c>
      <c r="H610" s="1">
        <v>38163</v>
      </c>
      <c r="I610" s="2">
        <v>0</v>
      </c>
      <c r="J610" s="2">
        <v>-10638.17</v>
      </c>
      <c r="K610" t="s">
        <v>1</v>
      </c>
      <c r="L610" t="s">
        <v>171</v>
      </c>
      <c r="M610" t="s">
        <v>360</v>
      </c>
      <c r="N610" s="2">
        <v>-10638.17</v>
      </c>
      <c r="O610" t="str">
        <f>IFERROR(VLOOKUP($A610,Accounts!$A:$G,3,FALSE),"")</f>
        <v/>
      </c>
    </row>
    <row r="611" spans="1:15" outlineLevel="2" x14ac:dyDescent="0.2">
      <c r="A611" t="str">
        <f t="shared" si="9"/>
        <v>240001085899-10082.78</v>
      </c>
      <c r="B611" t="s">
        <v>0</v>
      </c>
      <c r="C611" t="s">
        <v>8</v>
      </c>
      <c r="D611" t="s">
        <v>169</v>
      </c>
      <c r="E611" t="s">
        <v>1</v>
      </c>
      <c r="F611" s="1"/>
      <c r="G611" t="s">
        <v>840</v>
      </c>
      <c r="H611" s="1">
        <v>38163</v>
      </c>
      <c r="I611" s="2">
        <v>0</v>
      </c>
      <c r="J611" s="2">
        <v>-10082.780000000001</v>
      </c>
      <c r="K611" t="s">
        <v>1</v>
      </c>
      <c r="L611" t="s">
        <v>171</v>
      </c>
      <c r="M611" t="s">
        <v>360</v>
      </c>
      <c r="N611" s="2">
        <v>-10082.780000000001</v>
      </c>
      <c r="O611" t="str">
        <f>IFERROR(VLOOKUP($A611,Accounts!$A:$G,3,FALSE),"")</f>
        <v/>
      </c>
    </row>
    <row r="612" spans="1:15" outlineLevel="2" x14ac:dyDescent="0.2">
      <c r="A612" t="str">
        <f t="shared" si="9"/>
        <v>240001085999-10478.9</v>
      </c>
      <c r="B612" t="s">
        <v>0</v>
      </c>
      <c r="C612" t="s">
        <v>8</v>
      </c>
      <c r="D612" t="s">
        <v>169</v>
      </c>
      <c r="E612" t="s">
        <v>1</v>
      </c>
      <c r="F612" s="1"/>
      <c r="G612" t="s">
        <v>841</v>
      </c>
      <c r="H612" s="1">
        <v>38163</v>
      </c>
      <c r="I612" s="2">
        <v>0</v>
      </c>
      <c r="J612" s="2">
        <v>-10478.9</v>
      </c>
      <c r="K612" t="s">
        <v>1</v>
      </c>
      <c r="L612" t="s">
        <v>171</v>
      </c>
      <c r="M612" t="s">
        <v>360</v>
      </c>
      <c r="N612" s="2">
        <v>-10478.9</v>
      </c>
      <c r="O612" t="str">
        <f>IFERROR(VLOOKUP($A612,Accounts!$A:$G,3,FALSE),"")</f>
        <v/>
      </c>
    </row>
    <row r="613" spans="1:15" outlineLevel="2" x14ac:dyDescent="0.2">
      <c r="A613" t="str">
        <f t="shared" si="9"/>
        <v>24000108709971.62</v>
      </c>
      <c r="B613" t="s">
        <v>0</v>
      </c>
      <c r="C613" t="s">
        <v>8</v>
      </c>
      <c r="D613" t="s">
        <v>169</v>
      </c>
      <c r="E613" t="s">
        <v>1</v>
      </c>
      <c r="F613" s="1"/>
      <c r="G613" t="s">
        <v>842</v>
      </c>
      <c r="H613" s="1">
        <v>38163</v>
      </c>
      <c r="I613" s="2">
        <v>0</v>
      </c>
      <c r="J613" s="2">
        <v>71.62</v>
      </c>
      <c r="K613" t="s">
        <v>1</v>
      </c>
      <c r="L613" t="s">
        <v>171</v>
      </c>
      <c r="M613" t="s">
        <v>360</v>
      </c>
      <c r="N613" s="2">
        <v>71.62</v>
      </c>
      <c r="O613" t="str">
        <f>IFERROR(VLOOKUP($A613,Accounts!$A:$G,3,FALSE),"")</f>
        <v/>
      </c>
    </row>
    <row r="614" spans="1:15" outlineLevel="2" x14ac:dyDescent="0.2">
      <c r="A614" t="str">
        <f t="shared" si="9"/>
        <v>240001088299-32304.84</v>
      </c>
      <c r="B614" t="s">
        <v>0</v>
      </c>
      <c r="C614" t="s">
        <v>8</v>
      </c>
      <c r="D614" t="s">
        <v>169</v>
      </c>
      <c r="E614" t="s">
        <v>1</v>
      </c>
      <c r="F614" s="1"/>
      <c r="G614" t="s">
        <v>843</v>
      </c>
      <c r="H614" s="1">
        <v>38169</v>
      </c>
      <c r="I614" s="2">
        <v>0</v>
      </c>
      <c r="J614" s="2">
        <v>-32304.84</v>
      </c>
      <c r="K614" t="s">
        <v>1</v>
      </c>
      <c r="L614" t="s">
        <v>171</v>
      </c>
      <c r="M614" t="s">
        <v>360</v>
      </c>
      <c r="N614" s="2">
        <v>-32304.84</v>
      </c>
      <c r="O614" t="str">
        <f>IFERROR(VLOOKUP($A614,Accounts!$A:$G,3,FALSE),"")</f>
        <v/>
      </c>
    </row>
    <row r="615" spans="1:15" outlineLevel="2" x14ac:dyDescent="0.2">
      <c r="A615" t="str">
        <f t="shared" si="9"/>
        <v>240001088399-10218.95</v>
      </c>
      <c r="B615" t="s">
        <v>0</v>
      </c>
      <c r="C615" t="s">
        <v>8</v>
      </c>
      <c r="D615" t="s">
        <v>169</v>
      </c>
      <c r="E615" t="s">
        <v>1</v>
      </c>
      <c r="F615" s="1"/>
      <c r="G615" t="s">
        <v>844</v>
      </c>
      <c r="H615" s="1">
        <v>38169</v>
      </c>
      <c r="I615" s="2">
        <v>0</v>
      </c>
      <c r="J615" s="2">
        <v>-10218.950000000001</v>
      </c>
      <c r="K615" t="s">
        <v>1</v>
      </c>
      <c r="L615" t="s">
        <v>171</v>
      </c>
      <c r="M615" t="s">
        <v>360</v>
      </c>
      <c r="N615" s="2">
        <v>-10218.950000000001</v>
      </c>
      <c r="O615" t="str">
        <f>IFERROR(VLOOKUP($A615,Accounts!$A:$G,3,FALSE),"")</f>
        <v/>
      </c>
    </row>
    <row r="616" spans="1:15" outlineLevel="2" x14ac:dyDescent="0.2">
      <c r="A616" t="str">
        <f t="shared" si="9"/>
        <v>240001088499-41729.91</v>
      </c>
      <c r="B616" t="s">
        <v>0</v>
      </c>
      <c r="C616" t="s">
        <v>8</v>
      </c>
      <c r="D616" t="s">
        <v>169</v>
      </c>
      <c r="E616" t="s">
        <v>1</v>
      </c>
      <c r="F616" s="1"/>
      <c r="G616" t="s">
        <v>845</v>
      </c>
      <c r="H616" s="1">
        <v>38169</v>
      </c>
      <c r="I616" s="2">
        <v>0</v>
      </c>
      <c r="J616" s="2">
        <v>-41729.910000000003</v>
      </c>
      <c r="K616" t="s">
        <v>1</v>
      </c>
      <c r="L616" t="s">
        <v>171</v>
      </c>
      <c r="M616" t="s">
        <v>360</v>
      </c>
      <c r="N616" s="2">
        <v>-41729.910000000003</v>
      </c>
      <c r="O616" t="str">
        <f>IFERROR(VLOOKUP($A616,Accounts!$A:$G,3,FALSE),"")</f>
        <v/>
      </c>
    </row>
    <row r="617" spans="1:15" outlineLevel="2" x14ac:dyDescent="0.2">
      <c r="A617" t="str">
        <f t="shared" si="9"/>
        <v>240001116399-10365.88</v>
      </c>
      <c r="B617" t="s">
        <v>0</v>
      </c>
      <c r="C617" t="s">
        <v>8</v>
      </c>
      <c r="D617" t="s">
        <v>169</v>
      </c>
      <c r="E617" t="s">
        <v>1</v>
      </c>
      <c r="F617" s="1"/>
      <c r="G617" t="s">
        <v>846</v>
      </c>
      <c r="H617" s="1">
        <v>38191</v>
      </c>
      <c r="I617" s="2">
        <v>0</v>
      </c>
      <c r="J617" s="2">
        <v>-10365.879999999999</v>
      </c>
      <c r="K617" t="s">
        <v>1</v>
      </c>
      <c r="L617" t="s">
        <v>171</v>
      </c>
      <c r="M617" t="s">
        <v>360</v>
      </c>
      <c r="N617" s="2">
        <v>-10365.879999999999</v>
      </c>
      <c r="O617" t="str">
        <f>IFERROR(VLOOKUP($A617,Accounts!$A:$G,3,FALSE),"")</f>
        <v/>
      </c>
    </row>
    <row r="618" spans="1:15" outlineLevel="2" x14ac:dyDescent="0.2">
      <c r="A618" t="str">
        <f t="shared" si="9"/>
        <v>240001110999-9713.6</v>
      </c>
      <c r="B618" t="s">
        <v>0</v>
      </c>
      <c r="C618" t="s">
        <v>8</v>
      </c>
      <c r="D618" t="s">
        <v>169</v>
      </c>
      <c r="E618" t="s">
        <v>1</v>
      </c>
      <c r="F618" s="1"/>
      <c r="G618" t="s">
        <v>847</v>
      </c>
      <c r="H618" s="1">
        <v>38188</v>
      </c>
      <c r="I618" s="2">
        <v>0</v>
      </c>
      <c r="J618" s="2">
        <v>-9713.6</v>
      </c>
      <c r="K618" t="s">
        <v>1</v>
      </c>
      <c r="L618" t="s">
        <v>171</v>
      </c>
      <c r="M618" t="s">
        <v>360</v>
      </c>
      <c r="N618" s="2">
        <v>-9713.6</v>
      </c>
      <c r="O618" t="str">
        <f>IFERROR(VLOOKUP($A618,Accounts!$A:$G,3,FALSE),"")</f>
        <v/>
      </c>
    </row>
    <row r="619" spans="1:15" outlineLevel="2" x14ac:dyDescent="0.2">
      <c r="A619" t="str">
        <f t="shared" si="9"/>
        <v>240001108399-10070.19</v>
      </c>
      <c r="B619" t="s">
        <v>0</v>
      </c>
      <c r="C619" t="s">
        <v>8</v>
      </c>
      <c r="D619" t="s">
        <v>169</v>
      </c>
      <c r="E619" t="s">
        <v>1</v>
      </c>
      <c r="F619" s="1"/>
      <c r="G619" t="s">
        <v>848</v>
      </c>
      <c r="H619" s="1">
        <v>38188</v>
      </c>
      <c r="I619" s="2">
        <v>0</v>
      </c>
      <c r="J619" s="2">
        <v>-10070.19</v>
      </c>
      <c r="K619" t="s">
        <v>1</v>
      </c>
      <c r="L619" t="s">
        <v>171</v>
      </c>
      <c r="M619" t="s">
        <v>360</v>
      </c>
      <c r="N619" s="2">
        <v>-10070.19</v>
      </c>
      <c r="O619" t="str">
        <f>IFERROR(VLOOKUP($A619,Accounts!$A:$G,3,FALSE),"")</f>
        <v/>
      </c>
    </row>
    <row r="620" spans="1:15" outlineLevel="2" x14ac:dyDescent="0.2">
      <c r="A620" t="str">
        <f t="shared" si="9"/>
        <v>240001100499-50576.1</v>
      </c>
      <c r="B620" t="s">
        <v>0</v>
      </c>
      <c r="C620" t="s">
        <v>8</v>
      </c>
      <c r="D620" t="s">
        <v>169</v>
      </c>
      <c r="E620" t="s">
        <v>1</v>
      </c>
      <c r="F620" s="1"/>
      <c r="G620" t="s">
        <v>849</v>
      </c>
      <c r="H620" s="1">
        <v>38187</v>
      </c>
      <c r="I620" s="2">
        <v>0</v>
      </c>
      <c r="J620" s="2">
        <v>-50576.1</v>
      </c>
      <c r="K620" t="s">
        <v>1</v>
      </c>
      <c r="L620" t="s">
        <v>171</v>
      </c>
      <c r="M620" t="s">
        <v>360</v>
      </c>
      <c r="N620" s="2">
        <v>-50576.1</v>
      </c>
      <c r="O620" t="str">
        <f>IFERROR(VLOOKUP($A620,Accounts!$A:$G,3,FALSE),"")</f>
        <v/>
      </c>
    </row>
    <row r="621" spans="1:15" outlineLevel="2" x14ac:dyDescent="0.2">
      <c r="A621" t="str">
        <f t="shared" si="9"/>
        <v>240001100399-9630.26</v>
      </c>
      <c r="B621" t="s">
        <v>0</v>
      </c>
      <c r="C621" t="s">
        <v>8</v>
      </c>
      <c r="D621" t="s">
        <v>169</v>
      </c>
      <c r="E621" t="s">
        <v>1</v>
      </c>
      <c r="F621" s="1"/>
      <c r="G621" t="s">
        <v>850</v>
      </c>
      <c r="H621" s="1">
        <v>38187</v>
      </c>
      <c r="I621" s="2">
        <v>0</v>
      </c>
      <c r="J621" s="2">
        <v>-9630.26</v>
      </c>
      <c r="K621" t="s">
        <v>1</v>
      </c>
      <c r="L621" t="s">
        <v>171</v>
      </c>
      <c r="M621" t="s">
        <v>360</v>
      </c>
      <c r="N621" s="2">
        <v>-9630.26</v>
      </c>
      <c r="O621" t="str">
        <f>IFERROR(VLOOKUP($A621,Accounts!$A:$G,3,FALSE),"")</f>
        <v/>
      </c>
    </row>
    <row r="622" spans="1:15" outlineLevel="2" x14ac:dyDescent="0.2">
      <c r="A622" t="str">
        <f t="shared" si="9"/>
        <v>240001100299-20991.38</v>
      </c>
      <c r="B622" t="s">
        <v>0</v>
      </c>
      <c r="C622" t="s">
        <v>8</v>
      </c>
      <c r="D622" t="s">
        <v>169</v>
      </c>
      <c r="E622" t="s">
        <v>1</v>
      </c>
      <c r="F622" s="1"/>
      <c r="G622" t="s">
        <v>851</v>
      </c>
      <c r="H622" s="1">
        <v>38187</v>
      </c>
      <c r="I622" s="2">
        <v>0</v>
      </c>
      <c r="J622" s="2">
        <v>-20991.38</v>
      </c>
      <c r="K622" t="s">
        <v>1</v>
      </c>
      <c r="L622" t="s">
        <v>171</v>
      </c>
      <c r="M622" t="s">
        <v>360</v>
      </c>
      <c r="N622" s="2">
        <v>-20991.38</v>
      </c>
      <c r="O622" t="str">
        <f>IFERROR(VLOOKUP($A622,Accounts!$A:$G,3,FALSE),"")</f>
        <v/>
      </c>
    </row>
    <row r="623" spans="1:15" outlineLevel="2" x14ac:dyDescent="0.2">
      <c r="A623" t="str">
        <f t="shared" si="9"/>
        <v>240001095899-65307.59</v>
      </c>
      <c r="B623" t="s">
        <v>0</v>
      </c>
      <c r="C623" t="s">
        <v>8</v>
      </c>
      <c r="D623" t="s">
        <v>169</v>
      </c>
      <c r="E623" t="s">
        <v>1</v>
      </c>
      <c r="F623" s="1"/>
      <c r="G623" t="s">
        <v>852</v>
      </c>
      <c r="H623" s="1">
        <v>38180</v>
      </c>
      <c r="I623" s="2">
        <v>0</v>
      </c>
      <c r="J623" s="2">
        <v>-65307.59</v>
      </c>
      <c r="K623" t="s">
        <v>1</v>
      </c>
      <c r="L623" t="s">
        <v>171</v>
      </c>
      <c r="M623" t="s">
        <v>360</v>
      </c>
      <c r="N623" s="2">
        <v>-65307.59</v>
      </c>
      <c r="O623" t="str">
        <f>IFERROR(VLOOKUP($A623,Accounts!$A:$G,3,FALSE),"")</f>
        <v/>
      </c>
    </row>
    <row r="624" spans="1:15" outlineLevel="2" x14ac:dyDescent="0.2">
      <c r="A624" t="str">
        <f t="shared" si="9"/>
        <v>240001095999-87142.74</v>
      </c>
      <c r="B624" t="s">
        <v>0</v>
      </c>
      <c r="C624" t="s">
        <v>8</v>
      </c>
      <c r="D624" t="s">
        <v>169</v>
      </c>
      <c r="E624" t="s">
        <v>1</v>
      </c>
      <c r="F624" s="1"/>
      <c r="G624" t="s">
        <v>853</v>
      </c>
      <c r="H624" s="1">
        <v>38180</v>
      </c>
      <c r="I624" s="2">
        <v>0</v>
      </c>
      <c r="J624" s="2">
        <v>-87142.74</v>
      </c>
      <c r="K624" t="s">
        <v>1</v>
      </c>
      <c r="L624" t="s">
        <v>171</v>
      </c>
      <c r="M624" t="s">
        <v>360</v>
      </c>
      <c r="N624" s="2">
        <v>-87142.74</v>
      </c>
      <c r="O624" t="str">
        <f>IFERROR(VLOOKUP($A624,Accounts!$A:$G,3,FALSE),"")</f>
        <v/>
      </c>
    </row>
    <row r="625" spans="1:15" outlineLevel="2" x14ac:dyDescent="0.2">
      <c r="A625" t="str">
        <f t="shared" si="9"/>
        <v>240001096099-20508.18</v>
      </c>
      <c r="B625" t="s">
        <v>0</v>
      </c>
      <c r="C625" t="s">
        <v>8</v>
      </c>
      <c r="D625" t="s">
        <v>169</v>
      </c>
      <c r="E625" t="s">
        <v>1</v>
      </c>
      <c r="F625" s="1"/>
      <c r="G625" t="s">
        <v>854</v>
      </c>
      <c r="H625" s="1">
        <v>38180</v>
      </c>
      <c r="I625" s="2">
        <v>0</v>
      </c>
      <c r="J625" s="2">
        <v>-20508.18</v>
      </c>
      <c r="K625" t="s">
        <v>1</v>
      </c>
      <c r="L625" t="s">
        <v>171</v>
      </c>
      <c r="M625" t="s">
        <v>360</v>
      </c>
      <c r="N625" s="2">
        <v>-20508.18</v>
      </c>
      <c r="O625" t="str">
        <f>IFERROR(VLOOKUP($A625,Accounts!$A:$G,3,FALSE),"")</f>
        <v/>
      </c>
    </row>
    <row r="626" spans="1:15" outlineLevel="2" x14ac:dyDescent="0.2">
      <c r="A626" t="str">
        <f t="shared" si="9"/>
        <v>240001096199-9849.02</v>
      </c>
      <c r="B626" t="s">
        <v>0</v>
      </c>
      <c r="C626" t="s">
        <v>8</v>
      </c>
      <c r="D626" t="s">
        <v>169</v>
      </c>
      <c r="E626" t="s">
        <v>1</v>
      </c>
      <c r="F626" s="1"/>
      <c r="G626" t="s">
        <v>855</v>
      </c>
      <c r="H626" s="1">
        <v>38180</v>
      </c>
      <c r="I626" s="2">
        <v>0</v>
      </c>
      <c r="J626" s="2">
        <v>-9849.02</v>
      </c>
      <c r="K626" t="s">
        <v>1</v>
      </c>
      <c r="L626" t="s">
        <v>171</v>
      </c>
      <c r="M626" t="s">
        <v>360</v>
      </c>
      <c r="N626" s="2">
        <v>-9849.02</v>
      </c>
      <c r="O626" t="str">
        <f>IFERROR(VLOOKUP($A626,Accounts!$A:$G,3,FALSE),"")</f>
        <v/>
      </c>
    </row>
    <row r="627" spans="1:15" outlineLevel="2" x14ac:dyDescent="0.2">
      <c r="A627" t="str">
        <f t="shared" si="9"/>
        <v>240001029899-10530.98</v>
      </c>
      <c r="B627" t="s">
        <v>0</v>
      </c>
      <c r="C627" t="s">
        <v>8</v>
      </c>
      <c r="D627" t="s">
        <v>169</v>
      </c>
      <c r="E627" t="s">
        <v>1</v>
      </c>
      <c r="F627" s="1"/>
      <c r="G627" t="s">
        <v>856</v>
      </c>
      <c r="H627" s="1">
        <v>38112</v>
      </c>
      <c r="I627" s="2">
        <v>0</v>
      </c>
      <c r="J627" s="2">
        <v>-10530.98</v>
      </c>
      <c r="K627" t="s">
        <v>1</v>
      </c>
      <c r="L627" t="s">
        <v>171</v>
      </c>
      <c r="M627" t="s">
        <v>360</v>
      </c>
      <c r="N627" s="2">
        <v>-10530.98</v>
      </c>
      <c r="O627" t="str">
        <f>IFERROR(VLOOKUP($A627,Accounts!$A:$G,3,FALSE),"")</f>
        <v/>
      </c>
    </row>
    <row r="628" spans="1:15" outlineLevel="2" x14ac:dyDescent="0.2">
      <c r="A628" t="str">
        <f t="shared" si="9"/>
        <v>240001029799-10312.2</v>
      </c>
      <c r="B628" t="s">
        <v>0</v>
      </c>
      <c r="C628" t="s">
        <v>8</v>
      </c>
      <c r="D628" t="s">
        <v>169</v>
      </c>
      <c r="E628" t="s">
        <v>1</v>
      </c>
      <c r="F628" s="1"/>
      <c r="G628" t="s">
        <v>857</v>
      </c>
      <c r="H628" s="1">
        <v>38112</v>
      </c>
      <c r="I628" s="2">
        <v>0</v>
      </c>
      <c r="J628" s="2">
        <v>-10312.200000000001</v>
      </c>
      <c r="K628" t="s">
        <v>1</v>
      </c>
      <c r="L628" t="s">
        <v>171</v>
      </c>
      <c r="M628" t="s">
        <v>360</v>
      </c>
      <c r="N628" s="2">
        <v>-10312.200000000001</v>
      </c>
      <c r="O628" t="str">
        <f>IFERROR(VLOOKUP($A628,Accounts!$A:$G,3,FALSE),"")</f>
        <v/>
      </c>
    </row>
    <row r="629" spans="1:15" outlineLevel="2" x14ac:dyDescent="0.2">
      <c r="A629" t="str">
        <f t="shared" si="9"/>
        <v>240001029699-55790.86</v>
      </c>
      <c r="B629" t="s">
        <v>0</v>
      </c>
      <c r="C629" t="s">
        <v>8</v>
      </c>
      <c r="D629" t="s">
        <v>169</v>
      </c>
      <c r="E629" t="s">
        <v>1</v>
      </c>
      <c r="F629" s="1"/>
      <c r="G629" t="s">
        <v>858</v>
      </c>
      <c r="H629" s="1">
        <v>38112</v>
      </c>
      <c r="I629" s="2">
        <v>0</v>
      </c>
      <c r="J629" s="2">
        <v>-55790.86</v>
      </c>
      <c r="K629" t="s">
        <v>1</v>
      </c>
      <c r="L629" t="s">
        <v>171</v>
      </c>
      <c r="M629" t="s">
        <v>360</v>
      </c>
      <c r="N629" s="2">
        <v>-55790.86</v>
      </c>
      <c r="O629" t="str">
        <f>IFERROR(VLOOKUP($A629,Accounts!$A:$G,3,FALSE),"")</f>
        <v/>
      </c>
    </row>
    <row r="630" spans="1:15" outlineLevel="2" x14ac:dyDescent="0.2">
      <c r="A630" t="str">
        <f t="shared" si="9"/>
        <v>240001029599-72600.5</v>
      </c>
      <c r="B630" t="s">
        <v>0</v>
      </c>
      <c r="C630" t="s">
        <v>8</v>
      </c>
      <c r="D630" t="s">
        <v>169</v>
      </c>
      <c r="E630" t="s">
        <v>1</v>
      </c>
      <c r="F630" s="1"/>
      <c r="G630" t="s">
        <v>859</v>
      </c>
      <c r="H630" s="1">
        <v>38112</v>
      </c>
      <c r="I630" s="2">
        <v>0</v>
      </c>
      <c r="J630" s="2">
        <v>-72600.5</v>
      </c>
      <c r="K630" t="s">
        <v>1</v>
      </c>
      <c r="L630" t="s">
        <v>171</v>
      </c>
      <c r="M630" t="s">
        <v>360</v>
      </c>
      <c r="N630" s="2">
        <v>-72600.5</v>
      </c>
      <c r="O630" t="str">
        <f>IFERROR(VLOOKUP($A630,Accounts!$A:$G,3,FALSE),"")</f>
        <v/>
      </c>
    </row>
    <row r="631" spans="1:15" outlineLevel="2" x14ac:dyDescent="0.2">
      <c r="A631" t="str">
        <f t="shared" si="9"/>
        <v>240001024099-10769.38</v>
      </c>
      <c r="B631" t="s">
        <v>0</v>
      </c>
      <c r="C631" t="s">
        <v>8</v>
      </c>
      <c r="D631" t="s">
        <v>169</v>
      </c>
      <c r="E631" t="s">
        <v>1</v>
      </c>
      <c r="F631" s="1"/>
      <c r="G631" t="s">
        <v>860</v>
      </c>
      <c r="H631" s="1">
        <v>38108</v>
      </c>
      <c r="I631" s="2">
        <v>0</v>
      </c>
      <c r="J631" s="2">
        <v>-10769.38</v>
      </c>
      <c r="K631" t="s">
        <v>1</v>
      </c>
      <c r="L631" t="s">
        <v>171</v>
      </c>
      <c r="M631" t="s">
        <v>360</v>
      </c>
      <c r="N631" s="2">
        <v>-10769.38</v>
      </c>
      <c r="O631" t="str">
        <f>IFERROR(VLOOKUP($A631,Accounts!$A:$G,3,FALSE),"")</f>
        <v/>
      </c>
    </row>
    <row r="632" spans="1:15" outlineLevel="2" x14ac:dyDescent="0.2">
      <c r="A632" t="str">
        <f t="shared" si="9"/>
        <v>240001023999-10924.53</v>
      </c>
      <c r="B632" t="s">
        <v>0</v>
      </c>
      <c r="C632" t="s">
        <v>8</v>
      </c>
      <c r="D632" t="s">
        <v>169</v>
      </c>
      <c r="E632" t="s">
        <v>1</v>
      </c>
      <c r="F632" s="1"/>
      <c r="G632" t="s">
        <v>861</v>
      </c>
      <c r="H632" s="1">
        <v>38108</v>
      </c>
      <c r="I632" s="2">
        <v>0</v>
      </c>
      <c r="J632" s="2">
        <v>-10924.53</v>
      </c>
      <c r="K632" t="s">
        <v>1</v>
      </c>
      <c r="L632" t="s">
        <v>171</v>
      </c>
      <c r="M632" t="s">
        <v>360</v>
      </c>
      <c r="N632" s="2">
        <v>-10924.53</v>
      </c>
      <c r="O632" t="str">
        <f>IFERROR(VLOOKUP($A632,Accounts!$A:$G,3,FALSE),"")</f>
        <v/>
      </c>
    </row>
    <row r="633" spans="1:15" outlineLevel="2" x14ac:dyDescent="0.2">
      <c r="A633" t="str">
        <f t="shared" si="9"/>
        <v>240001023899-22975.78</v>
      </c>
      <c r="B633" t="s">
        <v>0</v>
      </c>
      <c r="C633" t="s">
        <v>8</v>
      </c>
      <c r="D633" t="s">
        <v>169</v>
      </c>
      <c r="E633" t="s">
        <v>1</v>
      </c>
      <c r="F633" s="1"/>
      <c r="G633" t="s">
        <v>862</v>
      </c>
      <c r="H633" s="1">
        <v>38108</v>
      </c>
      <c r="I633" s="2">
        <v>0</v>
      </c>
      <c r="J633" s="2">
        <v>-22975.78</v>
      </c>
      <c r="K633" t="s">
        <v>1</v>
      </c>
      <c r="L633" t="s">
        <v>171</v>
      </c>
      <c r="M633" t="s">
        <v>360</v>
      </c>
      <c r="N633" s="2">
        <v>-22975.78</v>
      </c>
      <c r="O633" t="str">
        <f>IFERROR(VLOOKUP($A633,Accounts!$A:$G,3,FALSE),"")</f>
        <v/>
      </c>
    </row>
    <row r="634" spans="1:15" outlineLevel="2" x14ac:dyDescent="0.2">
      <c r="A634" t="str">
        <f t="shared" si="9"/>
        <v>240001022499-290.17</v>
      </c>
      <c r="B634" t="s">
        <v>0</v>
      </c>
      <c r="C634" t="s">
        <v>8</v>
      </c>
      <c r="D634" t="s">
        <v>169</v>
      </c>
      <c r="E634" t="s">
        <v>1</v>
      </c>
      <c r="F634" s="1"/>
      <c r="G634" t="s">
        <v>863</v>
      </c>
      <c r="H634" s="1">
        <v>38108</v>
      </c>
      <c r="I634" s="2">
        <v>0</v>
      </c>
      <c r="J634" s="2">
        <v>-290.17</v>
      </c>
      <c r="K634" t="s">
        <v>1</v>
      </c>
      <c r="L634" t="s">
        <v>171</v>
      </c>
      <c r="M634" t="s">
        <v>360</v>
      </c>
      <c r="N634" s="2">
        <v>-290.17</v>
      </c>
      <c r="O634" t="str">
        <f>IFERROR(VLOOKUP($A634,Accounts!$A:$G,3,FALSE),"")</f>
        <v/>
      </c>
    </row>
    <row r="635" spans="1:15" outlineLevel="2" x14ac:dyDescent="0.2">
      <c r="A635" t="str">
        <f t="shared" si="9"/>
        <v>240001021399-10595.26</v>
      </c>
      <c r="B635" t="s">
        <v>0</v>
      </c>
      <c r="C635" t="s">
        <v>8</v>
      </c>
      <c r="D635" t="s">
        <v>169</v>
      </c>
      <c r="E635" t="s">
        <v>1</v>
      </c>
      <c r="F635" s="1"/>
      <c r="G635" t="s">
        <v>864</v>
      </c>
      <c r="H635" s="1">
        <v>38108</v>
      </c>
      <c r="I635" s="2">
        <v>0</v>
      </c>
      <c r="J635" s="2">
        <v>-10595.26</v>
      </c>
      <c r="K635" t="s">
        <v>1</v>
      </c>
      <c r="L635" t="s">
        <v>171</v>
      </c>
      <c r="M635" t="s">
        <v>360</v>
      </c>
      <c r="N635" s="2">
        <v>-10595.26</v>
      </c>
      <c r="O635" t="str">
        <f>IFERROR(VLOOKUP($A635,Accounts!$A:$G,3,FALSE),"")</f>
        <v/>
      </c>
    </row>
    <row r="636" spans="1:15" outlineLevel="2" x14ac:dyDescent="0.2">
      <c r="A636" t="str">
        <f t="shared" si="9"/>
        <v>240001021299-12053.6</v>
      </c>
      <c r="B636" t="s">
        <v>0</v>
      </c>
      <c r="C636" t="s">
        <v>8</v>
      </c>
      <c r="D636" t="s">
        <v>169</v>
      </c>
      <c r="E636" t="s">
        <v>1</v>
      </c>
      <c r="F636" s="1"/>
      <c r="G636" t="s">
        <v>865</v>
      </c>
      <c r="H636" s="1">
        <v>38108</v>
      </c>
      <c r="I636" s="2">
        <v>0</v>
      </c>
      <c r="J636" s="2">
        <v>-12053.6</v>
      </c>
      <c r="K636" t="s">
        <v>1</v>
      </c>
      <c r="L636" t="s">
        <v>171</v>
      </c>
      <c r="M636" t="s">
        <v>360</v>
      </c>
      <c r="N636" s="2">
        <v>-12053.6</v>
      </c>
      <c r="O636" t="str">
        <f>IFERROR(VLOOKUP($A636,Accounts!$A:$G,3,FALSE),"")</f>
        <v/>
      </c>
    </row>
    <row r="637" spans="1:15" outlineLevel="2" x14ac:dyDescent="0.2">
      <c r="A637" t="str">
        <f t="shared" si="9"/>
        <v>240001021199-31016.24</v>
      </c>
      <c r="B637" t="s">
        <v>0</v>
      </c>
      <c r="C637" t="s">
        <v>8</v>
      </c>
      <c r="D637" t="s">
        <v>169</v>
      </c>
      <c r="E637" t="s">
        <v>1</v>
      </c>
      <c r="F637" s="1"/>
      <c r="G637" t="s">
        <v>866</v>
      </c>
      <c r="H637" s="1">
        <v>38108</v>
      </c>
      <c r="I637" s="2">
        <v>0</v>
      </c>
      <c r="J637" s="2">
        <v>-31016.240000000002</v>
      </c>
      <c r="K637" t="s">
        <v>1</v>
      </c>
      <c r="L637" t="s">
        <v>171</v>
      </c>
      <c r="M637" t="s">
        <v>360</v>
      </c>
      <c r="N637" s="2">
        <v>-31016.240000000002</v>
      </c>
      <c r="O637" t="str">
        <f>IFERROR(VLOOKUP($A637,Accounts!$A:$G,3,FALSE),"")</f>
        <v/>
      </c>
    </row>
    <row r="638" spans="1:15" outlineLevel="2" x14ac:dyDescent="0.2">
      <c r="A638" t="str">
        <f t="shared" si="9"/>
        <v>240001017299-10435.16</v>
      </c>
      <c r="B638" t="s">
        <v>0</v>
      </c>
      <c r="C638" t="s">
        <v>8</v>
      </c>
      <c r="D638" t="s">
        <v>169</v>
      </c>
      <c r="E638" t="s">
        <v>1</v>
      </c>
      <c r="F638" s="1"/>
      <c r="G638" t="s">
        <v>867</v>
      </c>
      <c r="H638" s="1">
        <v>38108</v>
      </c>
      <c r="I638" s="2">
        <v>0</v>
      </c>
      <c r="J638" s="2">
        <v>-10435.16</v>
      </c>
      <c r="K638" t="s">
        <v>1</v>
      </c>
      <c r="L638" t="s">
        <v>171</v>
      </c>
      <c r="M638" t="s">
        <v>360</v>
      </c>
      <c r="N638" s="2">
        <v>-10435.16</v>
      </c>
      <c r="O638" t="str">
        <f>IFERROR(VLOOKUP($A638,Accounts!$A:$G,3,FALSE),"")</f>
        <v/>
      </c>
    </row>
    <row r="639" spans="1:15" outlineLevel="2" x14ac:dyDescent="0.2">
      <c r="A639" t="str">
        <f t="shared" si="9"/>
        <v>240001017199-10829.62</v>
      </c>
      <c r="B639" t="s">
        <v>0</v>
      </c>
      <c r="C639" t="s">
        <v>8</v>
      </c>
      <c r="D639" t="s">
        <v>169</v>
      </c>
      <c r="E639" t="s">
        <v>1</v>
      </c>
      <c r="F639" s="1"/>
      <c r="G639" t="s">
        <v>868</v>
      </c>
      <c r="H639" s="1">
        <v>38108</v>
      </c>
      <c r="I639" s="2">
        <v>0</v>
      </c>
      <c r="J639" s="2">
        <v>-10829.62</v>
      </c>
      <c r="K639" t="s">
        <v>1</v>
      </c>
      <c r="L639" t="s">
        <v>171</v>
      </c>
      <c r="M639" t="s">
        <v>360</v>
      </c>
      <c r="N639" s="2">
        <v>-10829.62</v>
      </c>
      <c r="O639" t="str">
        <f>IFERROR(VLOOKUP($A639,Accounts!$A:$G,3,FALSE),"")</f>
        <v/>
      </c>
    </row>
    <row r="640" spans="1:15" outlineLevel="2" x14ac:dyDescent="0.2">
      <c r="A640" t="str">
        <f t="shared" si="9"/>
        <v>240001017099-40345.99</v>
      </c>
      <c r="B640" t="s">
        <v>0</v>
      </c>
      <c r="C640" t="s">
        <v>8</v>
      </c>
      <c r="D640" t="s">
        <v>169</v>
      </c>
      <c r="E640" t="s">
        <v>1</v>
      </c>
      <c r="F640" s="1"/>
      <c r="G640" t="s">
        <v>869</v>
      </c>
      <c r="H640" s="1">
        <v>38108</v>
      </c>
      <c r="I640" s="2">
        <v>0</v>
      </c>
      <c r="J640" s="2">
        <v>-40345.99</v>
      </c>
      <c r="K640" t="s">
        <v>1</v>
      </c>
      <c r="L640" t="s">
        <v>171</v>
      </c>
      <c r="M640" t="s">
        <v>360</v>
      </c>
      <c r="N640" s="2">
        <v>-40345.99</v>
      </c>
      <c r="O640" t="str">
        <f>IFERROR(VLOOKUP($A640,Accounts!$A:$G,3,FALSE),"")</f>
        <v/>
      </c>
    </row>
    <row r="641" spans="1:15" outlineLevel="2" x14ac:dyDescent="0.2">
      <c r="A641" t="str">
        <f t="shared" si="9"/>
        <v>240001013799-20404.18</v>
      </c>
      <c r="B641" t="s">
        <v>0</v>
      </c>
      <c r="C641" t="s">
        <v>8</v>
      </c>
      <c r="D641" t="s">
        <v>169</v>
      </c>
      <c r="E641" t="s">
        <v>1</v>
      </c>
      <c r="F641" s="1"/>
      <c r="G641" t="s">
        <v>870</v>
      </c>
      <c r="H641" s="1">
        <v>38098</v>
      </c>
      <c r="I641" s="2">
        <v>0</v>
      </c>
      <c r="J641" s="2">
        <v>-20404.18</v>
      </c>
      <c r="K641" t="s">
        <v>1</v>
      </c>
      <c r="L641" t="s">
        <v>171</v>
      </c>
      <c r="M641" t="s">
        <v>360</v>
      </c>
      <c r="N641" s="2">
        <v>-20404.18</v>
      </c>
      <c r="O641" t="str">
        <f>IFERROR(VLOOKUP($A641,Accounts!$A:$G,3,FALSE),"")</f>
        <v/>
      </c>
    </row>
    <row r="642" spans="1:15" outlineLevel="2" x14ac:dyDescent="0.2">
      <c r="A642" t="str">
        <f t="shared" si="9"/>
        <v>240001013699-21232.6</v>
      </c>
      <c r="B642" t="s">
        <v>0</v>
      </c>
      <c r="C642" t="s">
        <v>8</v>
      </c>
      <c r="D642" t="s">
        <v>169</v>
      </c>
      <c r="E642" t="s">
        <v>1</v>
      </c>
      <c r="F642" s="1"/>
      <c r="G642" t="s">
        <v>871</v>
      </c>
      <c r="H642" s="1">
        <v>38098</v>
      </c>
      <c r="I642" s="2">
        <v>0</v>
      </c>
      <c r="J642" s="2">
        <v>-21232.6</v>
      </c>
      <c r="K642" t="s">
        <v>1</v>
      </c>
      <c r="L642" t="s">
        <v>171</v>
      </c>
      <c r="M642" t="s">
        <v>360</v>
      </c>
      <c r="N642" s="2">
        <v>-21232.6</v>
      </c>
      <c r="O642" t="str">
        <f>IFERROR(VLOOKUP($A642,Accounts!$A:$G,3,FALSE),"")</f>
        <v/>
      </c>
    </row>
    <row r="643" spans="1:15" outlineLevel="2" x14ac:dyDescent="0.2">
      <c r="A643" t="str">
        <f t="shared" si="9"/>
        <v>240001013599-66477.63</v>
      </c>
      <c r="B643" t="s">
        <v>0</v>
      </c>
      <c r="C643" t="s">
        <v>8</v>
      </c>
      <c r="D643" t="s">
        <v>169</v>
      </c>
      <c r="E643" t="s">
        <v>1</v>
      </c>
      <c r="F643" s="1"/>
      <c r="G643" t="s">
        <v>872</v>
      </c>
      <c r="H643" s="1">
        <v>38098</v>
      </c>
      <c r="I643" s="2">
        <v>0</v>
      </c>
      <c r="J643" s="2">
        <v>-66477.63</v>
      </c>
      <c r="K643" t="s">
        <v>1</v>
      </c>
      <c r="L643" t="s">
        <v>171</v>
      </c>
      <c r="M643" t="s">
        <v>360</v>
      </c>
      <c r="N643" s="2">
        <v>-66477.63</v>
      </c>
      <c r="O643" t="str">
        <f>IFERROR(VLOOKUP($A643,Accounts!$A:$G,3,FALSE),"")</f>
        <v/>
      </c>
    </row>
    <row r="644" spans="1:15" outlineLevel="2" x14ac:dyDescent="0.2">
      <c r="A644" t="str">
        <f t="shared" si="9"/>
        <v>240001011999-9535.65</v>
      </c>
      <c r="B644" t="s">
        <v>0</v>
      </c>
      <c r="C644" t="s">
        <v>8</v>
      </c>
      <c r="D644" t="s">
        <v>169</v>
      </c>
      <c r="E644" t="s">
        <v>1</v>
      </c>
      <c r="F644" s="1"/>
      <c r="G644" t="s">
        <v>873</v>
      </c>
      <c r="H644" s="1">
        <v>38093</v>
      </c>
      <c r="I644" s="2">
        <v>0</v>
      </c>
      <c r="J644" s="2">
        <v>-9535.65</v>
      </c>
      <c r="K644" t="s">
        <v>1</v>
      </c>
      <c r="L644" t="s">
        <v>171</v>
      </c>
      <c r="M644" t="s">
        <v>360</v>
      </c>
      <c r="N644" s="2">
        <v>-9535.65</v>
      </c>
      <c r="O644" t="str">
        <f>IFERROR(VLOOKUP($A644,Accounts!$A:$G,3,FALSE),"")</f>
        <v/>
      </c>
    </row>
    <row r="645" spans="1:15" outlineLevel="2" x14ac:dyDescent="0.2">
      <c r="A645" t="str">
        <f t="shared" si="9"/>
        <v>240001011899-11524.99</v>
      </c>
      <c r="B645" t="s">
        <v>0</v>
      </c>
      <c r="C645" t="s">
        <v>8</v>
      </c>
      <c r="D645" t="s">
        <v>169</v>
      </c>
      <c r="E645" t="s">
        <v>1</v>
      </c>
      <c r="F645" s="1"/>
      <c r="G645" t="s">
        <v>874</v>
      </c>
      <c r="H645" s="1">
        <v>38093</v>
      </c>
      <c r="I645" s="2">
        <v>0</v>
      </c>
      <c r="J645" s="2">
        <v>-11524.99</v>
      </c>
      <c r="K645" t="s">
        <v>1</v>
      </c>
      <c r="L645" t="s">
        <v>171</v>
      </c>
      <c r="M645" t="s">
        <v>360</v>
      </c>
      <c r="N645" s="2">
        <v>-11524.99</v>
      </c>
      <c r="O645" t="str">
        <f>IFERROR(VLOOKUP($A645,Accounts!$A:$G,3,FALSE),"")</f>
        <v/>
      </c>
    </row>
    <row r="646" spans="1:15" outlineLevel="2" x14ac:dyDescent="0.2">
      <c r="A646" t="str">
        <f t="shared" si="9"/>
        <v>240001011799-20985.86</v>
      </c>
      <c r="B646" t="s">
        <v>0</v>
      </c>
      <c r="C646" t="s">
        <v>8</v>
      </c>
      <c r="D646" t="s">
        <v>169</v>
      </c>
      <c r="E646" t="s">
        <v>1</v>
      </c>
      <c r="F646" s="1"/>
      <c r="G646" t="s">
        <v>875</v>
      </c>
      <c r="H646" s="1">
        <v>38093</v>
      </c>
      <c r="I646" s="2">
        <v>0</v>
      </c>
      <c r="J646" s="2">
        <v>-20985.86</v>
      </c>
      <c r="K646" t="s">
        <v>1</v>
      </c>
      <c r="L646" t="s">
        <v>171</v>
      </c>
      <c r="M646" t="s">
        <v>360</v>
      </c>
      <c r="N646" s="2">
        <v>-20985.86</v>
      </c>
      <c r="O646" t="str">
        <f>IFERROR(VLOOKUP($A646,Accounts!$A:$G,3,FALSE),"")</f>
        <v/>
      </c>
    </row>
    <row r="647" spans="1:15" outlineLevel="2" x14ac:dyDescent="0.2">
      <c r="A647" t="str">
        <f t="shared" si="9"/>
        <v>240001009999-10955.06</v>
      </c>
      <c r="B647" t="s">
        <v>0</v>
      </c>
      <c r="C647" t="s">
        <v>8</v>
      </c>
      <c r="D647" t="s">
        <v>169</v>
      </c>
      <c r="E647" t="s">
        <v>1</v>
      </c>
      <c r="F647" s="1"/>
      <c r="G647" t="s">
        <v>876</v>
      </c>
      <c r="H647" s="1">
        <v>38093</v>
      </c>
      <c r="I647" s="2">
        <v>0</v>
      </c>
      <c r="J647" s="2">
        <v>-10955.06</v>
      </c>
      <c r="K647" t="s">
        <v>1</v>
      </c>
      <c r="L647" t="s">
        <v>171</v>
      </c>
      <c r="M647" t="s">
        <v>360</v>
      </c>
      <c r="N647" s="2">
        <v>-10955.06</v>
      </c>
      <c r="O647" t="str">
        <f>IFERROR(VLOOKUP($A647,Accounts!$A:$G,3,FALSE),"")</f>
        <v/>
      </c>
    </row>
    <row r="648" spans="1:15" outlineLevel="2" x14ac:dyDescent="0.2">
      <c r="A648" t="str">
        <f t="shared" si="9"/>
        <v>240001009899-2800.63</v>
      </c>
      <c r="B648" t="s">
        <v>0</v>
      </c>
      <c r="C648" t="s">
        <v>8</v>
      </c>
      <c r="D648" t="s">
        <v>169</v>
      </c>
      <c r="E648" t="s">
        <v>1</v>
      </c>
      <c r="F648" s="1"/>
      <c r="G648" t="s">
        <v>877</v>
      </c>
      <c r="H648" s="1">
        <v>38093</v>
      </c>
      <c r="I648" s="2">
        <v>0</v>
      </c>
      <c r="J648" s="2">
        <v>-2800.63</v>
      </c>
      <c r="K648" t="s">
        <v>1</v>
      </c>
      <c r="L648" t="s">
        <v>171</v>
      </c>
      <c r="M648" t="s">
        <v>360</v>
      </c>
      <c r="N648" s="2">
        <v>-2800.63</v>
      </c>
      <c r="O648" t="str">
        <f>IFERROR(VLOOKUP($A648,Accounts!$A:$G,3,FALSE),"")</f>
        <v/>
      </c>
    </row>
    <row r="649" spans="1:15" outlineLevel="2" x14ac:dyDescent="0.2">
      <c r="A649" t="str">
        <f t="shared" si="9"/>
        <v>240001009799-10279.19</v>
      </c>
      <c r="B649" t="s">
        <v>0</v>
      </c>
      <c r="C649" t="s">
        <v>8</v>
      </c>
      <c r="D649" t="s">
        <v>169</v>
      </c>
      <c r="E649" t="s">
        <v>1</v>
      </c>
      <c r="F649" s="1"/>
      <c r="G649" t="s">
        <v>878</v>
      </c>
      <c r="H649" s="1">
        <v>38093</v>
      </c>
      <c r="I649" s="2">
        <v>0</v>
      </c>
      <c r="J649" s="2">
        <v>-10279.19</v>
      </c>
      <c r="K649" t="s">
        <v>1</v>
      </c>
      <c r="L649" t="s">
        <v>171</v>
      </c>
      <c r="M649" t="s">
        <v>360</v>
      </c>
      <c r="N649" s="2">
        <v>-10279.19</v>
      </c>
      <c r="O649" t="str">
        <f>IFERROR(VLOOKUP($A649,Accounts!$A:$G,3,FALSE),"")</f>
        <v/>
      </c>
    </row>
    <row r="650" spans="1:15" outlineLevel="2" x14ac:dyDescent="0.2">
      <c r="A650" t="str">
        <f t="shared" ref="A650:A713" si="10">IFERROR(IF(J650=0,E650&amp;C650&amp;I650,G650&amp;B650&amp;J650),"")</f>
        <v>240001009699-11048.31</v>
      </c>
      <c r="B650" t="s">
        <v>0</v>
      </c>
      <c r="C650" t="s">
        <v>8</v>
      </c>
      <c r="D650" t="s">
        <v>169</v>
      </c>
      <c r="E650" t="s">
        <v>1</v>
      </c>
      <c r="F650" s="1"/>
      <c r="G650" t="s">
        <v>879</v>
      </c>
      <c r="H650" s="1">
        <v>38093</v>
      </c>
      <c r="I650" s="2">
        <v>0</v>
      </c>
      <c r="J650" s="2">
        <v>-11048.31</v>
      </c>
      <c r="K650" t="s">
        <v>1</v>
      </c>
      <c r="L650" t="s">
        <v>171</v>
      </c>
      <c r="M650" t="s">
        <v>360</v>
      </c>
      <c r="N650" s="2">
        <v>-11048.31</v>
      </c>
      <c r="O650" t="str">
        <f>IFERROR(VLOOKUP($A650,Accounts!$A:$G,3,FALSE),"")</f>
        <v/>
      </c>
    </row>
    <row r="651" spans="1:15" outlineLevel="2" x14ac:dyDescent="0.2">
      <c r="A651" t="str">
        <f t="shared" si="10"/>
        <v>240001009599-8821.47</v>
      </c>
      <c r="B651" t="s">
        <v>0</v>
      </c>
      <c r="C651" t="s">
        <v>8</v>
      </c>
      <c r="D651" t="s">
        <v>169</v>
      </c>
      <c r="E651" t="s">
        <v>1</v>
      </c>
      <c r="F651" s="1"/>
      <c r="G651" t="s">
        <v>880</v>
      </c>
      <c r="H651" s="1">
        <v>38093</v>
      </c>
      <c r="I651" s="2">
        <v>0</v>
      </c>
      <c r="J651" s="2">
        <v>-8821.4699999999993</v>
      </c>
      <c r="K651" t="s">
        <v>1</v>
      </c>
      <c r="L651" t="s">
        <v>171</v>
      </c>
      <c r="M651" t="s">
        <v>360</v>
      </c>
      <c r="N651" s="2">
        <v>-8821.4699999999993</v>
      </c>
      <c r="O651" t="str">
        <f>IFERROR(VLOOKUP($A651,Accounts!$A:$G,3,FALSE),"")</f>
        <v/>
      </c>
    </row>
    <row r="652" spans="1:15" outlineLevel="2" x14ac:dyDescent="0.2">
      <c r="A652" t="str">
        <f t="shared" si="10"/>
        <v>240001009499-2834.52</v>
      </c>
      <c r="B652" t="s">
        <v>0</v>
      </c>
      <c r="C652" t="s">
        <v>8</v>
      </c>
      <c r="D652" t="s">
        <v>169</v>
      </c>
      <c r="E652" t="s">
        <v>1</v>
      </c>
      <c r="F652" s="1"/>
      <c r="G652" t="s">
        <v>881</v>
      </c>
      <c r="H652" s="1">
        <v>38093</v>
      </c>
      <c r="I652" s="2">
        <v>0</v>
      </c>
      <c r="J652" s="2">
        <v>-2834.52</v>
      </c>
      <c r="K652" t="s">
        <v>1</v>
      </c>
      <c r="L652" t="s">
        <v>171</v>
      </c>
      <c r="M652" t="s">
        <v>360</v>
      </c>
      <c r="N652" s="2">
        <v>-2834.52</v>
      </c>
      <c r="O652" t="str">
        <f>IFERROR(VLOOKUP($A652,Accounts!$A:$G,3,FALSE),"")</f>
        <v/>
      </c>
    </row>
    <row r="653" spans="1:15" outlineLevel="2" x14ac:dyDescent="0.2">
      <c r="A653" t="str">
        <f t="shared" si="10"/>
        <v>240001009399-20237.45</v>
      </c>
      <c r="B653" t="s">
        <v>0</v>
      </c>
      <c r="C653" t="s">
        <v>8</v>
      </c>
      <c r="D653" t="s">
        <v>169</v>
      </c>
      <c r="E653" t="s">
        <v>1</v>
      </c>
      <c r="F653" s="1"/>
      <c r="G653" t="s">
        <v>882</v>
      </c>
      <c r="H653" s="1">
        <v>38093</v>
      </c>
      <c r="I653" s="2">
        <v>0</v>
      </c>
      <c r="J653" s="2">
        <v>-20237.45</v>
      </c>
      <c r="K653" t="s">
        <v>1</v>
      </c>
      <c r="L653" t="s">
        <v>171</v>
      </c>
      <c r="M653" t="s">
        <v>360</v>
      </c>
      <c r="N653" s="2">
        <v>-20237.45</v>
      </c>
      <c r="O653" t="str">
        <f>IFERROR(VLOOKUP($A653,Accounts!$A:$G,3,FALSE),"")</f>
        <v/>
      </c>
    </row>
    <row r="654" spans="1:15" outlineLevel="2" x14ac:dyDescent="0.2">
      <c r="A654" t="str">
        <f t="shared" si="10"/>
        <v>240001009299-11265.72</v>
      </c>
      <c r="B654" t="s">
        <v>0</v>
      </c>
      <c r="C654" t="s">
        <v>8</v>
      </c>
      <c r="D654" t="s">
        <v>169</v>
      </c>
      <c r="E654" t="s">
        <v>1</v>
      </c>
      <c r="F654" s="1"/>
      <c r="G654" t="s">
        <v>883</v>
      </c>
      <c r="H654" s="1">
        <v>38093</v>
      </c>
      <c r="I654" s="2">
        <v>0</v>
      </c>
      <c r="J654" s="2">
        <v>-11265.72</v>
      </c>
      <c r="K654" t="s">
        <v>1</v>
      </c>
      <c r="L654" t="s">
        <v>171</v>
      </c>
      <c r="M654" t="s">
        <v>360</v>
      </c>
      <c r="N654" s="2">
        <v>-11265.72</v>
      </c>
      <c r="O654" t="str">
        <f>IFERROR(VLOOKUP($A654,Accounts!$A:$G,3,FALSE),"")</f>
        <v/>
      </c>
    </row>
    <row r="655" spans="1:15" outlineLevel="2" x14ac:dyDescent="0.2">
      <c r="A655" t="str">
        <f t="shared" si="10"/>
        <v>240001009199-10430.21</v>
      </c>
      <c r="B655" t="s">
        <v>0</v>
      </c>
      <c r="C655" t="s">
        <v>8</v>
      </c>
      <c r="D655" t="s">
        <v>169</v>
      </c>
      <c r="E655" t="s">
        <v>1</v>
      </c>
      <c r="F655" s="1"/>
      <c r="G655" t="s">
        <v>884</v>
      </c>
      <c r="H655" s="1">
        <v>38093</v>
      </c>
      <c r="I655" s="2">
        <v>0</v>
      </c>
      <c r="J655" s="2">
        <v>-10430.209999999999</v>
      </c>
      <c r="K655" t="s">
        <v>1</v>
      </c>
      <c r="L655" t="s">
        <v>171</v>
      </c>
      <c r="M655" t="s">
        <v>360</v>
      </c>
      <c r="N655" s="2">
        <v>-10430.209999999999</v>
      </c>
      <c r="O655" t="str">
        <f>IFERROR(VLOOKUP($A655,Accounts!$A:$G,3,FALSE),"")</f>
        <v/>
      </c>
    </row>
    <row r="656" spans="1:15" outlineLevel="2" x14ac:dyDescent="0.2">
      <c r="A656" t="str">
        <f t="shared" si="10"/>
        <v>240001009099-30457.96</v>
      </c>
      <c r="B656" t="s">
        <v>0</v>
      </c>
      <c r="C656" t="s">
        <v>8</v>
      </c>
      <c r="D656" t="s">
        <v>169</v>
      </c>
      <c r="E656" t="s">
        <v>1</v>
      </c>
      <c r="F656" s="1"/>
      <c r="G656" t="s">
        <v>885</v>
      </c>
      <c r="H656" s="1">
        <v>38093</v>
      </c>
      <c r="I656" s="2">
        <v>0</v>
      </c>
      <c r="J656" s="2">
        <v>-30457.96</v>
      </c>
      <c r="K656" t="s">
        <v>1</v>
      </c>
      <c r="L656" t="s">
        <v>171</v>
      </c>
      <c r="M656" t="s">
        <v>360</v>
      </c>
      <c r="N656" s="2">
        <v>-30457.96</v>
      </c>
      <c r="O656" t="str">
        <f>IFERROR(VLOOKUP($A656,Accounts!$A:$G,3,FALSE),"")</f>
        <v/>
      </c>
    </row>
    <row r="657" spans="1:15" outlineLevel="2" x14ac:dyDescent="0.2">
      <c r="A657" t="str">
        <f t="shared" si="10"/>
        <v>240001008999-53553.95</v>
      </c>
      <c r="B657" t="s">
        <v>0</v>
      </c>
      <c r="C657" t="s">
        <v>8</v>
      </c>
      <c r="D657" t="s">
        <v>169</v>
      </c>
      <c r="E657" t="s">
        <v>1</v>
      </c>
      <c r="F657" s="1"/>
      <c r="G657" t="s">
        <v>886</v>
      </c>
      <c r="H657" s="1">
        <v>38093</v>
      </c>
      <c r="I657" s="2">
        <v>0</v>
      </c>
      <c r="J657" s="2">
        <v>-53553.95</v>
      </c>
      <c r="K657" t="s">
        <v>1</v>
      </c>
      <c r="L657" t="s">
        <v>171</v>
      </c>
      <c r="M657" t="s">
        <v>360</v>
      </c>
      <c r="N657" s="2">
        <v>-53553.95</v>
      </c>
      <c r="O657" t="str">
        <f>IFERROR(VLOOKUP($A657,Accounts!$A:$G,3,FALSE),"")</f>
        <v/>
      </c>
    </row>
    <row r="658" spans="1:15" outlineLevel="2" x14ac:dyDescent="0.2">
      <c r="A658" t="str">
        <f t="shared" si="10"/>
        <v>240001003499-20221.68</v>
      </c>
      <c r="B658" t="s">
        <v>0</v>
      </c>
      <c r="C658" t="s">
        <v>8</v>
      </c>
      <c r="D658" t="s">
        <v>169</v>
      </c>
      <c r="E658" t="s">
        <v>1</v>
      </c>
      <c r="F658" s="1"/>
      <c r="G658" t="s">
        <v>887</v>
      </c>
      <c r="H658" s="1">
        <v>38085</v>
      </c>
      <c r="I658" s="2">
        <v>0</v>
      </c>
      <c r="J658" s="2">
        <v>-20221.68</v>
      </c>
      <c r="K658" t="s">
        <v>1</v>
      </c>
      <c r="L658" t="s">
        <v>171</v>
      </c>
      <c r="M658" t="s">
        <v>360</v>
      </c>
      <c r="N658" s="2">
        <v>-20221.68</v>
      </c>
      <c r="O658" t="str">
        <f>IFERROR(VLOOKUP($A658,Accounts!$A:$G,3,FALSE),"")</f>
        <v/>
      </c>
    </row>
    <row r="659" spans="1:15" outlineLevel="2" x14ac:dyDescent="0.2">
      <c r="A659" t="str">
        <f t="shared" si="10"/>
        <v>240001003399-5057.99</v>
      </c>
      <c r="B659" t="s">
        <v>0</v>
      </c>
      <c r="C659" t="s">
        <v>8</v>
      </c>
      <c r="D659" t="s">
        <v>169</v>
      </c>
      <c r="E659" t="s">
        <v>1</v>
      </c>
      <c r="F659" s="1"/>
      <c r="G659" t="s">
        <v>888</v>
      </c>
      <c r="H659" s="1">
        <v>38085</v>
      </c>
      <c r="I659" s="2">
        <v>0</v>
      </c>
      <c r="J659" s="2">
        <v>-5057.99</v>
      </c>
      <c r="K659" t="s">
        <v>1</v>
      </c>
      <c r="L659" t="s">
        <v>171</v>
      </c>
      <c r="M659" t="s">
        <v>360</v>
      </c>
      <c r="N659" s="2">
        <v>-5057.99</v>
      </c>
      <c r="O659" t="str">
        <f>IFERROR(VLOOKUP($A659,Accounts!$A:$G,3,FALSE),"")</f>
        <v/>
      </c>
    </row>
    <row r="660" spans="1:15" outlineLevel="2" x14ac:dyDescent="0.2">
      <c r="A660" t="str">
        <f t="shared" si="10"/>
        <v>240001003299-20490.71</v>
      </c>
      <c r="B660" t="s">
        <v>0</v>
      </c>
      <c r="C660" t="s">
        <v>8</v>
      </c>
      <c r="D660" t="s">
        <v>169</v>
      </c>
      <c r="E660" t="s">
        <v>1</v>
      </c>
      <c r="F660" s="1"/>
      <c r="G660" t="s">
        <v>889</v>
      </c>
      <c r="H660" s="1">
        <v>38085</v>
      </c>
      <c r="I660" s="2">
        <v>0</v>
      </c>
      <c r="J660" s="2">
        <v>-20490.71</v>
      </c>
      <c r="K660" t="s">
        <v>1</v>
      </c>
      <c r="L660" t="s">
        <v>171</v>
      </c>
      <c r="M660" t="s">
        <v>360</v>
      </c>
      <c r="N660" s="2">
        <v>-20490.71</v>
      </c>
      <c r="O660" t="str">
        <f>IFERROR(VLOOKUP($A660,Accounts!$A:$G,3,FALSE),"")</f>
        <v/>
      </c>
    </row>
    <row r="661" spans="1:15" outlineLevel="2" x14ac:dyDescent="0.2">
      <c r="A661" t="str">
        <f t="shared" si="10"/>
        <v>240001003199-20682.99</v>
      </c>
      <c r="B661" t="s">
        <v>0</v>
      </c>
      <c r="C661" t="s">
        <v>8</v>
      </c>
      <c r="D661" t="s">
        <v>169</v>
      </c>
      <c r="E661" t="s">
        <v>1</v>
      </c>
      <c r="F661" s="1"/>
      <c r="G661" t="s">
        <v>890</v>
      </c>
      <c r="H661" s="1">
        <v>38085</v>
      </c>
      <c r="I661" s="2">
        <v>0</v>
      </c>
      <c r="J661" s="2">
        <v>-20682.990000000002</v>
      </c>
      <c r="K661" t="s">
        <v>1</v>
      </c>
      <c r="L661" t="s">
        <v>171</v>
      </c>
      <c r="M661" t="s">
        <v>360</v>
      </c>
      <c r="N661" s="2">
        <v>-20682.990000000002</v>
      </c>
      <c r="O661" t="str">
        <f>IFERROR(VLOOKUP($A661,Accounts!$A:$G,3,FALSE),"")</f>
        <v/>
      </c>
    </row>
    <row r="662" spans="1:15" outlineLevel="2" x14ac:dyDescent="0.2">
      <c r="A662" t="str">
        <f t="shared" si="10"/>
        <v>240001003099-32384.07</v>
      </c>
      <c r="B662" t="s">
        <v>0</v>
      </c>
      <c r="C662" t="s">
        <v>8</v>
      </c>
      <c r="D662" t="s">
        <v>169</v>
      </c>
      <c r="E662" t="s">
        <v>1</v>
      </c>
      <c r="F662" s="1"/>
      <c r="G662" t="s">
        <v>891</v>
      </c>
      <c r="H662" s="1">
        <v>38085</v>
      </c>
      <c r="I662" s="2">
        <v>0</v>
      </c>
      <c r="J662" s="2">
        <v>-32384.07</v>
      </c>
      <c r="K662" t="s">
        <v>1</v>
      </c>
      <c r="L662" t="s">
        <v>171</v>
      </c>
      <c r="M662" t="s">
        <v>360</v>
      </c>
      <c r="N662" s="2">
        <v>-32384.07</v>
      </c>
      <c r="O662" t="str">
        <f>IFERROR(VLOOKUP($A662,Accounts!$A:$G,3,FALSE),"")</f>
        <v/>
      </c>
    </row>
    <row r="663" spans="1:15" outlineLevel="2" x14ac:dyDescent="0.2">
      <c r="A663" t="str">
        <f t="shared" si="10"/>
        <v>240001002999-30590.82</v>
      </c>
      <c r="B663" t="s">
        <v>0</v>
      </c>
      <c r="C663" t="s">
        <v>8</v>
      </c>
      <c r="D663" t="s">
        <v>169</v>
      </c>
      <c r="E663" t="s">
        <v>1</v>
      </c>
      <c r="F663" s="1"/>
      <c r="G663" t="s">
        <v>892</v>
      </c>
      <c r="H663" s="1">
        <v>38085</v>
      </c>
      <c r="I663" s="2">
        <v>0</v>
      </c>
      <c r="J663" s="2">
        <v>-30590.82</v>
      </c>
      <c r="K663" t="s">
        <v>1</v>
      </c>
      <c r="L663" t="s">
        <v>171</v>
      </c>
      <c r="M663" t="s">
        <v>360</v>
      </c>
      <c r="N663" s="2">
        <v>-30590.82</v>
      </c>
      <c r="O663" t="str">
        <f>IFERROR(VLOOKUP($A663,Accounts!$A:$G,3,FALSE),"")</f>
        <v/>
      </c>
    </row>
    <row r="664" spans="1:15" outlineLevel="2" x14ac:dyDescent="0.2">
      <c r="A664" t="str">
        <f t="shared" si="10"/>
        <v>240001002899-18675.44</v>
      </c>
      <c r="B664" t="s">
        <v>0</v>
      </c>
      <c r="C664" t="s">
        <v>8</v>
      </c>
      <c r="D664" t="s">
        <v>169</v>
      </c>
      <c r="E664" t="s">
        <v>1</v>
      </c>
      <c r="F664" s="1"/>
      <c r="G664" t="s">
        <v>893</v>
      </c>
      <c r="H664" s="1">
        <v>38085</v>
      </c>
      <c r="I664" s="2">
        <v>0</v>
      </c>
      <c r="J664" s="2">
        <v>-18675.439999999999</v>
      </c>
      <c r="K664" t="s">
        <v>1</v>
      </c>
      <c r="L664" t="s">
        <v>171</v>
      </c>
      <c r="M664" t="s">
        <v>360</v>
      </c>
      <c r="N664" s="2">
        <v>-18675.439999999999</v>
      </c>
      <c r="O664" t="str">
        <f>IFERROR(VLOOKUP($A664,Accounts!$A:$G,3,FALSE),"")</f>
        <v/>
      </c>
    </row>
    <row r="665" spans="1:15" outlineLevel="2" x14ac:dyDescent="0.2">
      <c r="A665" t="str">
        <f t="shared" si="10"/>
        <v>240001002799-61547.23</v>
      </c>
      <c r="B665" t="s">
        <v>0</v>
      </c>
      <c r="C665" t="s">
        <v>8</v>
      </c>
      <c r="D665" t="s">
        <v>169</v>
      </c>
      <c r="E665" t="s">
        <v>1</v>
      </c>
      <c r="F665" s="1"/>
      <c r="G665" t="s">
        <v>894</v>
      </c>
      <c r="H665" s="1">
        <v>38085</v>
      </c>
      <c r="I665" s="2">
        <v>0</v>
      </c>
      <c r="J665" s="2">
        <v>-61547.23</v>
      </c>
      <c r="K665" t="s">
        <v>1</v>
      </c>
      <c r="L665" t="s">
        <v>171</v>
      </c>
      <c r="M665" t="s">
        <v>360</v>
      </c>
      <c r="N665" s="2">
        <v>-61547.23</v>
      </c>
      <c r="O665" t="str">
        <f>IFERROR(VLOOKUP($A665,Accounts!$A:$G,3,FALSE),"")</f>
        <v/>
      </c>
    </row>
    <row r="666" spans="1:15" outlineLevel="2" x14ac:dyDescent="0.2">
      <c r="A666" t="str">
        <f t="shared" si="10"/>
        <v>240001063899-21992.65</v>
      </c>
      <c r="B666" t="s">
        <v>0</v>
      </c>
      <c r="C666" t="s">
        <v>8</v>
      </c>
      <c r="D666" t="s">
        <v>169</v>
      </c>
      <c r="E666" t="s">
        <v>1</v>
      </c>
      <c r="F666" s="1"/>
      <c r="G666" t="s">
        <v>895</v>
      </c>
      <c r="H666" s="1">
        <v>38147</v>
      </c>
      <c r="I666" s="2">
        <v>0</v>
      </c>
      <c r="J666" s="2">
        <v>-21992.65</v>
      </c>
      <c r="K666" t="s">
        <v>1</v>
      </c>
      <c r="L666" t="s">
        <v>171</v>
      </c>
      <c r="M666" t="s">
        <v>360</v>
      </c>
      <c r="N666" s="2">
        <v>-21992.65</v>
      </c>
      <c r="O666" t="str">
        <f>IFERROR(VLOOKUP($A666,Accounts!$A:$G,3,FALSE),"")</f>
        <v/>
      </c>
    </row>
    <row r="667" spans="1:15" outlineLevel="2" x14ac:dyDescent="0.2">
      <c r="A667" t="str">
        <f t="shared" si="10"/>
        <v>240001063999-43585.05</v>
      </c>
      <c r="B667" t="s">
        <v>0</v>
      </c>
      <c r="C667" t="s">
        <v>8</v>
      </c>
      <c r="D667" t="s">
        <v>169</v>
      </c>
      <c r="E667" t="s">
        <v>1</v>
      </c>
      <c r="F667" s="1"/>
      <c r="G667" t="s">
        <v>896</v>
      </c>
      <c r="H667" s="1">
        <v>38147</v>
      </c>
      <c r="I667" s="2">
        <v>0</v>
      </c>
      <c r="J667" s="2">
        <v>-43585.05</v>
      </c>
      <c r="K667" t="s">
        <v>1</v>
      </c>
      <c r="L667" t="s">
        <v>171</v>
      </c>
      <c r="M667" t="s">
        <v>360</v>
      </c>
      <c r="N667" s="2">
        <v>-43585.05</v>
      </c>
      <c r="O667" t="str">
        <f>IFERROR(VLOOKUP($A667,Accounts!$A:$G,3,FALSE),"")</f>
        <v/>
      </c>
    </row>
    <row r="668" spans="1:15" outlineLevel="2" x14ac:dyDescent="0.2">
      <c r="A668" t="str">
        <f t="shared" si="10"/>
        <v>24000106359914.75</v>
      </c>
      <c r="B668" t="s">
        <v>0</v>
      </c>
      <c r="C668" t="s">
        <v>8</v>
      </c>
      <c r="D668" t="s">
        <v>169</v>
      </c>
      <c r="E668" t="s">
        <v>1</v>
      </c>
      <c r="F668" s="1"/>
      <c r="G668" t="s">
        <v>897</v>
      </c>
      <c r="H668" s="1">
        <v>38147</v>
      </c>
      <c r="I668" s="2">
        <v>0</v>
      </c>
      <c r="J668" s="2">
        <v>14.75</v>
      </c>
      <c r="K668" t="s">
        <v>1</v>
      </c>
      <c r="L668" t="s">
        <v>171</v>
      </c>
      <c r="M668" t="s">
        <v>360</v>
      </c>
      <c r="N668" s="2">
        <v>14.75</v>
      </c>
      <c r="O668" t="str">
        <f>IFERROR(VLOOKUP($A668,Accounts!$A:$G,3,FALSE),"")</f>
        <v/>
      </c>
    </row>
    <row r="669" spans="1:15" outlineLevel="2" x14ac:dyDescent="0.2">
      <c r="A669" t="str">
        <f t="shared" si="10"/>
        <v>240001064099-43600.74</v>
      </c>
      <c r="B669" t="s">
        <v>0</v>
      </c>
      <c r="C669" t="s">
        <v>8</v>
      </c>
      <c r="D669" t="s">
        <v>169</v>
      </c>
      <c r="E669" t="s">
        <v>1</v>
      </c>
      <c r="F669" s="1"/>
      <c r="G669" t="s">
        <v>898</v>
      </c>
      <c r="H669" s="1">
        <v>38147</v>
      </c>
      <c r="I669" s="2">
        <v>0</v>
      </c>
      <c r="J669" s="2">
        <v>-43600.74</v>
      </c>
      <c r="K669" t="s">
        <v>1</v>
      </c>
      <c r="L669" t="s">
        <v>171</v>
      </c>
      <c r="M669" t="s">
        <v>360</v>
      </c>
      <c r="N669" s="2">
        <v>-43600.74</v>
      </c>
      <c r="O669" t="str">
        <f>IFERROR(VLOOKUP($A669,Accounts!$A:$G,3,FALSE),"")</f>
        <v/>
      </c>
    </row>
    <row r="670" spans="1:15" outlineLevel="2" x14ac:dyDescent="0.2">
      <c r="A670" t="str">
        <f t="shared" si="10"/>
        <v>240001059299-31561.31</v>
      </c>
      <c r="B670" t="s">
        <v>0</v>
      </c>
      <c r="C670" t="s">
        <v>8</v>
      </c>
      <c r="D670" t="s">
        <v>169</v>
      </c>
      <c r="E670" t="s">
        <v>1</v>
      </c>
      <c r="F670" s="1"/>
      <c r="G670" t="s">
        <v>899</v>
      </c>
      <c r="H670" s="1">
        <v>38141</v>
      </c>
      <c r="I670" s="2">
        <v>0</v>
      </c>
      <c r="J670" s="2">
        <v>-31561.31</v>
      </c>
      <c r="K670" t="s">
        <v>1</v>
      </c>
      <c r="L670" t="s">
        <v>171</v>
      </c>
      <c r="M670" t="s">
        <v>360</v>
      </c>
      <c r="N670" s="2">
        <v>-31561.31</v>
      </c>
      <c r="O670" t="str">
        <f>IFERROR(VLOOKUP($A670,Accounts!$A:$G,3,FALSE),"")</f>
        <v/>
      </c>
    </row>
    <row r="671" spans="1:15" outlineLevel="2" x14ac:dyDescent="0.2">
      <c r="A671" t="str">
        <f t="shared" si="10"/>
        <v>240001059199-43136.95</v>
      </c>
      <c r="B671" t="s">
        <v>0</v>
      </c>
      <c r="C671" t="s">
        <v>8</v>
      </c>
      <c r="D671" t="s">
        <v>169</v>
      </c>
      <c r="E671" t="s">
        <v>1</v>
      </c>
      <c r="F671" s="1"/>
      <c r="G671" t="s">
        <v>900</v>
      </c>
      <c r="H671" s="1">
        <v>38141</v>
      </c>
      <c r="I671" s="2">
        <v>0</v>
      </c>
      <c r="J671" s="2">
        <v>-43136.95</v>
      </c>
      <c r="K671" t="s">
        <v>1</v>
      </c>
      <c r="L671" t="s">
        <v>171</v>
      </c>
      <c r="M671" t="s">
        <v>360</v>
      </c>
      <c r="N671" s="2">
        <v>-43136.95</v>
      </c>
      <c r="O671" t="str">
        <f>IFERROR(VLOOKUP($A671,Accounts!$A:$G,3,FALSE),"")</f>
        <v/>
      </c>
    </row>
    <row r="672" spans="1:15" outlineLevel="2" x14ac:dyDescent="0.2">
      <c r="A672" t="str">
        <f t="shared" si="10"/>
        <v>240001073899-76073.11</v>
      </c>
      <c r="B672" t="s">
        <v>0</v>
      </c>
      <c r="C672" t="s">
        <v>8</v>
      </c>
      <c r="D672" t="s">
        <v>169</v>
      </c>
      <c r="E672" t="s">
        <v>1</v>
      </c>
      <c r="F672" s="1"/>
      <c r="G672" t="s">
        <v>901</v>
      </c>
      <c r="H672" s="1">
        <v>38154</v>
      </c>
      <c r="I672" s="2">
        <v>0</v>
      </c>
      <c r="J672" s="2">
        <v>-76073.11</v>
      </c>
      <c r="K672" t="s">
        <v>1</v>
      </c>
      <c r="L672" t="s">
        <v>171</v>
      </c>
      <c r="M672" t="s">
        <v>360</v>
      </c>
      <c r="N672" s="2">
        <v>-76073.11</v>
      </c>
      <c r="O672" t="str">
        <f>IFERROR(VLOOKUP($A672,Accounts!$A:$G,3,FALSE),"")</f>
        <v/>
      </c>
    </row>
    <row r="673" spans="1:15" outlineLevel="2" x14ac:dyDescent="0.2">
      <c r="A673" t="str">
        <f t="shared" si="10"/>
        <v>240001073999-10392.25</v>
      </c>
      <c r="B673" t="s">
        <v>0</v>
      </c>
      <c r="C673" t="s">
        <v>8</v>
      </c>
      <c r="D673" t="s">
        <v>169</v>
      </c>
      <c r="E673" t="s">
        <v>1</v>
      </c>
      <c r="F673" s="1"/>
      <c r="G673" t="s">
        <v>902</v>
      </c>
      <c r="H673" s="1">
        <v>38154</v>
      </c>
      <c r="I673" s="2">
        <v>0</v>
      </c>
      <c r="J673" s="2">
        <v>-10392.25</v>
      </c>
      <c r="K673" t="s">
        <v>1</v>
      </c>
      <c r="L673" t="s">
        <v>171</v>
      </c>
      <c r="M673" t="s">
        <v>360</v>
      </c>
      <c r="N673" s="2">
        <v>-10392.25</v>
      </c>
      <c r="O673" t="str">
        <f>IFERROR(VLOOKUP($A673,Accounts!$A:$G,3,FALSE),"")</f>
        <v/>
      </c>
    </row>
    <row r="674" spans="1:15" outlineLevel="2" x14ac:dyDescent="0.2">
      <c r="A674" t="str">
        <f t="shared" si="10"/>
        <v>240001074099-18036.45</v>
      </c>
      <c r="B674" t="s">
        <v>0</v>
      </c>
      <c r="C674" t="s">
        <v>8</v>
      </c>
      <c r="D674" t="s">
        <v>169</v>
      </c>
      <c r="E674" t="s">
        <v>1</v>
      </c>
      <c r="F674" s="1"/>
      <c r="G674" t="s">
        <v>903</v>
      </c>
      <c r="H674" s="1">
        <v>38154</v>
      </c>
      <c r="I674" s="2">
        <v>0</v>
      </c>
      <c r="J674" s="2">
        <v>-18036.45</v>
      </c>
      <c r="K674" t="s">
        <v>1</v>
      </c>
      <c r="L674" t="s">
        <v>171</v>
      </c>
      <c r="M674" t="s">
        <v>360</v>
      </c>
      <c r="N674" s="2">
        <v>-18036.45</v>
      </c>
      <c r="O674" t="str">
        <f>IFERROR(VLOOKUP($A674,Accounts!$A:$G,3,FALSE),"")</f>
        <v/>
      </c>
    </row>
    <row r="675" spans="1:15" outlineLevel="2" x14ac:dyDescent="0.2">
      <c r="A675" t="str">
        <f t="shared" si="10"/>
        <v>240001074199-9884.72</v>
      </c>
      <c r="B675" t="s">
        <v>0</v>
      </c>
      <c r="C675" t="s">
        <v>8</v>
      </c>
      <c r="D675" t="s">
        <v>169</v>
      </c>
      <c r="E675" t="s">
        <v>1</v>
      </c>
      <c r="F675" s="1"/>
      <c r="G675" t="s">
        <v>904</v>
      </c>
      <c r="H675" s="1">
        <v>38154</v>
      </c>
      <c r="I675" s="2">
        <v>0</v>
      </c>
      <c r="J675" s="2">
        <v>-9884.7199999999993</v>
      </c>
      <c r="K675" t="s">
        <v>1</v>
      </c>
      <c r="L675" t="s">
        <v>171</v>
      </c>
      <c r="M675" t="s">
        <v>360</v>
      </c>
      <c r="N675" s="2">
        <v>-9884.7199999999993</v>
      </c>
      <c r="O675" t="str">
        <f>IFERROR(VLOOKUP($A675,Accounts!$A:$G,3,FALSE),"")</f>
        <v/>
      </c>
    </row>
    <row r="676" spans="1:15" outlineLevel="2" x14ac:dyDescent="0.2">
      <c r="A676" t="str">
        <f t="shared" si="10"/>
        <v>240001059099-21074.15</v>
      </c>
      <c r="B676" t="s">
        <v>0</v>
      </c>
      <c r="C676" t="s">
        <v>8</v>
      </c>
      <c r="D676" t="s">
        <v>169</v>
      </c>
      <c r="E676" t="s">
        <v>1</v>
      </c>
      <c r="F676" s="1"/>
      <c r="G676" t="s">
        <v>905</v>
      </c>
      <c r="H676" s="1">
        <v>38141</v>
      </c>
      <c r="I676" s="2">
        <v>0</v>
      </c>
      <c r="J676" s="2">
        <v>-21074.15</v>
      </c>
      <c r="K676" t="s">
        <v>1</v>
      </c>
      <c r="L676" t="s">
        <v>171</v>
      </c>
      <c r="M676" t="s">
        <v>360</v>
      </c>
      <c r="N676" s="2">
        <v>-21074.15</v>
      </c>
      <c r="O676" t="str">
        <f>IFERROR(VLOOKUP($A676,Accounts!$A:$G,3,FALSE),"")</f>
        <v/>
      </c>
    </row>
    <row r="677" spans="1:15" outlineLevel="2" x14ac:dyDescent="0.2">
      <c r="A677" t="str">
        <f t="shared" si="10"/>
        <v>240001074299-21876.29</v>
      </c>
      <c r="B677" t="s">
        <v>0</v>
      </c>
      <c r="C677" t="s">
        <v>8</v>
      </c>
      <c r="D677" t="s">
        <v>169</v>
      </c>
      <c r="E677" t="s">
        <v>1</v>
      </c>
      <c r="F677" s="1"/>
      <c r="G677" t="s">
        <v>906</v>
      </c>
      <c r="H677" s="1">
        <v>38154</v>
      </c>
      <c r="I677" s="2">
        <v>0</v>
      </c>
      <c r="J677" s="2">
        <v>-21876.29</v>
      </c>
      <c r="K677" t="s">
        <v>1</v>
      </c>
      <c r="L677" t="s">
        <v>171</v>
      </c>
      <c r="M677" t="s">
        <v>360</v>
      </c>
      <c r="N677" s="2">
        <v>-21876.29</v>
      </c>
      <c r="O677" t="str">
        <f>IFERROR(VLOOKUP($A677,Accounts!$A:$G,3,FALSE),"")</f>
        <v/>
      </c>
    </row>
    <row r="678" spans="1:15" outlineLevel="2" x14ac:dyDescent="0.2">
      <c r="A678" t="str">
        <f t="shared" si="10"/>
        <v>2400010547992260.56</v>
      </c>
      <c r="B678" t="s">
        <v>0</v>
      </c>
      <c r="C678" t="s">
        <v>8</v>
      </c>
      <c r="D678" t="s">
        <v>169</v>
      </c>
      <c r="E678" t="s">
        <v>1</v>
      </c>
      <c r="F678" s="1"/>
      <c r="G678" t="s">
        <v>907</v>
      </c>
      <c r="H678" s="1">
        <v>38141</v>
      </c>
      <c r="I678" s="2">
        <v>0</v>
      </c>
      <c r="J678" s="2">
        <v>2260.56</v>
      </c>
      <c r="K678" t="s">
        <v>1</v>
      </c>
      <c r="L678" t="s">
        <v>171</v>
      </c>
      <c r="M678" t="s">
        <v>360</v>
      </c>
      <c r="N678" s="2">
        <v>2260.56</v>
      </c>
      <c r="O678" t="str">
        <f>IFERROR(VLOOKUP($A678,Accounts!$A:$G,3,FALSE),"")</f>
        <v/>
      </c>
    </row>
    <row r="679" spans="1:15" outlineLevel="2" x14ac:dyDescent="0.2">
      <c r="A679" t="str">
        <f t="shared" si="10"/>
        <v>2400010546996346.06</v>
      </c>
      <c r="B679" t="s">
        <v>0</v>
      </c>
      <c r="C679" t="s">
        <v>8</v>
      </c>
      <c r="D679" t="s">
        <v>169</v>
      </c>
      <c r="E679" t="s">
        <v>1</v>
      </c>
      <c r="F679" s="1"/>
      <c r="G679" t="s">
        <v>908</v>
      </c>
      <c r="H679" s="1">
        <v>38141</v>
      </c>
      <c r="I679" s="2">
        <v>0</v>
      </c>
      <c r="J679" s="2">
        <v>6346.06</v>
      </c>
      <c r="K679" t="s">
        <v>1</v>
      </c>
      <c r="L679" t="s">
        <v>171</v>
      </c>
      <c r="M679" t="s">
        <v>360</v>
      </c>
      <c r="N679" s="2">
        <v>6346.06</v>
      </c>
      <c r="O679" t="str">
        <f>IFERROR(VLOOKUP($A679,Accounts!$A:$G,3,FALSE),"")</f>
        <v/>
      </c>
    </row>
    <row r="680" spans="1:15" outlineLevel="2" x14ac:dyDescent="0.2">
      <c r="A680" t="str">
        <f t="shared" si="10"/>
        <v>2400010538999124.65</v>
      </c>
      <c r="B680" t="s">
        <v>0</v>
      </c>
      <c r="C680" t="s">
        <v>8</v>
      </c>
      <c r="D680" t="s">
        <v>169</v>
      </c>
      <c r="E680" t="s">
        <v>1</v>
      </c>
      <c r="F680" s="1"/>
      <c r="G680" t="s">
        <v>909</v>
      </c>
      <c r="H680" s="1">
        <v>38141</v>
      </c>
      <c r="I680" s="2">
        <v>0</v>
      </c>
      <c r="J680" s="2">
        <v>9124.65</v>
      </c>
      <c r="K680" t="s">
        <v>1</v>
      </c>
      <c r="L680" t="s">
        <v>171</v>
      </c>
      <c r="M680" t="s">
        <v>360</v>
      </c>
      <c r="N680" s="2">
        <v>9124.65</v>
      </c>
      <c r="O680" t="str">
        <f>IFERROR(VLOOKUP($A680,Accounts!$A:$G,3,FALSE),"")</f>
        <v/>
      </c>
    </row>
    <row r="681" spans="1:15" outlineLevel="2" x14ac:dyDescent="0.2">
      <c r="A681" t="str">
        <f t="shared" si="10"/>
        <v>240001051399-10634.04</v>
      </c>
      <c r="B681" t="s">
        <v>0</v>
      </c>
      <c r="C681" t="s">
        <v>8</v>
      </c>
      <c r="D681" t="s">
        <v>169</v>
      </c>
      <c r="E681" t="s">
        <v>1</v>
      </c>
      <c r="F681" s="1"/>
      <c r="G681" t="s">
        <v>910</v>
      </c>
      <c r="H681" s="1">
        <v>38139</v>
      </c>
      <c r="I681" s="2">
        <v>0</v>
      </c>
      <c r="J681" s="2">
        <v>-10634.04</v>
      </c>
      <c r="K681" t="s">
        <v>1</v>
      </c>
      <c r="L681" t="s">
        <v>171</v>
      </c>
      <c r="M681" t="s">
        <v>360</v>
      </c>
      <c r="N681" s="2">
        <v>-10634.04</v>
      </c>
      <c r="O681" t="str">
        <f>IFERROR(VLOOKUP($A681,Accounts!$A:$G,3,FALSE),"")</f>
        <v/>
      </c>
    </row>
    <row r="682" spans="1:15" outlineLevel="2" x14ac:dyDescent="0.2">
      <c r="A682" t="str">
        <f t="shared" si="10"/>
        <v>240001051299-10047.3</v>
      </c>
      <c r="B682" t="s">
        <v>0</v>
      </c>
      <c r="C682" t="s">
        <v>8</v>
      </c>
      <c r="D682" t="s">
        <v>169</v>
      </c>
      <c r="E682" t="s">
        <v>1</v>
      </c>
      <c r="F682" s="1"/>
      <c r="G682" t="s">
        <v>911</v>
      </c>
      <c r="H682" s="1">
        <v>38139</v>
      </c>
      <c r="I682" s="2">
        <v>0</v>
      </c>
      <c r="J682" s="2">
        <v>-10047.299999999999</v>
      </c>
      <c r="K682" t="s">
        <v>1</v>
      </c>
      <c r="L682" t="s">
        <v>171</v>
      </c>
      <c r="M682" t="s">
        <v>360</v>
      </c>
      <c r="N682" s="2">
        <v>-10047.299999999999</v>
      </c>
      <c r="O682" t="str">
        <f>IFERROR(VLOOKUP($A682,Accounts!$A:$G,3,FALSE),"")</f>
        <v/>
      </c>
    </row>
    <row r="683" spans="1:15" outlineLevel="2" x14ac:dyDescent="0.2">
      <c r="A683" t="str">
        <f t="shared" si="10"/>
        <v>240001047399-11014.48</v>
      </c>
      <c r="B683" t="s">
        <v>0</v>
      </c>
      <c r="C683" t="s">
        <v>8</v>
      </c>
      <c r="D683" t="s">
        <v>169</v>
      </c>
      <c r="E683" t="s">
        <v>1</v>
      </c>
      <c r="F683" s="1"/>
      <c r="G683" t="s">
        <v>912</v>
      </c>
      <c r="H683" s="1">
        <v>38133</v>
      </c>
      <c r="I683" s="2">
        <v>0</v>
      </c>
      <c r="J683" s="2">
        <v>-11014.48</v>
      </c>
      <c r="K683" t="s">
        <v>1</v>
      </c>
      <c r="L683" t="s">
        <v>171</v>
      </c>
      <c r="M683" t="s">
        <v>360</v>
      </c>
      <c r="N683" s="2">
        <v>-11014.48</v>
      </c>
      <c r="O683" t="str">
        <f>IFERROR(VLOOKUP($A683,Accounts!$A:$G,3,FALSE),"")</f>
        <v/>
      </c>
    </row>
    <row r="684" spans="1:15" outlineLevel="2" x14ac:dyDescent="0.2">
      <c r="A684" t="str">
        <f t="shared" si="10"/>
        <v>240001047299-10871.71</v>
      </c>
      <c r="B684" t="s">
        <v>0</v>
      </c>
      <c r="C684" t="s">
        <v>8</v>
      </c>
      <c r="D684" t="s">
        <v>169</v>
      </c>
      <c r="E684" t="s">
        <v>1</v>
      </c>
      <c r="F684" s="1"/>
      <c r="G684" t="s">
        <v>913</v>
      </c>
      <c r="H684" s="1">
        <v>38133</v>
      </c>
      <c r="I684" s="2">
        <v>0</v>
      </c>
      <c r="J684" s="2">
        <v>-10871.71</v>
      </c>
      <c r="K684" t="s">
        <v>1</v>
      </c>
      <c r="L684" t="s">
        <v>171</v>
      </c>
      <c r="M684" t="s">
        <v>360</v>
      </c>
      <c r="N684" s="2">
        <v>-10871.71</v>
      </c>
      <c r="O684" t="str">
        <f>IFERROR(VLOOKUP($A684,Accounts!$A:$G,3,FALSE),"")</f>
        <v/>
      </c>
    </row>
    <row r="685" spans="1:15" outlineLevel="2" x14ac:dyDescent="0.2">
      <c r="A685" t="str">
        <f t="shared" si="10"/>
        <v>240001037799-42439.62</v>
      </c>
      <c r="B685" t="s">
        <v>0</v>
      </c>
      <c r="C685" t="s">
        <v>8</v>
      </c>
      <c r="D685" t="s">
        <v>169</v>
      </c>
      <c r="E685" t="s">
        <v>1</v>
      </c>
      <c r="F685" s="1"/>
      <c r="G685" t="s">
        <v>914</v>
      </c>
      <c r="H685" s="1">
        <v>38131</v>
      </c>
      <c r="I685" s="2">
        <v>0</v>
      </c>
      <c r="J685" s="2">
        <v>-42439.62</v>
      </c>
      <c r="K685" t="s">
        <v>1</v>
      </c>
      <c r="L685" t="s">
        <v>171</v>
      </c>
      <c r="M685" t="s">
        <v>360</v>
      </c>
      <c r="N685" s="2">
        <v>-42439.62</v>
      </c>
      <c r="O685" t="str">
        <f>IFERROR(VLOOKUP($A685,Accounts!$A:$G,3,FALSE),"")</f>
        <v/>
      </c>
    </row>
    <row r="686" spans="1:15" outlineLevel="2" x14ac:dyDescent="0.2">
      <c r="A686" t="str">
        <f t="shared" si="10"/>
        <v>240001037899-23207.55</v>
      </c>
      <c r="B686" t="s">
        <v>0</v>
      </c>
      <c r="C686" t="s">
        <v>8</v>
      </c>
      <c r="D686" t="s">
        <v>169</v>
      </c>
      <c r="E686" t="s">
        <v>1</v>
      </c>
      <c r="F686" s="1"/>
      <c r="G686" t="s">
        <v>915</v>
      </c>
      <c r="H686" s="1">
        <v>38131</v>
      </c>
      <c r="I686" s="2">
        <v>0</v>
      </c>
      <c r="J686" s="2">
        <v>-23207.55</v>
      </c>
      <c r="K686" t="s">
        <v>1</v>
      </c>
      <c r="L686" t="s">
        <v>171</v>
      </c>
      <c r="M686" t="s">
        <v>360</v>
      </c>
      <c r="N686" s="2">
        <v>-23207.55</v>
      </c>
      <c r="O686" t="str">
        <f>IFERROR(VLOOKUP($A686,Accounts!$A:$G,3,FALSE),"")</f>
        <v/>
      </c>
    </row>
    <row r="687" spans="1:15" outlineLevel="2" x14ac:dyDescent="0.2">
      <c r="A687" t="str">
        <f t="shared" si="10"/>
        <v>240001037999-2763.07</v>
      </c>
      <c r="B687" t="s">
        <v>0</v>
      </c>
      <c r="C687" t="s">
        <v>8</v>
      </c>
      <c r="D687" t="s">
        <v>169</v>
      </c>
      <c r="E687" t="s">
        <v>1</v>
      </c>
      <c r="F687" s="1"/>
      <c r="G687" t="s">
        <v>916</v>
      </c>
      <c r="H687" s="1">
        <v>38131</v>
      </c>
      <c r="I687" s="2">
        <v>0</v>
      </c>
      <c r="J687" s="2">
        <v>-2763.07</v>
      </c>
      <c r="K687" t="s">
        <v>1</v>
      </c>
      <c r="L687" t="s">
        <v>171</v>
      </c>
      <c r="M687" t="s">
        <v>360</v>
      </c>
      <c r="N687" s="2">
        <v>-2763.07</v>
      </c>
      <c r="O687" t="str">
        <f>IFERROR(VLOOKUP($A687,Accounts!$A:$G,3,FALSE),"")</f>
        <v/>
      </c>
    </row>
    <row r="688" spans="1:15" outlineLevel="2" x14ac:dyDescent="0.2">
      <c r="A688" t="str">
        <f t="shared" si="10"/>
        <v>240001038099-59367.77</v>
      </c>
      <c r="B688" t="s">
        <v>0</v>
      </c>
      <c r="C688" t="s">
        <v>8</v>
      </c>
      <c r="D688" t="s">
        <v>169</v>
      </c>
      <c r="E688" t="s">
        <v>1</v>
      </c>
      <c r="F688" s="1"/>
      <c r="G688" t="s">
        <v>917</v>
      </c>
      <c r="H688" s="1">
        <v>38131</v>
      </c>
      <c r="I688" s="2">
        <v>0</v>
      </c>
      <c r="J688" s="2">
        <v>-59367.77</v>
      </c>
      <c r="K688" t="s">
        <v>1</v>
      </c>
      <c r="L688" t="s">
        <v>171</v>
      </c>
      <c r="M688" t="s">
        <v>360</v>
      </c>
      <c r="N688" s="2">
        <v>-59367.77</v>
      </c>
      <c r="O688" t="str">
        <f>IFERROR(VLOOKUP($A688,Accounts!$A:$G,3,FALSE),"")</f>
        <v/>
      </c>
    </row>
    <row r="689" spans="1:15" outlineLevel="2" x14ac:dyDescent="0.2">
      <c r="A689" t="str">
        <f t="shared" si="10"/>
        <v>240001038199-31476.31</v>
      </c>
      <c r="B689" t="s">
        <v>0</v>
      </c>
      <c r="C689" t="s">
        <v>8</v>
      </c>
      <c r="D689" t="s">
        <v>169</v>
      </c>
      <c r="E689" t="s">
        <v>1</v>
      </c>
      <c r="F689" s="1"/>
      <c r="G689" t="s">
        <v>918</v>
      </c>
      <c r="H689" s="1">
        <v>38131</v>
      </c>
      <c r="I689" s="2">
        <v>0</v>
      </c>
      <c r="J689" s="2">
        <v>-31476.31</v>
      </c>
      <c r="K689" t="s">
        <v>1</v>
      </c>
      <c r="L689" t="s">
        <v>171</v>
      </c>
      <c r="M689" t="s">
        <v>360</v>
      </c>
      <c r="N689" s="2">
        <v>-31476.31</v>
      </c>
      <c r="O689" t="str">
        <f>IFERROR(VLOOKUP($A689,Accounts!$A:$G,3,FALSE),"")</f>
        <v/>
      </c>
    </row>
    <row r="690" spans="1:15" outlineLevel="2" x14ac:dyDescent="0.2">
      <c r="A690" t="str">
        <f t="shared" si="10"/>
        <v>240001038299-30267.33</v>
      </c>
      <c r="B690" t="s">
        <v>0</v>
      </c>
      <c r="C690" t="s">
        <v>8</v>
      </c>
      <c r="D690" t="s">
        <v>169</v>
      </c>
      <c r="E690" t="s">
        <v>1</v>
      </c>
      <c r="F690" s="1"/>
      <c r="G690" t="s">
        <v>919</v>
      </c>
      <c r="H690" s="1">
        <v>38131</v>
      </c>
      <c r="I690" s="2">
        <v>0</v>
      </c>
      <c r="J690" s="2">
        <v>-30267.33</v>
      </c>
      <c r="K690" t="s">
        <v>1</v>
      </c>
      <c r="L690" t="s">
        <v>171</v>
      </c>
      <c r="M690" t="s">
        <v>360</v>
      </c>
      <c r="N690" s="2">
        <v>-30267.33</v>
      </c>
      <c r="O690" t="str">
        <f>IFERROR(VLOOKUP($A690,Accounts!$A:$G,3,FALSE),"")</f>
        <v/>
      </c>
    </row>
    <row r="691" spans="1:15" outlineLevel="2" x14ac:dyDescent="0.2">
      <c r="A691" t="str">
        <f t="shared" si="10"/>
        <v>240001038399-12565.73</v>
      </c>
      <c r="B691" t="s">
        <v>0</v>
      </c>
      <c r="C691" t="s">
        <v>8</v>
      </c>
      <c r="D691" t="s">
        <v>169</v>
      </c>
      <c r="E691" t="s">
        <v>1</v>
      </c>
      <c r="F691" s="1"/>
      <c r="G691" t="s">
        <v>920</v>
      </c>
      <c r="H691" s="1">
        <v>38131</v>
      </c>
      <c r="I691" s="2">
        <v>0</v>
      </c>
      <c r="J691" s="2">
        <v>-12565.73</v>
      </c>
      <c r="K691" t="s">
        <v>1</v>
      </c>
      <c r="L691" t="s">
        <v>171</v>
      </c>
      <c r="M691" t="s">
        <v>360</v>
      </c>
      <c r="N691" s="2">
        <v>-12565.73</v>
      </c>
      <c r="O691" t="str">
        <f>IFERROR(VLOOKUP($A691,Accounts!$A:$G,3,FALSE),"")</f>
        <v/>
      </c>
    </row>
    <row r="692" spans="1:15" outlineLevel="2" x14ac:dyDescent="0.2">
      <c r="A692" t="str">
        <f t="shared" si="10"/>
        <v>298133383.18</v>
      </c>
      <c r="B692" s="3" t="s">
        <v>1</v>
      </c>
      <c r="C692" s="3" t="s">
        <v>8</v>
      </c>
      <c r="D692" s="3" t="s">
        <v>1</v>
      </c>
      <c r="E692" s="3" t="s">
        <v>1</v>
      </c>
      <c r="F692" s="4"/>
      <c r="G692" s="3" t="s">
        <v>1</v>
      </c>
      <c r="H692" s="4"/>
      <c r="I692" s="5">
        <v>133383.18</v>
      </c>
      <c r="J692" s="5">
        <v>0</v>
      </c>
      <c r="K692" s="3" t="s">
        <v>1</v>
      </c>
      <c r="L692" s="3" t="s">
        <v>1</v>
      </c>
      <c r="M692" s="3" t="s">
        <v>1</v>
      </c>
      <c r="N692" s="5">
        <v>133383.18</v>
      </c>
      <c r="O692" t="str">
        <f>IFERROR(VLOOKUP($A692,Accounts!$A:$G,3,FALSE),"")</f>
        <v/>
      </c>
    </row>
    <row r="693" spans="1:15" outlineLevel="2" x14ac:dyDescent="0.2">
      <c r="A693" t="str">
        <f t="shared" si="10"/>
        <v>65555897915440</v>
      </c>
      <c r="B693" t="s">
        <v>0</v>
      </c>
      <c r="C693" t="s">
        <v>11</v>
      </c>
      <c r="D693" t="s">
        <v>169</v>
      </c>
      <c r="E693" t="s">
        <v>170</v>
      </c>
      <c r="F693" s="1">
        <v>38223</v>
      </c>
      <c r="G693" t="s">
        <v>1</v>
      </c>
      <c r="H693" s="1"/>
      <c r="I693" s="2">
        <v>15440</v>
      </c>
      <c r="J693" s="2">
        <v>0</v>
      </c>
      <c r="K693" t="s">
        <v>171</v>
      </c>
      <c r="L693" t="s">
        <v>1</v>
      </c>
      <c r="M693" t="s">
        <v>362</v>
      </c>
      <c r="N693" s="2">
        <v>15440</v>
      </c>
      <c r="O693" t="str">
        <f>IFERROR(VLOOKUP($A693,Accounts!$A:$G,3,FALSE),"")</f>
        <v/>
      </c>
    </row>
    <row r="694" spans="1:15" outlineLevel="2" x14ac:dyDescent="0.2">
      <c r="A694" t="str">
        <f t="shared" si="10"/>
        <v>2400022776979-6793.6</v>
      </c>
      <c r="B694" t="s">
        <v>0</v>
      </c>
      <c r="C694" t="s">
        <v>11</v>
      </c>
      <c r="D694" t="s">
        <v>169</v>
      </c>
      <c r="E694" t="s">
        <v>921</v>
      </c>
      <c r="F694" s="1">
        <v>38177</v>
      </c>
      <c r="G694" t="s">
        <v>1</v>
      </c>
      <c r="H694" s="1"/>
      <c r="I694" s="2">
        <v>-6793.6</v>
      </c>
      <c r="J694" s="2">
        <v>0</v>
      </c>
      <c r="K694" t="s">
        <v>171</v>
      </c>
      <c r="L694" t="s">
        <v>1</v>
      </c>
      <c r="M694" t="s">
        <v>362</v>
      </c>
      <c r="N694" s="2">
        <v>-6793.6</v>
      </c>
      <c r="O694" t="str">
        <f>IFERROR(VLOOKUP($A694,Accounts!$A:$G,3,FALSE),"")</f>
        <v/>
      </c>
    </row>
    <row r="695" spans="1:15" outlineLevel="2" x14ac:dyDescent="0.2">
      <c r="A695" t="str">
        <f t="shared" si="10"/>
        <v>2400021282979-8646.4</v>
      </c>
      <c r="B695" t="s">
        <v>0</v>
      </c>
      <c r="C695" t="s">
        <v>11</v>
      </c>
      <c r="D695" t="s">
        <v>169</v>
      </c>
      <c r="E695" t="s">
        <v>922</v>
      </c>
      <c r="F695" s="1">
        <v>38152</v>
      </c>
      <c r="G695" t="s">
        <v>1</v>
      </c>
      <c r="H695" s="1"/>
      <c r="I695" s="2">
        <v>-8646.4</v>
      </c>
      <c r="J695" s="2">
        <v>0</v>
      </c>
      <c r="K695" t="s">
        <v>171</v>
      </c>
      <c r="L695" t="s">
        <v>1</v>
      </c>
      <c r="M695" t="s">
        <v>362</v>
      </c>
      <c r="N695" s="2">
        <v>-8646.4</v>
      </c>
      <c r="O695" t="str">
        <f>IFERROR(VLOOKUP($A695,Accounts!$A:$G,3,FALSE),"")</f>
        <v/>
      </c>
    </row>
    <row r="696" spans="1:15" outlineLevel="2" x14ac:dyDescent="0.2">
      <c r="A696" t="str">
        <f t="shared" si="10"/>
        <v>1410080085979221.13</v>
      </c>
      <c r="B696" t="s">
        <v>0</v>
      </c>
      <c r="C696" t="s">
        <v>11</v>
      </c>
      <c r="D696" t="s">
        <v>178</v>
      </c>
      <c r="E696" t="s">
        <v>923</v>
      </c>
      <c r="F696" s="1">
        <v>38200</v>
      </c>
      <c r="G696" t="s">
        <v>1</v>
      </c>
      <c r="H696" s="1"/>
      <c r="I696" s="2">
        <v>221.13</v>
      </c>
      <c r="J696" s="2">
        <v>0</v>
      </c>
      <c r="K696" t="s">
        <v>171</v>
      </c>
      <c r="L696" t="s">
        <v>1</v>
      </c>
      <c r="M696" t="s">
        <v>362</v>
      </c>
      <c r="N696" s="2">
        <v>221.13</v>
      </c>
      <c r="O696" t="str">
        <f>IFERROR(VLOOKUP($A696,Accounts!$A:$G,3,FALSE),"")</f>
        <v/>
      </c>
    </row>
    <row r="697" spans="1:15" outlineLevel="2" x14ac:dyDescent="0.2">
      <c r="A697" t="str">
        <f t="shared" si="10"/>
        <v>655558979-1568.03</v>
      </c>
      <c r="B697" t="s">
        <v>0</v>
      </c>
      <c r="C697" t="s">
        <v>11</v>
      </c>
      <c r="D697" t="s">
        <v>178</v>
      </c>
      <c r="E697" t="s">
        <v>170</v>
      </c>
      <c r="F697" s="1">
        <v>38223</v>
      </c>
      <c r="G697" t="s">
        <v>1</v>
      </c>
      <c r="H697" s="1"/>
      <c r="I697" s="2">
        <v>-1568.03</v>
      </c>
      <c r="J697" s="2">
        <v>0</v>
      </c>
      <c r="K697" t="s">
        <v>171</v>
      </c>
      <c r="L697" t="s">
        <v>1</v>
      </c>
      <c r="M697" t="s">
        <v>362</v>
      </c>
      <c r="N697" s="2">
        <v>-1568.03</v>
      </c>
      <c r="O697" t="str">
        <f>IFERROR(VLOOKUP($A697,Accounts!$A:$G,3,FALSE),"")</f>
        <v/>
      </c>
    </row>
    <row r="698" spans="1:15" outlineLevel="2" x14ac:dyDescent="0.2">
      <c r="A698" t="str">
        <f t="shared" si="10"/>
        <v>1410080089979844.33</v>
      </c>
      <c r="B698" t="s">
        <v>0</v>
      </c>
      <c r="C698" t="s">
        <v>11</v>
      </c>
      <c r="D698" t="s">
        <v>178</v>
      </c>
      <c r="E698" t="s">
        <v>924</v>
      </c>
      <c r="F698" s="1">
        <v>38200</v>
      </c>
      <c r="G698" t="s">
        <v>1</v>
      </c>
      <c r="H698" s="1"/>
      <c r="I698" s="2">
        <v>844.33</v>
      </c>
      <c r="J698" s="2">
        <v>0</v>
      </c>
      <c r="K698" t="s">
        <v>171</v>
      </c>
      <c r="L698" t="s">
        <v>1</v>
      </c>
      <c r="M698" t="s">
        <v>362</v>
      </c>
      <c r="N698" s="2">
        <v>844.33</v>
      </c>
      <c r="O698" t="str">
        <f>IFERROR(VLOOKUP($A698,Accounts!$A:$G,3,FALSE),"")</f>
        <v/>
      </c>
    </row>
    <row r="699" spans="1:15" outlineLevel="2" x14ac:dyDescent="0.2">
      <c r="A699" t="str">
        <f t="shared" si="10"/>
        <v>1410080183979281.44</v>
      </c>
      <c r="B699" t="s">
        <v>0</v>
      </c>
      <c r="C699" t="s">
        <v>11</v>
      </c>
      <c r="D699" t="s">
        <v>178</v>
      </c>
      <c r="E699" t="s">
        <v>925</v>
      </c>
      <c r="F699" s="1">
        <v>38200</v>
      </c>
      <c r="G699" t="s">
        <v>1</v>
      </c>
      <c r="H699" s="1"/>
      <c r="I699" s="2">
        <v>281.44</v>
      </c>
      <c r="J699" s="2">
        <v>0</v>
      </c>
      <c r="K699" t="s">
        <v>171</v>
      </c>
      <c r="L699" t="s">
        <v>1</v>
      </c>
      <c r="M699" t="s">
        <v>362</v>
      </c>
      <c r="N699" s="2">
        <v>281.44</v>
      </c>
      <c r="O699" t="str">
        <f>IFERROR(VLOOKUP($A699,Accounts!$A:$G,3,FALSE),"")</f>
        <v/>
      </c>
    </row>
    <row r="700" spans="1:15" outlineLevel="2" x14ac:dyDescent="0.2">
      <c r="A700" t="str">
        <f t="shared" si="10"/>
        <v>1410080123979221.13</v>
      </c>
      <c r="B700" t="s">
        <v>0</v>
      </c>
      <c r="C700" t="s">
        <v>11</v>
      </c>
      <c r="D700" t="s">
        <v>178</v>
      </c>
      <c r="E700" t="s">
        <v>926</v>
      </c>
      <c r="F700" s="1">
        <v>38200</v>
      </c>
      <c r="G700" t="s">
        <v>1</v>
      </c>
      <c r="H700" s="1"/>
      <c r="I700" s="2">
        <v>221.13</v>
      </c>
      <c r="J700" s="2">
        <v>0</v>
      </c>
      <c r="K700" t="s">
        <v>171</v>
      </c>
      <c r="L700" t="s">
        <v>1</v>
      </c>
      <c r="M700" t="s">
        <v>362</v>
      </c>
      <c r="N700" s="2">
        <v>221.13</v>
      </c>
      <c r="O700" t="str">
        <f>IFERROR(VLOOKUP($A700,Accounts!$A:$G,3,FALSE),"")</f>
        <v/>
      </c>
    </row>
    <row r="701" spans="1:15" outlineLevel="2" x14ac:dyDescent="0.2">
      <c r="A701" t="str">
        <f t="shared" si="10"/>
        <v>60006799-9469.44</v>
      </c>
      <c r="B701" t="s">
        <v>0</v>
      </c>
      <c r="C701" t="s">
        <v>11</v>
      </c>
      <c r="D701" t="s">
        <v>178</v>
      </c>
      <c r="E701" t="s">
        <v>1</v>
      </c>
      <c r="F701" s="1"/>
      <c r="G701" t="s">
        <v>363</v>
      </c>
      <c r="H701" s="1">
        <v>41153</v>
      </c>
      <c r="I701" s="2">
        <v>0</v>
      </c>
      <c r="J701" s="2">
        <v>-9469.44</v>
      </c>
      <c r="K701" t="s">
        <v>1</v>
      </c>
      <c r="L701" t="s">
        <v>185</v>
      </c>
      <c r="M701" t="s">
        <v>362</v>
      </c>
      <c r="N701" s="2">
        <v>-9469.44</v>
      </c>
      <c r="O701" t="str">
        <f>IFERROR(VLOOKUP($A701,Accounts!$A:$G,3,FALSE),"")</f>
        <v/>
      </c>
    </row>
    <row r="702" spans="1:15" outlineLevel="2" x14ac:dyDescent="0.2">
      <c r="A702" t="str">
        <f t="shared" si="10"/>
        <v>1400000004999469.44</v>
      </c>
      <c r="B702" t="s">
        <v>0</v>
      </c>
      <c r="C702" t="s">
        <v>11</v>
      </c>
      <c r="D702" t="s">
        <v>178</v>
      </c>
      <c r="E702" t="s">
        <v>1</v>
      </c>
      <c r="F702" s="1"/>
      <c r="G702" t="s">
        <v>927</v>
      </c>
      <c r="H702" s="1">
        <v>41153</v>
      </c>
      <c r="I702" s="2">
        <v>0</v>
      </c>
      <c r="J702" s="2">
        <v>9469.44</v>
      </c>
      <c r="K702" t="s">
        <v>1</v>
      </c>
      <c r="L702" t="s">
        <v>185</v>
      </c>
      <c r="M702" t="s">
        <v>362</v>
      </c>
      <c r="N702" s="2">
        <v>9469.44</v>
      </c>
      <c r="O702" t="str">
        <f>IFERROR(VLOOKUP($A702,Accounts!$A:$G,3,FALSE),"")</f>
        <v/>
      </c>
    </row>
    <row r="703" spans="1:15" outlineLevel="2" x14ac:dyDescent="0.2">
      <c r="A703" t="str">
        <f t="shared" si="10"/>
        <v>9790</v>
      </c>
      <c r="B703" s="3" t="s">
        <v>1</v>
      </c>
      <c r="C703" s="3" t="s">
        <v>11</v>
      </c>
      <c r="D703" s="3" t="s">
        <v>1</v>
      </c>
      <c r="E703" s="3" t="s">
        <v>1</v>
      </c>
      <c r="F703" s="4"/>
      <c r="G703" s="3" t="s">
        <v>1</v>
      </c>
      <c r="H703" s="4"/>
      <c r="I703" s="5">
        <v>0</v>
      </c>
      <c r="J703" s="5">
        <v>0</v>
      </c>
      <c r="K703" s="3" t="s">
        <v>1</v>
      </c>
      <c r="L703" s="3" t="s">
        <v>1</v>
      </c>
      <c r="M703" s="3" t="s">
        <v>1</v>
      </c>
      <c r="N703" s="5">
        <v>0</v>
      </c>
      <c r="O703" t="str">
        <f>IFERROR(VLOOKUP($A703,Accounts!$A:$G,3,FALSE),"")</f>
        <v/>
      </c>
    </row>
    <row r="704" spans="1:15" outlineLevel="2" x14ac:dyDescent="0.2">
      <c r="A704" t="str">
        <f t="shared" si="10"/>
        <v>29000010839942589.74</v>
      </c>
      <c r="B704" t="s">
        <v>0</v>
      </c>
      <c r="C704" t="s">
        <v>13</v>
      </c>
      <c r="D704" t="s">
        <v>99</v>
      </c>
      <c r="E704" t="s">
        <v>546</v>
      </c>
      <c r="F704" s="1">
        <v>43479</v>
      </c>
      <c r="G704" t="s">
        <v>1</v>
      </c>
      <c r="H704" s="1"/>
      <c r="I704" s="2">
        <v>2589.7399999999998</v>
      </c>
      <c r="J704" s="2">
        <v>0</v>
      </c>
      <c r="K704" t="s">
        <v>474</v>
      </c>
      <c r="L704" t="s">
        <v>1</v>
      </c>
      <c r="M704" t="s">
        <v>364</v>
      </c>
      <c r="N704" s="2">
        <v>2589.7399999999998</v>
      </c>
      <c r="O704" t="str">
        <f>IFERROR(VLOOKUP($A704,Accounts!$A:$G,3,FALSE),"")</f>
        <v/>
      </c>
    </row>
    <row r="705" spans="1:15" outlineLevel="2" x14ac:dyDescent="0.2">
      <c r="A705" t="str">
        <f t="shared" si="10"/>
        <v>2400021460994-7008.39</v>
      </c>
      <c r="B705" t="s">
        <v>0</v>
      </c>
      <c r="C705" t="s">
        <v>13</v>
      </c>
      <c r="D705" t="s">
        <v>169</v>
      </c>
      <c r="E705" t="s">
        <v>928</v>
      </c>
      <c r="F705" s="1">
        <v>38155</v>
      </c>
      <c r="G705" t="s">
        <v>1</v>
      </c>
      <c r="H705" s="1"/>
      <c r="I705" s="2">
        <v>-7008.39</v>
      </c>
      <c r="J705" s="2">
        <v>0</v>
      </c>
      <c r="K705" t="s">
        <v>171</v>
      </c>
      <c r="L705" t="s">
        <v>1</v>
      </c>
      <c r="M705" t="s">
        <v>364</v>
      </c>
      <c r="N705" s="2">
        <v>-7008.39</v>
      </c>
      <c r="O705" t="str">
        <f>IFERROR(VLOOKUP($A705,Accounts!$A:$G,3,FALSE),"")</f>
        <v/>
      </c>
    </row>
    <row r="706" spans="1:15" outlineLevel="2" x14ac:dyDescent="0.2">
      <c r="A706" t="str">
        <f t="shared" si="10"/>
        <v>2400020607994-358.8</v>
      </c>
      <c r="B706" t="s">
        <v>0</v>
      </c>
      <c r="C706" t="s">
        <v>13</v>
      </c>
      <c r="D706" t="s">
        <v>169</v>
      </c>
      <c r="E706" t="s">
        <v>929</v>
      </c>
      <c r="F706" s="1">
        <v>38125</v>
      </c>
      <c r="G706" t="s">
        <v>1</v>
      </c>
      <c r="H706" s="1"/>
      <c r="I706" s="2">
        <v>-358.8</v>
      </c>
      <c r="J706" s="2">
        <v>0</v>
      </c>
      <c r="K706" t="s">
        <v>171</v>
      </c>
      <c r="L706" t="s">
        <v>1</v>
      </c>
      <c r="M706" t="s">
        <v>364</v>
      </c>
      <c r="N706" s="2">
        <v>-358.8</v>
      </c>
      <c r="O706" t="str">
        <f>IFERROR(VLOOKUP($A706,Accounts!$A:$G,3,FALSE),"")</f>
        <v/>
      </c>
    </row>
    <row r="707" spans="1:15" outlineLevel="2" x14ac:dyDescent="0.2">
      <c r="A707" t="str">
        <f t="shared" si="10"/>
        <v>6555589947367.19</v>
      </c>
      <c r="B707" t="s">
        <v>0</v>
      </c>
      <c r="C707" t="s">
        <v>13</v>
      </c>
      <c r="D707" t="s">
        <v>169</v>
      </c>
      <c r="E707" t="s">
        <v>170</v>
      </c>
      <c r="F707" s="1">
        <v>38223</v>
      </c>
      <c r="G707" t="s">
        <v>1</v>
      </c>
      <c r="H707" s="1"/>
      <c r="I707" s="2">
        <v>7367.19</v>
      </c>
      <c r="J707" s="2">
        <v>0</v>
      </c>
      <c r="K707" t="s">
        <v>171</v>
      </c>
      <c r="L707" t="s">
        <v>1</v>
      </c>
      <c r="M707" t="s">
        <v>364</v>
      </c>
      <c r="N707" s="2">
        <v>7367.19</v>
      </c>
      <c r="O707" t="str">
        <f>IFERROR(VLOOKUP($A707,Accounts!$A:$G,3,FALSE),"")</f>
        <v/>
      </c>
    </row>
    <row r="708" spans="1:15" outlineLevel="2" x14ac:dyDescent="0.2">
      <c r="A708" t="str">
        <f t="shared" si="10"/>
        <v>1600000447994-1562.8</v>
      </c>
      <c r="B708" t="s">
        <v>0</v>
      </c>
      <c r="C708" t="s">
        <v>13</v>
      </c>
      <c r="D708" t="s">
        <v>100</v>
      </c>
      <c r="E708" t="s">
        <v>547</v>
      </c>
      <c r="F708" s="1">
        <v>43483</v>
      </c>
      <c r="G708" t="s">
        <v>1</v>
      </c>
      <c r="H708" s="1"/>
      <c r="I708" s="2">
        <v>-1562.8</v>
      </c>
      <c r="J708" s="2">
        <v>0</v>
      </c>
      <c r="K708" t="s">
        <v>474</v>
      </c>
      <c r="L708" t="s">
        <v>1</v>
      </c>
      <c r="M708" t="s">
        <v>364</v>
      </c>
      <c r="N708" s="2">
        <v>-1562.8</v>
      </c>
      <c r="O708" t="str">
        <f>IFERROR(VLOOKUP($A708,Accounts!$A:$G,3,FALSE),"")</f>
        <v/>
      </c>
    </row>
    <row r="709" spans="1:15" outlineLevel="2" x14ac:dyDescent="0.2">
      <c r="A709" t="str">
        <f t="shared" si="10"/>
        <v>1600000446994-402.89</v>
      </c>
      <c r="B709" t="s">
        <v>0</v>
      </c>
      <c r="C709" t="s">
        <v>13</v>
      </c>
      <c r="D709" t="s">
        <v>100</v>
      </c>
      <c r="E709" t="s">
        <v>548</v>
      </c>
      <c r="F709" s="1">
        <v>43483</v>
      </c>
      <c r="G709" t="s">
        <v>1</v>
      </c>
      <c r="H709" s="1"/>
      <c r="I709" s="2">
        <v>-402.89</v>
      </c>
      <c r="J709" s="2">
        <v>0</v>
      </c>
      <c r="K709" t="s">
        <v>474</v>
      </c>
      <c r="L709" t="s">
        <v>1</v>
      </c>
      <c r="M709" t="s">
        <v>364</v>
      </c>
      <c r="N709" s="2">
        <v>-402.89</v>
      </c>
      <c r="O709" t="str">
        <f>IFERROR(VLOOKUP($A709,Accounts!$A:$G,3,FALSE),"")</f>
        <v/>
      </c>
    </row>
    <row r="710" spans="1:15" outlineLevel="2" x14ac:dyDescent="0.2">
      <c r="A710" t="str">
        <f t="shared" si="10"/>
        <v>1600000448994-4718.42</v>
      </c>
      <c r="B710" t="s">
        <v>0</v>
      </c>
      <c r="C710" t="s">
        <v>13</v>
      </c>
      <c r="D710" t="s">
        <v>100</v>
      </c>
      <c r="E710" t="s">
        <v>549</v>
      </c>
      <c r="F710" s="1">
        <v>43483</v>
      </c>
      <c r="G710" t="s">
        <v>1</v>
      </c>
      <c r="H710" s="1"/>
      <c r="I710" s="2">
        <v>-4718.42</v>
      </c>
      <c r="J710" s="2">
        <v>0</v>
      </c>
      <c r="K710" t="s">
        <v>474</v>
      </c>
      <c r="L710" t="s">
        <v>1</v>
      </c>
      <c r="M710" t="s">
        <v>364</v>
      </c>
      <c r="N710" s="2">
        <v>-4718.42</v>
      </c>
      <c r="O710" t="str">
        <f>IFERROR(VLOOKUP($A710,Accounts!$A:$G,3,FALSE),"")</f>
        <v/>
      </c>
    </row>
    <row r="711" spans="1:15" outlineLevel="2" x14ac:dyDescent="0.2">
      <c r="A711" t="str">
        <f t="shared" si="10"/>
        <v>60219799415916.8</v>
      </c>
      <c r="B711" t="s">
        <v>0</v>
      </c>
      <c r="C711" t="s">
        <v>13</v>
      </c>
      <c r="D711" t="s">
        <v>95</v>
      </c>
      <c r="E711" t="s">
        <v>96</v>
      </c>
      <c r="F711" s="1">
        <v>39223</v>
      </c>
      <c r="G711" t="s">
        <v>1</v>
      </c>
      <c r="H711" s="1"/>
      <c r="I711" s="2">
        <v>15916.8</v>
      </c>
      <c r="J711" s="2">
        <v>0</v>
      </c>
      <c r="K711" t="s">
        <v>177</v>
      </c>
      <c r="L711" t="s">
        <v>1</v>
      </c>
      <c r="M711" t="s">
        <v>364</v>
      </c>
      <c r="N711" s="2">
        <v>15916.8</v>
      </c>
      <c r="O711" t="str">
        <f>IFERROR(VLOOKUP($A711,Accounts!$A:$G,3,FALSE),"")</f>
        <v/>
      </c>
    </row>
    <row r="712" spans="1:15" outlineLevel="2" x14ac:dyDescent="0.2">
      <c r="A712" t="str">
        <f t="shared" si="10"/>
        <v>600550994-2870.3</v>
      </c>
      <c r="B712" t="s">
        <v>0</v>
      </c>
      <c r="C712" t="s">
        <v>13</v>
      </c>
      <c r="D712" t="s">
        <v>95</v>
      </c>
      <c r="E712" t="s">
        <v>648</v>
      </c>
      <c r="F712" s="1">
        <v>43496</v>
      </c>
      <c r="G712" t="s">
        <v>1</v>
      </c>
      <c r="H712" s="1"/>
      <c r="I712" s="2">
        <v>-2870.3</v>
      </c>
      <c r="J712" s="2">
        <v>0</v>
      </c>
      <c r="K712" t="s">
        <v>474</v>
      </c>
      <c r="L712" t="s">
        <v>1</v>
      </c>
      <c r="M712" t="s">
        <v>364</v>
      </c>
      <c r="N712" s="2">
        <v>-2870.3</v>
      </c>
      <c r="O712" t="str">
        <f>IFERROR(VLOOKUP($A712,Accounts!$A:$G,3,FALSE),"")</f>
        <v/>
      </c>
    </row>
    <row r="713" spans="1:15" outlineLevel="2" x14ac:dyDescent="0.2">
      <c r="A713" t="str">
        <f t="shared" si="10"/>
        <v>6005509941390.58</v>
      </c>
      <c r="B713" t="s">
        <v>0</v>
      </c>
      <c r="C713" t="s">
        <v>13</v>
      </c>
      <c r="D713" t="s">
        <v>95</v>
      </c>
      <c r="E713" t="s">
        <v>648</v>
      </c>
      <c r="F713" s="1">
        <v>43496</v>
      </c>
      <c r="G713" t="s">
        <v>1</v>
      </c>
      <c r="H713" s="1"/>
      <c r="I713" s="2">
        <v>1390.58</v>
      </c>
      <c r="J713" s="2">
        <v>0</v>
      </c>
      <c r="K713" t="s">
        <v>474</v>
      </c>
      <c r="L713" t="s">
        <v>1</v>
      </c>
      <c r="M713" t="s">
        <v>364</v>
      </c>
      <c r="N713" s="2">
        <v>1390.58</v>
      </c>
      <c r="O713" t="str">
        <f>IFERROR(VLOOKUP($A713,Accounts!$A:$G,3,FALSE),"")</f>
        <v/>
      </c>
    </row>
    <row r="714" spans="1:15" outlineLevel="2" x14ac:dyDescent="0.2">
      <c r="A714" t="str">
        <f t="shared" ref="A714:A777" si="11">IFERROR(IF(J714=0,E714&amp;C714&amp;I714,G714&amp;B714&amp;J714),"")</f>
        <v>600489994-2258</v>
      </c>
      <c r="B714" t="s">
        <v>0</v>
      </c>
      <c r="C714" t="s">
        <v>13</v>
      </c>
      <c r="D714" t="s">
        <v>95</v>
      </c>
      <c r="E714" t="s">
        <v>657</v>
      </c>
      <c r="F714" s="1">
        <v>43495</v>
      </c>
      <c r="G714" t="s">
        <v>1</v>
      </c>
      <c r="H714" s="1"/>
      <c r="I714" s="2">
        <v>-2258</v>
      </c>
      <c r="J714" s="2">
        <v>0</v>
      </c>
      <c r="K714" t="s">
        <v>474</v>
      </c>
      <c r="L714" t="s">
        <v>1</v>
      </c>
      <c r="M714" t="s">
        <v>364</v>
      </c>
      <c r="N714" s="2">
        <v>-2258</v>
      </c>
      <c r="O714" t="str">
        <f>IFERROR(VLOOKUP($A714,Accounts!$A:$G,3,FALSE),"")</f>
        <v/>
      </c>
    </row>
    <row r="715" spans="1:15" outlineLevel="2" x14ac:dyDescent="0.2">
      <c r="A715" t="str">
        <f t="shared" si="11"/>
        <v>600550994-64.16</v>
      </c>
      <c r="B715" t="s">
        <v>0</v>
      </c>
      <c r="C715" t="s">
        <v>13</v>
      </c>
      <c r="D715" t="s">
        <v>95</v>
      </c>
      <c r="E715" t="s">
        <v>648</v>
      </c>
      <c r="F715" s="1">
        <v>43496</v>
      </c>
      <c r="G715" t="s">
        <v>1</v>
      </c>
      <c r="H715" s="1"/>
      <c r="I715" s="2">
        <v>-64.16</v>
      </c>
      <c r="J715" s="2">
        <v>0</v>
      </c>
      <c r="K715" t="s">
        <v>474</v>
      </c>
      <c r="L715" t="s">
        <v>1</v>
      </c>
      <c r="M715" t="s">
        <v>364</v>
      </c>
      <c r="N715" s="2">
        <v>-64.16</v>
      </c>
      <c r="O715" t="str">
        <f>IFERROR(VLOOKUP($A715,Accounts!$A:$G,3,FALSE),"")</f>
        <v/>
      </c>
    </row>
    <row r="716" spans="1:15" outlineLevel="2" x14ac:dyDescent="0.2">
      <c r="A716" t="str">
        <f t="shared" si="11"/>
        <v>14100801129943470.79</v>
      </c>
      <c r="B716" t="s">
        <v>0</v>
      </c>
      <c r="C716" t="s">
        <v>13</v>
      </c>
      <c r="D716" t="s">
        <v>178</v>
      </c>
      <c r="E716" t="s">
        <v>930</v>
      </c>
      <c r="F716" s="1">
        <v>38200</v>
      </c>
      <c r="G716" t="s">
        <v>1</v>
      </c>
      <c r="H716" s="1"/>
      <c r="I716" s="2">
        <v>3470.79</v>
      </c>
      <c r="J716" s="2">
        <v>0</v>
      </c>
      <c r="K716" t="s">
        <v>171</v>
      </c>
      <c r="L716" t="s">
        <v>1</v>
      </c>
      <c r="M716" t="s">
        <v>364</v>
      </c>
      <c r="N716" s="2">
        <v>3470.79</v>
      </c>
      <c r="O716" t="str">
        <f>IFERROR(VLOOKUP($A716,Accounts!$A:$G,3,FALSE),"")</f>
        <v/>
      </c>
    </row>
    <row r="717" spans="1:15" outlineLevel="2" x14ac:dyDescent="0.2">
      <c r="A717" t="str">
        <f t="shared" si="11"/>
        <v>141008042299450.96</v>
      </c>
      <c r="B717" t="s">
        <v>0</v>
      </c>
      <c r="C717" t="s">
        <v>13</v>
      </c>
      <c r="D717" t="s">
        <v>178</v>
      </c>
      <c r="E717" t="s">
        <v>931</v>
      </c>
      <c r="F717" s="1">
        <v>38200</v>
      </c>
      <c r="G717" t="s">
        <v>1</v>
      </c>
      <c r="H717" s="1"/>
      <c r="I717" s="2">
        <v>50.96</v>
      </c>
      <c r="J717" s="2">
        <v>0</v>
      </c>
      <c r="K717" t="s">
        <v>171</v>
      </c>
      <c r="L717" t="s">
        <v>1</v>
      </c>
      <c r="M717" t="s">
        <v>364</v>
      </c>
      <c r="N717" s="2">
        <v>50.96</v>
      </c>
      <c r="O717" t="str">
        <f>IFERROR(VLOOKUP($A717,Accounts!$A:$G,3,FALSE),"")</f>
        <v/>
      </c>
    </row>
    <row r="718" spans="1:15" outlineLevel="2" x14ac:dyDescent="0.2">
      <c r="A718" t="str">
        <f t="shared" si="11"/>
        <v>14100806769942348.92</v>
      </c>
      <c r="B718" t="s">
        <v>0</v>
      </c>
      <c r="C718" t="s">
        <v>13</v>
      </c>
      <c r="D718" t="s">
        <v>178</v>
      </c>
      <c r="E718" t="s">
        <v>932</v>
      </c>
      <c r="F718" s="1">
        <v>38200</v>
      </c>
      <c r="G718" t="s">
        <v>1</v>
      </c>
      <c r="H718" s="1"/>
      <c r="I718" s="2">
        <v>2348.92</v>
      </c>
      <c r="J718" s="2">
        <v>0</v>
      </c>
      <c r="K718" t="s">
        <v>171</v>
      </c>
      <c r="L718" t="s">
        <v>1</v>
      </c>
      <c r="M718" t="s">
        <v>364</v>
      </c>
      <c r="N718" s="2">
        <v>2348.92</v>
      </c>
      <c r="O718" t="str">
        <f>IFERROR(VLOOKUP($A718,Accounts!$A:$G,3,FALSE),"")</f>
        <v/>
      </c>
    </row>
    <row r="719" spans="1:15" outlineLevel="2" x14ac:dyDescent="0.2">
      <c r="A719" t="str">
        <f t="shared" si="11"/>
        <v>14100809949941003.59</v>
      </c>
      <c r="B719" t="s">
        <v>0</v>
      </c>
      <c r="C719" t="s">
        <v>13</v>
      </c>
      <c r="D719" t="s">
        <v>178</v>
      </c>
      <c r="E719" t="s">
        <v>933</v>
      </c>
      <c r="F719" s="1">
        <v>38200</v>
      </c>
      <c r="G719" t="s">
        <v>1</v>
      </c>
      <c r="H719" s="1"/>
      <c r="I719" s="2">
        <v>1003.59</v>
      </c>
      <c r="J719" s="2">
        <v>0</v>
      </c>
      <c r="K719" t="s">
        <v>171</v>
      </c>
      <c r="L719" t="s">
        <v>1</v>
      </c>
      <c r="M719" t="s">
        <v>364</v>
      </c>
      <c r="N719" s="2">
        <v>1003.59</v>
      </c>
      <c r="O719" t="str">
        <f>IFERROR(VLOOKUP($A719,Accounts!$A:$G,3,FALSE),"")</f>
        <v/>
      </c>
    </row>
    <row r="720" spans="1:15" outlineLevel="2" x14ac:dyDescent="0.2">
      <c r="A720" t="str">
        <f t="shared" si="11"/>
        <v>14100803919941722.24</v>
      </c>
      <c r="B720" t="s">
        <v>0</v>
      </c>
      <c r="C720" t="s">
        <v>13</v>
      </c>
      <c r="D720" t="s">
        <v>178</v>
      </c>
      <c r="E720" t="s">
        <v>934</v>
      </c>
      <c r="F720" s="1">
        <v>38200</v>
      </c>
      <c r="G720" t="s">
        <v>1</v>
      </c>
      <c r="H720" s="1"/>
      <c r="I720" s="2">
        <v>1722.24</v>
      </c>
      <c r="J720" s="2">
        <v>0</v>
      </c>
      <c r="K720" t="s">
        <v>171</v>
      </c>
      <c r="L720" t="s">
        <v>1</v>
      </c>
      <c r="M720" t="s">
        <v>364</v>
      </c>
      <c r="N720" s="2">
        <v>1722.24</v>
      </c>
      <c r="O720" t="str">
        <f>IFERROR(VLOOKUP($A720,Accounts!$A:$G,3,FALSE),"")</f>
        <v/>
      </c>
    </row>
    <row r="721" spans="1:15" outlineLevel="2" x14ac:dyDescent="0.2">
      <c r="A721" t="str">
        <f t="shared" si="11"/>
        <v>1410080381994108.19</v>
      </c>
      <c r="B721" t="s">
        <v>0</v>
      </c>
      <c r="C721" t="s">
        <v>13</v>
      </c>
      <c r="D721" t="s">
        <v>178</v>
      </c>
      <c r="E721" t="s">
        <v>935</v>
      </c>
      <c r="F721" s="1">
        <v>38200</v>
      </c>
      <c r="G721" t="s">
        <v>1</v>
      </c>
      <c r="H721" s="1"/>
      <c r="I721" s="2">
        <v>108.19</v>
      </c>
      <c r="J721" s="2">
        <v>0</v>
      </c>
      <c r="K721" t="s">
        <v>171</v>
      </c>
      <c r="L721" t="s">
        <v>1</v>
      </c>
      <c r="M721" t="s">
        <v>364</v>
      </c>
      <c r="N721" s="2">
        <v>108.19</v>
      </c>
      <c r="O721" t="str">
        <f>IFERROR(VLOOKUP($A721,Accounts!$A:$G,3,FALSE),"")</f>
        <v/>
      </c>
    </row>
    <row r="722" spans="1:15" outlineLevel="2" x14ac:dyDescent="0.2">
      <c r="A722" t="str">
        <f t="shared" si="11"/>
        <v>14100804239942944.22</v>
      </c>
      <c r="B722" t="s">
        <v>0</v>
      </c>
      <c r="C722" t="s">
        <v>13</v>
      </c>
      <c r="D722" t="s">
        <v>178</v>
      </c>
      <c r="E722" t="s">
        <v>936</v>
      </c>
      <c r="F722" s="1">
        <v>38200</v>
      </c>
      <c r="G722" t="s">
        <v>1</v>
      </c>
      <c r="H722" s="1"/>
      <c r="I722" s="2">
        <v>2944.22</v>
      </c>
      <c r="J722" s="2">
        <v>0</v>
      </c>
      <c r="K722" t="s">
        <v>171</v>
      </c>
      <c r="L722" t="s">
        <v>1</v>
      </c>
      <c r="M722" t="s">
        <v>364</v>
      </c>
      <c r="N722" s="2">
        <v>2944.22</v>
      </c>
      <c r="O722" t="str">
        <f>IFERROR(VLOOKUP($A722,Accounts!$A:$G,3,FALSE),"")</f>
        <v/>
      </c>
    </row>
    <row r="723" spans="1:15" outlineLevel="2" x14ac:dyDescent="0.2">
      <c r="A723" t="str">
        <f t="shared" si="11"/>
        <v>14100804469942545.89</v>
      </c>
      <c r="B723" t="s">
        <v>0</v>
      </c>
      <c r="C723" t="s">
        <v>13</v>
      </c>
      <c r="D723" t="s">
        <v>178</v>
      </c>
      <c r="E723" t="s">
        <v>937</v>
      </c>
      <c r="F723" s="1">
        <v>38200</v>
      </c>
      <c r="G723" t="s">
        <v>1</v>
      </c>
      <c r="H723" s="1"/>
      <c r="I723" s="2">
        <v>2545.89</v>
      </c>
      <c r="J723" s="2">
        <v>0</v>
      </c>
      <c r="K723" t="s">
        <v>171</v>
      </c>
      <c r="L723" t="s">
        <v>1</v>
      </c>
      <c r="M723" t="s">
        <v>364</v>
      </c>
      <c r="N723" s="2">
        <v>2545.89</v>
      </c>
      <c r="O723" t="str">
        <f>IFERROR(VLOOKUP($A723,Accounts!$A:$G,3,FALSE),"")</f>
        <v/>
      </c>
    </row>
    <row r="724" spans="1:15" outlineLevel="2" x14ac:dyDescent="0.2">
      <c r="A724" t="str">
        <f t="shared" si="11"/>
        <v>14100807139944305.62</v>
      </c>
      <c r="B724" t="s">
        <v>0</v>
      </c>
      <c r="C724" t="s">
        <v>13</v>
      </c>
      <c r="D724" t="s">
        <v>178</v>
      </c>
      <c r="E724" t="s">
        <v>938</v>
      </c>
      <c r="F724" s="1">
        <v>38200</v>
      </c>
      <c r="G724" t="s">
        <v>1</v>
      </c>
      <c r="H724" s="1"/>
      <c r="I724" s="2">
        <v>4305.62</v>
      </c>
      <c r="J724" s="2">
        <v>0</v>
      </c>
      <c r="K724" t="s">
        <v>171</v>
      </c>
      <c r="L724" t="s">
        <v>1</v>
      </c>
      <c r="M724" t="s">
        <v>364</v>
      </c>
      <c r="N724" s="2">
        <v>4305.62</v>
      </c>
      <c r="O724" t="str">
        <f>IFERROR(VLOOKUP($A724,Accounts!$A:$G,3,FALSE),"")</f>
        <v/>
      </c>
    </row>
    <row r="725" spans="1:15" outlineLevel="2" x14ac:dyDescent="0.2">
      <c r="A725" t="str">
        <f t="shared" si="11"/>
        <v>14100804509941013.38</v>
      </c>
      <c r="B725" t="s">
        <v>0</v>
      </c>
      <c r="C725" t="s">
        <v>13</v>
      </c>
      <c r="D725" t="s">
        <v>178</v>
      </c>
      <c r="E725" t="s">
        <v>939</v>
      </c>
      <c r="F725" s="1">
        <v>38200</v>
      </c>
      <c r="G725" t="s">
        <v>1</v>
      </c>
      <c r="H725" s="1"/>
      <c r="I725" s="2">
        <v>1013.38</v>
      </c>
      <c r="J725" s="2">
        <v>0</v>
      </c>
      <c r="K725" t="s">
        <v>171</v>
      </c>
      <c r="L725" t="s">
        <v>1</v>
      </c>
      <c r="M725" t="s">
        <v>364</v>
      </c>
      <c r="N725" s="2">
        <v>1013.38</v>
      </c>
      <c r="O725" t="str">
        <f>IFERROR(VLOOKUP($A725,Accounts!$A:$G,3,FALSE),"")</f>
        <v/>
      </c>
    </row>
    <row r="726" spans="1:15" outlineLevel="2" x14ac:dyDescent="0.2">
      <c r="A726" t="str">
        <f t="shared" si="11"/>
        <v>14100804249942938.95</v>
      </c>
      <c r="B726" t="s">
        <v>0</v>
      </c>
      <c r="C726" t="s">
        <v>13</v>
      </c>
      <c r="D726" t="s">
        <v>178</v>
      </c>
      <c r="E726" t="s">
        <v>940</v>
      </c>
      <c r="F726" s="1">
        <v>38200</v>
      </c>
      <c r="G726" t="s">
        <v>1</v>
      </c>
      <c r="H726" s="1"/>
      <c r="I726" s="2">
        <v>2938.95</v>
      </c>
      <c r="J726" s="2">
        <v>0</v>
      </c>
      <c r="K726" t="s">
        <v>171</v>
      </c>
      <c r="L726" t="s">
        <v>1</v>
      </c>
      <c r="M726" t="s">
        <v>364</v>
      </c>
      <c r="N726" s="2">
        <v>2938.95</v>
      </c>
      <c r="O726" t="str">
        <f>IFERROR(VLOOKUP($A726,Accounts!$A:$G,3,FALSE),"")</f>
        <v/>
      </c>
    </row>
    <row r="727" spans="1:15" outlineLevel="2" x14ac:dyDescent="0.2">
      <c r="A727" t="str">
        <f t="shared" si="11"/>
        <v>14100804709941976.31</v>
      </c>
      <c r="B727" t="s">
        <v>0</v>
      </c>
      <c r="C727" t="s">
        <v>13</v>
      </c>
      <c r="D727" t="s">
        <v>178</v>
      </c>
      <c r="E727" t="s">
        <v>941</v>
      </c>
      <c r="F727" s="1">
        <v>38200</v>
      </c>
      <c r="G727" t="s">
        <v>1</v>
      </c>
      <c r="H727" s="1"/>
      <c r="I727" s="2">
        <v>1976.31</v>
      </c>
      <c r="J727" s="2">
        <v>0</v>
      </c>
      <c r="K727" t="s">
        <v>171</v>
      </c>
      <c r="L727" t="s">
        <v>1</v>
      </c>
      <c r="M727" t="s">
        <v>364</v>
      </c>
      <c r="N727" s="2">
        <v>1976.31</v>
      </c>
      <c r="O727" t="str">
        <f>IFERROR(VLOOKUP($A727,Accounts!$A:$G,3,FALSE),"")</f>
        <v/>
      </c>
    </row>
    <row r="728" spans="1:15" outlineLevel="2" x14ac:dyDescent="0.2">
      <c r="A728" t="str">
        <f t="shared" si="11"/>
        <v>1410080330994228.97</v>
      </c>
      <c r="B728" t="s">
        <v>0</v>
      </c>
      <c r="C728" t="s">
        <v>13</v>
      </c>
      <c r="D728" t="s">
        <v>178</v>
      </c>
      <c r="E728" t="s">
        <v>942</v>
      </c>
      <c r="F728" s="1">
        <v>38200</v>
      </c>
      <c r="G728" t="s">
        <v>1</v>
      </c>
      <c r="H728" s="1"/>
      <c r="I728" s="2">
        <v>228.97</v>
      </c>
      <c r="J728" s="2">
        <v>0</v>
      </c>
      <c r="K728" t="s">
        <v>171</v>
      </c>
      <c r="L728" t="s">
        <v>1</v>
      </c>
      <c r="M728" t="s">
        <v>364</v>
      </c>
      <c r="N728" s="2">
        <v>228.97</v>
      </c>
      <c r="O728" t="str">
        <f>IFERROR(VLOOKUP($A728,Accounts!$A:$G,3,FALSE),"")</f>
        <v/>
      </c>
    </row>
    <row r="729" spans="1:15" outlineLevel="2" x14ac:dyDescent="0.2">
      <c r="A729" t="str">
        <f t="shared" si="11"/>
        <v>14100803299941589.52</v>
      </c>
      <c r="B729" t="s">
        <v>0</v>
      </c>
      <c r="C729" t="s">
        <v>13</v>
      </c>
      <c r="D729" t="s">
        <v>178</v>
      </c>
      <c r="E729" t="s">
        <v>943</v>
      </c>
      <c r="F729" s="1">
        <v>38200</v>
      </c>
      <c r="G729" t="s">
        <v>1</v>
      </c>
      <c r="H729" s="1"/>
      <c r="I729" s="2">
        <v>1589.52</v>
      </c>
      <c r="J729" s="2">
        <v>0</v>
      </c>
      <c r="K729" t="s">
        <v>171</v>
      </c>
      <c r="L729" t="s">
        <v>1</v>
      </c>
      <c r="M729" t="s">
        <v>364</v>
      </c>
      <c r="N729" s="2">
        <v>1589.52</v>
      </c>
      <c r="O729" t="str">
        <f>IFERROR(VLOOKUP($A729,Accounts!$A:$G,3,FALSE),"")</f>
        <v/>
      </c>
    </row>
    <row r="730" spans="1:15" outlineLevel="2" x14ac:dyDescent="0.2">
      <c r="A730" t="str">
        <f t="shared" si="11"/>
        <v>1410080995994455.66</v>
      </c>
      <c r="B730" t="s">
        <v>0</v>
      </c>
      <c r="C730" t="s">
        <v>13</v>
      </c>
      <c r="D730" t="s">
        <v>178</v>
      </c>
      <c r="E730" t="s">
        <v>944</v>
      </c>
      <c r="F730" s="1">
        <v>38200</v>
      </c>
      <c r="G730" t="s">
        <v>1</v>
      </c>
      <c r="H730" s="1"/>
      <c r="I730" s="2">
        <v>455.66</v>
      </c>
      <c r="J730" s="2">
        <v>0</v>
      </c>
      <c r="K730" t="s">
        <v>171</v>
      </c>
      <c r="L730" t="s">
        <v>1</v>
      </c>
      <c r="M730" t="s">
        <v>364</v>
      </c>
      <c r="N730" s="2">
        <v>455.66</v>
      </c>
      <c r="O730" t="str">
        <f>IFERROR(VLOOKUP($A730,Accounts!$A:$G,3,FALSE),"")</f>
        <v/>
      </c>
    </row>
    <row r="731" spans="1:15" outlineLevel="2" x14ac:dyDescent="0.2">
      <c r="A731" t="str">
        <f t="shared" si="11"/>
        <v>1410081106994290.35</v>
      </c>
      <c r="B731" t="s">
        <v>0</v>
      </c>
      <c r="C731" t="s">
        <v>13</v>
      </c>
      <c r="D731" t="s">
        <v>178</v>
      </c>
      <c r="E731" t="s">
        <v>945</v>
      </c>
      <c r="F731" s="1">
        <v>38200</v>
      </c>
      <c r="G731" t="s">
        <v>1</v>
      </c>
      <c r="H731" s="1"/>
      <c r="I731" s="2">
        <v>290.35000000000002</v>
      </c>
      <c r="J731" s="2">
        <v>0</v>
      </c>
      <c r="K731" t="s">
        <v>171</v>
      </c>
      <c r="L731" t="s">
        <v>1</v>
      </c>
      <c r="M731" t="s">
        <v>364</v>
      </c>
      <c r="N731" s="2">
        <v>290.35000000000002</v>
      </c>
      <c r="O731" t="str">
        <f>IFERROR(VLOOKUP($A731,Accounts!$A:$G,3,FALSE),"")</f>
        <v/>
      </c>
    </row>
    <row r="732" spans="1:15" outlineLevel="2" x14ac:dyDescent="0.2">
      <c r="A732" t="str">
        <f t="shared" si="11"/>
        <v>14100811079941873.52</v>
      </c>
      <c r="B732" t="s">
        <v>0</v>
      </c>
      <c r="C732" t="s">
        <v>13</v>
      </c>
      <c r="D732" t="s">
        <v>178</v>
      </c>
      <c r="E732" t="s">
        <v>946</v>
      </c>
      <c r="F732" s="1">
        <v>38200</v>
      </c>
      <c r="G732" t="s">
        <v>1</v>
      </c>
      <c r="H732" s="1"/>
      <c r="I732" s="2">
        <v>1873.52</v>
      </c>
      <c r="J732" s="2">
        <v>0</v>
      </c>
      <c r="K732" t="s">
        <v>171</v>
      </c>
      <c r="L732" t="s">
        <v>1</v>
      </c>
      <c r="M732" t="s">
        <v>364</v>
      </c>
      <c r="N732" s="2">
        <v>1873.52</v>
      </c>
      <c r="O732" t="str">
        <f>IFERROR(VLOOKUP($A732,Accounts!$A:$G,3,FALSE),"")</f>
        <v/>
      </c>
    </row>
    <row r="733" spans="1:15" outlineLevel="2" x14ac:dyDescent="0.2">
      <c r="A733" t="str">
        <f t="shared" si="11"/>
        <v>655558994-35875.65</v>
      </c>
      <c r="B733" t="s">
        <v>0</v>
      </c>
      <c r="C733" t="s">
        <v>13</v>
      </c>
      <c r="D733" t="s">
        <v>178</v>
      </c>
      <c r="E733" t="s">
        <v>170</v>
      </c>
      <c r="F733" s="1">
        <v>38223</v>
      </c>
      <c r="G733" t="s">
        <v>1</v>
      </c>
      <c r="H733" s="1"/>
      <c r="I733" s="2">
        <v>-35875.65</v>
      </c>
      <c r="J733" s="2">
        <v>0</v>
      </c>
      <c r="K733" t="s">
        <v>171</v>
      </c>
      <c r="L733" t="s">
        <v>1</v>
      </c>
      <c r="M733" t="s">
        <v>364</v>
      </c>
      <c r="N733" s="2">
        <v>-35875.65</v>
      </c>
      <c r="O733" t="str">
        <f>IFERROR(VLOOKUP($A733,Accounts!$A:$G,3,FALSE),"")</f>
        <v/>
      </c>
    </row>
    <row r="734" spans="1:15" outlineLevel="2" x14ac:dyDescent="0.2">
      <c r="A734" t="str">
        <f t="shared" si="11"/>
        <v>14100805619946005.75</v>
      </c>
      <c r="B734" t="s">
        <v>0</v>
      </c>
      <c r="C734" t="s">
        <v>13</v>
      </c>
      <c r="D734" t="s">
        <v>178</v>
      </c>
      <c r="E734" t="s">
        <v>947</v>
      </c>
      <c r="F734" s="1">
        <v>38200</v>
      </c>
      <c r="G734" t="s">
        <v>1</v>
      </c>
      <c r="H734" s="1"/>
      <c r="I734" s="2">
        <v>6005.75</v>
      </c>
      <c r="J734" s="2">
        <v>0</v>
      </c>
      <c r="K734" t="s">
        <v>171</v>
      </c>
      <c r="L734" t="s">
        <v>1</v>
      </c>
      <c r="M734" t="s">
        <v>364</v>
      </c>
      <c r="N734" s="2">
        <v>6005.75</v>
      </c>
      <c r="O734" t="str">
        <f>IFERROR(VLOOKUP($A734,Accounts!$A:$G,3,FALSE),"")</f>
        <v/>
      </c>
    </row>
    <row r="735" spans="1:15" outlineLevel="2" x14ac:dyDescent="0.2">
      <c r="A735" t="str">
        <f t="shared" si="11"/>
        <v>141008054199493.92</v>
      </c>
      <c r="B735" t="s">
        <v>0</v>
      </c>
      <c r="C735" t="s">
        <v>13</v>
      </c>
      <c r="D735" t="s">
        <v>178</v>
      </c>
      <c r="E735" t="s">
        <v>948</v>
      </c>
      <c r="F735" s="1">
        <v>38200</v>
      </c>
      <c r="G735" t="s">
        <v>1</v>
      </c>
      <c r="H735" s="1"/>
      <c r="I735" s="2">
        <v>93.92</v>
      </c>
      <c r="J735" s="2">
        <v>0</v>
      </c>
      <c r="K735" t="s">
        <v>171</v>
      </c>
      <c r="L735" t="s">
        <v>1</v>
      </c>
      <c r="M735" t="s">
        <v>364</v>
      </c>
      <c r="N735" s="2">
        <v>93.92</v>
      </c>
      <c r="O735" t="str">
        <f>IFERROR(VLOOKUP($A735,Accounts!$A:$G,3,FALSE),"")</f>
        <v/>
      </c>
    </row>
    <row r="736" spans="1:15" outlineLevel="2" x14ac:dyDescent="0.2">
      <c r="A736" t="str">
        <f t="shared" si="11"/>
        <v>1410080876994355.27</v>
      </c>
      <c r="B736" t="s">
        <v>0</v>
      </c>
      <c r="C736" t="s">
        <v>13</v>
      </c>
      <c r="D736" t="s">
        <v>178</v>
      </c>
      <c r="E736" t="s">
        <v>949</v>
      </c>
      <c r="F736" s="1">
        <v>38200</v>
      </c>
      <c r="G736" t="s">
        <v>1</v>
      </c>
      <c r="H736" s="1"/>
      <c r="I736" s="2">
        <v>355.27</v>
      </c>
      <c r="J736" s="2">
        <v>0</v>
      </c>
      <c r="K736" t="s">
        <v>171</v>
      </c>
      <c r="L736" t="s">
        <v>1</v>
      </c>
      <c r="M736" t="s">
        <v>364</v>
      </c>
      <c r="N736" s="2">
        <v>355.27</v>
      </c>
      <c r="O736" t="str">
        <f>IFERROR(VLOOKUP($A736,Accounts!$A:$G,3,FALSE),"")</f>
        <v/>
      </c>
    </row>
    <row r="737" spans="1:15" outlineLevel="2" x14ac:dyDescent="0.2">
      <c r="A737" t="str">
        <f t="shared" si="11"/>
        <v>1410080877994553.63</v>
      </c>
      <c r="B737" t="s">
        <v>0</v>
      </c>
      <c r="C737" t="s">
        <v>13</v>
      </c>
      <c r="D737" t="s">
        <v>178</v>
      </c>
      <c r="E737" t="s">
        <v>950</v>
      </c>
      <c r="F737" s="1">
        <v>38200</v>
      </c>
      <c r="G737" t="s">
        <v>1</v>
      </c>
      <c r="H737" s="1"/>
      <c r="I737" s="2">
        <v>553.63</v>
      </c>
      <c r="J737" s="2">
        <v>0</v>
      </c>
      <c r="K737" t="s">
        <v>171</v>
      </c>
      <c r="L737" t="s">
        <v>1</v>
      </c>
      <c r="M737" t="s">
        <v>364</v>
      </c>
      <c r="N737" s="2">
        <v>553.63</v>
      </c>
      <c r="O737" t="str">
        <f>IFERROR(VLOOKUP($A737,Accounts!$A:$G,3,FALSE),"")</f>
        <v/>
      </c>
    </row>
    <row r="738" spans="1:15" outlineLevel="2" x14ac:dyDescent="0.2">
      <c r="A738" t="str">
        <f t="shared" si="11"/>
        <v>29000019499964.16</v>
      </c>
      <c r="B738" t="s">
        <v>0</v>
      </c>
      <c r="C738" t="s">
        <v>13</v>
      </c>
      <c r="D738" t="s">
        <v>99</v>
      </c>
      <c r="E738" t="s">
        <v>1</v>
      </c>
      <c r="F738" s="1"/>
      <c r="G738" t="s">
        <v>553</v>
      </c>
      <c r="H738" s="1">
        <v>43494</v>
      </c>
      <c r="I738" s="2">
        <v>0</v>
      </c>
      <c r="J738" s="2">
        <v>64.16</v>
      </c>
      <c r="K738" t="s">
        <v>1</v>
      </c>
      <c r="L738" t="s">
        <v>474</v>
      </c>
      <c r="M738" t="s">
        <v>364</v>
      </c>
      <c r="N738" s="2">
        <v>64.16</v>
      </c>
      <c r="O738" t="str">
        <f>IFERROR(VLOOKUP($A738,Accounts!$A:$G,3,FALSE),"")</f>
        <v/>
      </c>
    </row>
    <row r="739" spans="1:15" outlineLevel="2" x14ac:dyDescent="0.2">
      <c r="A739" t="str">
        <f t="shared" si="11"/>
        <v>2900001948992870.3</v>
      </c>
      <c r="B739" t="s">
        <v>0</v>
      </c>
      <c r="C739" t="s">
        <v>13</v>
      </c>
      <c r="D739" t="s">
        <v>99</v>
      </c>
      <c r="E739" t="s">
        <v>1</v>
      </c>
      <c r="F739" s="1"/>
      <c r="G739" t="s">
        <v>554</v>
      </c>
      <c r="H739" s="1">
        <v>43494</v>
      </c>
      <c r="I739" s="2">
        <v>0</v>
      </c>
      <c r="J739" s="2">
        <v>2870.3</v>
      </c>
      <c r="K739" t="s">
        <v>1</v>
      </c>
      <c r="L739" t="s">
        <v>474</v>
      </c>
      <c r="M739" t="s">
        <v>364</v>
      </c>
      <c r="N739" s="2">
        <v>2870.3</v>
      </c>
      <c r="O739" t="str">
        <f>IFERROR(VLOOKUP($A739,Accounts!$A:$G,3,FALSE),"")</f>
        <v/>
      </c>
    </row>
    <row r="740" spans="1:15" outlineLevel="2" x14ac:dyDescent="0.2">
      <c r="A740" t="str">
        <f t="shared" si="11"/>
        <v>290000195899-1390.58</v>
      </c>
      <c r="B740" t="s">
        <v>0</v>
      </c>
      <c r="C740" t="s">
        <v>13</v>
      </c>
      <c r="D740" t="s">
        <v>99</v>
      </c>
      <c r="E740" t="s">
        <v>1</v>
      </c>
      <c r="F740" s="1"/>
      <c r="G740" t="s">
        <v>555</v>
      </c>
      <c r="H740" s="1">
        <v>43494</v>
      </c>
      <c r="I740" s="2">
        <v>0</v>
      </c>
      <c r="J740" s="2">
        <v>-1390.58</v>
      </c>
      <c r="K740" t="s">
        <v>1</v>
      </c>
      <c r="L740" t="s">
        <v>474</v>
      </c>
      <c r="M740" t="s">
        <v>364</v>
      </c>
      <c r="N740" s="2">
        <v>-1390.58</v>
      </c>
      <c r="O740" t="str">
        <f>IFERROR(VLOOKUP($A740,Accounts!$A:$G,3,FALSE),"")</f>
        <v/>
      </c>
    </row>
    <row r="741" spans="1:15" outlineLevel="2" x14ac:dyDescent="0.2">
      <c r="A741" t="str">
        <f t="shared" si="11"/>
        <v>2900000852991562.8</v>
      </c>
      <c r="B741" t="s">
        <v>0</v>
      </c>
      <c r="C741" t="s">
        <v>13</v>
      </c>
      <c r="D741" t="s">
        <v>99</v>
      </c>
      <c r="E741" t="s">
        <v>1</v>
      </c>
      <c r="F741" s="1"/>
      <c r="G741" t="s">
        <v>552</v>
      </c>
      <c r="H741" s="1">
        <v>43479</v>
      </c>
      <c r="I741" s="2">
        <v>0</v>
      </c>
      <c r="J741" s="2">
        <v>1562.8</v>
      </c>
      <c r="K741" t="s">
        <v>1</v>
      </c>
      <c r="L741" t="s">
        <v>474</v>
      </c>
      <c r="M741" t="s">
        <v>364</v>
      </c>
      <c r="N741" s="2">
        <v>1562.8</v>
      </c>
      <c r="O741" t="str">
        <f>IFERROR(VLOOKUP($A741,Accounts!$A:$G,3,FALSE),"")</f>
        <v/>
      </c>
    </row>
    <row r="742" spans="1:15" outlineLevel="2" x14ac:dyDescent="0.2">
      <c r="A742" t="str">
        <f t="shared" si="11"/>
        <v>290000085199402.89</v>
      </c>
      <c r="B742" t="s">
        <v>0</v>
      </c>
      <c r="C742" t="s">
        <v>13</v>
      </c>
      <c r="D742" t="s">
        <v>99</v>
      </c>
      <c r="E742" t="s">
        <v>1</v>
      </c>
      <c r="F742" s="1"/>
      <c r="G742" t="s">
        <v>551</v>
      </c>
      <c r="H742" s="1">
        <v>43479</v>
      </c>
      <c r="I742" s="2">
        <v>0</v>
      </c>
      <c r="J742" s="2">
        <v>402.89</v>
      </c>
      <c r="K742" t="s">
        <v>1</v>
      </c>
      <c r="L742" t="s">
        <v>474</v>
      </c>
      <c r="M742" t="s">
        <v>364</v>
      </c>
      <c r="N742" s="2">
        <v>402.89</v>
      </c>
      <c r="O742" t="str">
        <f>IFERROR(VLOOKUP($A742,Accounts!$A:$G,3,FALSE),"")</f>
        <v/>
      </c>
    </row>
    <row r="743" spans="1:15" outlineLevel="2" x14ac:dyDescent="0.2">
      <c r="A743" t="str">
        <f t="shared" si="11"/>
        <v>2900000850994718.42</v>
      </c>
      <c r="B743" t="s">
        <v>0</v>
      </c>
      <c r="C743" t="s">
        <v>13</v>
      </c>
      <c r="D743" t="s">
        <v>99</v>
      </c>
      <c r="E743" t="s">
        <v>1</v>
      </c>
      <c r="F743" s="1"/>
      <c r="G743" t="s">
        <v>550</v>
      </c>
      <c r="H743" s="1">
        <v>43479</v>
      </c>
      <c r="I743" s="2">
        <v>0</v>
      </c>
      <c r="J743" s="2">
        <v>4718.42</v>
      </c>
      <c r="K743" t="s">
        <v>1</v>
      </c>
      <c r="L743" t="s">
        <v>474</v>
      </c>
      <c r="M743" t="s">
        <v>364</v>
      </c>
      <c r="N743" s="2">
        <v>4718.42</v>
      </c>
      <c r="O743" t="str">
        <f>IFERROR(VLOOKUP($A743,Accounts!$A:$G,3,FALSE),"")</f>
        <v/>
      </c>
    </row>
    <row r="744" spans="1:15" outlineLevel="2" x14ac:dyDescent="0.2">
      <c r="A744" t="str">
        <f t="shared" si="11"/>
        <v>600130992258</v>
      </c>
      <c r="B744" t="s">
        <v>0</v>
      </c>
      <c r="C744" t="s">
        <v>13</v>
      </c>
      <c r="D744" t="s">
        <v>97</v>
      </c>
      <c r="E744" t="s">
        <v>1</v>
      </c>
      <c r="F744" s="1"/>
      <c r="G744" t="s">
        <v>639</v>
      </c>
      <c r="H744" s="1">
        <v>43495</v>
      </c>
      <c r="I744" s="2">
        <v>0</v>
      </c>
      <c r="J744" s="2">
        <v>2258</v>
      </c>
      <c r="K744" t="s">
        <v>1</v>
      </c>
      <c r="L744" t="s">
        <v>474</v>
      </c>
      <c r="M744" t="s">
        <v>364</v>
      </c>
      <c r="N744" s="2">
        <v>2258</v>
      </c>
      <c r="O744" t="str">
        <f>IFERROR(VLOOKUP($A744,Accounts!$A:$G,3,FALSE),"")</f>
        <v/>
      </c>
    </row>
    <row r="745" spans="1:15" outlineLevel="2" x14ac:dyDescent="0.2">
      <c r="A745" t="str">
        <f t="shared" si="11"/>
        <v>240002045999-2938.95</v>
      </c>
      <c r="B745" t="s">
        <v>0</v>
      </c>
      <c r="C745" t="s">
        <v>13</v>
      </c>
      <c r="D745" t="s">
        <v>169</v>
      </c>
      <c r="E745" t="s">
        <v>1</v>
      </c>
      <c r="F745" s="1"/>
      <c r="G745" t="s">
        <v>951</v>
      </c>
      <c r="H745" s="1">
        <v>38125</v>
      </c>
      <c r="I745" s="2">
        <v>0</v>
      </c>
      <c r="J745" s="2">
        <v>-2938.95</v>
      </c>
      <c r="K745" t="s">
        <v>1</v>
      </c>
      <c r="L745" t="s">
        <v>171</v>
      </c>
      <c r="M745" t="s">
        <v>364</v>
      </c>
      <c r="N745" s="2">
        <v>-2938.95</v>
      </c>
      <c r="O745" t="str">
        <f>IFERROR(VLOOKUP($A745,Accounts!$A:$G,3,FALSE),"")</f>
        <v/>
      </c>
    </row>
    <row r="746" spans="1:15" outlineLevel="2" x14ac:dyDescent="0.2">
      <c r="A746" t="str">
        <f t="shared" si="11"/>
        <v>240002045899-2944.22</v>
      </c>
      <c r="B746" t="s">
        <v>0</v>
      </c>
      <c r="C746" t="s">
        <v>13</v>
      </c>
      <c r="D746" t="s">
        <v>169</v>
      </c>
      <c r="E746" t="s">
        <v>1</v>
      </c>
      <c r="F746" s="1"/>
      <c r="G746" t="s">
        <v>952</v>
      </c>
      <c r="H746" s="1">
        <v>38125</v>
      </c>
      <c r="I746" s="2">
        <v>0</v>
      </c>
      <c r="J746" s="2">
        <v>-2944.22</v>
      </c>
      <c r="K746" t="s">
        <v>1</v>
      </c>
      <c r="L746" t="s">
        <v>171</v>
      </c>
      <c r="M746" t="s">
        <v>364</v>
      </c>
      <c r="N746" s="2">
        <v>-2944.22</v>
      </c>
      <c r="O746" t="str">
        <f>IFERROR(VLOOKUP($A746,Accounts!$A:$G,3,FALSE),"")</f>
        <v/>
      </c>
    </row>
    <row r="747" spans="1:15" outlineLevel="2" x14ac:dyDescent="0.2">
      <c r="A747" t="str">
        <f t="shared" si="11"/>
        <v>240002045799-1722.24</v>
      </c>
      <c r="B747" t="s">
        <v>0</v>
      </c>
      <c r="C747" t="s">
        <v>13</v>
      </c>
      <c r="D747" t="s">
        <v>169</v>
      </c>
      <c r="E747" t="s">
        <v>1</v>
      </c>
      <c r="F747" s="1"/>
      <c r="G747" t="s">
        <v>953</v>
      </c>
      <c r="H747" s="1">
        <v>38125</v>
      </c>
      <c r="I747" s="2">
        <v>0</v>
      </c>
      <c r="J747" s="2">
        <v>-1722.24</v>
      </c>
      <c r="K747" t="s">
        <v>1</v>
      </c>
      <c r="L747" t="s">
        <v>171</v>
      </c>
      <c r="M747" t="s">
        <v>364</v>
      </c>
      <c r="N747" s="2">
        <v>-1722.24</v>
      </c>
      <c r="O747" t="str">
        <f>IFERROR(VLOOKUP($A747,Accounts!$A:$G,3,FALSE),"")</f>
        <v/>
      </c>
    </row>
    <row r="748" spans="1:15" outlineLevel="2" x14ac:dyDescent="0.2">
      <c r="A748" t="str">
        <f t="shared" si="11"/>
        <v>240002034499-228.97</v>
      </c>
      <c r="B748" t="s">
        <v>0</v>
      </c>
      <c r="C748" t="s">
        <v>13</v>
      </c>
      <c r="D748" t="s">
        <v>169</v>
      </c>
      <c r="E748" t="s">
        <v>1</v>
      </c>
      <c r="F748" s="1"/>
      <c r="G748" t="s">
        <v>954</v>
      </c>
      <c r="H748" s="1">
        <v>38113</v>
      </c>
      <c r="I748" s="2">
        <v>0</v>
      </c>
      <c r="J748" s="2">
        <v>-228.97</v>
      </c>
      <c r="K748" t="s">
        <v>1</v>
      </c>
      <c r="L748" t="s">
        <v>171</v>
      </c>
      <c r="M748" t="s">
        <v>364</v>
      </c>
      <c r="N748" s="2">
        <v>-228.97</v>
      </c>
      <c r="O748" t="str">
        <f>IFERROR(VLOOKUP($A748,Accounts!$A:$G,3,FALSE),"")</f>
        <v/>
      </c>
    </row>
    <row r="749" spans="1:15" outlineLevel="2" x14ac:dyDescent="0.2">
      <c r="A749" t="str">
        <f t="shared" si="11"/>
        <v>240002182099-553.63</v>
      </c>
      <c r="B749" t="s">
        <v>0</v>
      </c>
      <c r="C749" t="s">
        <v>13</v>
      </c>
      <c r="D749" t="s">
        <v>169</v>
      </c>
      <c r="E749" t="s">
        <v>1</v>
      </c>
      <c r="F749" s="1"/>
      <c r="G749" t="s">
        <v>955</v>
      </c>
      <c r="H749" s="1">
        <v>38176</v>
      </c>
      <c r="I749" s="2">
        <v>0</v>
      </c>
      <c r="J749" s="2">
        <v>-553.63</v>
      </c>
      <c r="K749" t="s">
        <v>1</v>
      </c>
      <c r="L749" t="s">
        <v>171</v>
      </c>
      <c r="M749" t="s">
        <v>364</v>
      </c>
      <c r="N749" s="2">
        <v>-553.63</v>
      </c>
      <c r="O749" t="str">
        <f>IFERROR(VLOOKUP($A749,Accounts!$A:$G,3,FALSE),"")</f>
        <v/>
      </c>
    </row>
    <row r="750" spans="1:15" outlineLevel="2" x14ac:dyDescent="0.2">
      <c r="A750" t="str">
        <f t="shared" si="11"/>
        <v>240002182199-355.27</v>
      </c>
      <c r="B750" t="s">
        <v>0</v>
      </c>
      <c r="C750" t="s">
        <v>13</v>
      </c>
      <c r="D750" t="s">
        <v>169</v>
      </c>
      <c r="E750" t="s">
        <v>1</v>
      </c>
      <c r="F750" s="1"/>
      <c r="G750" t="s">
        <v>956</v>
      </c>
      <c r="H750" s="1">
        <v>38176</v>
      </c>
      <c r="I750" s="2">
        <v>0</v>
      </c>
      <c r="J750" s="2">
        <v>-355.27</v>
      </c>
      <c r="K750" t="s">
        <v>1</v>
      </c>
      <c r="L750" t="s">
        <v>171</v>
      </c>
      <c r="M750" t="s">
        <v>364</v>
      </c>
      <c r="N750" s="2">
        <v>-355.27</v>
      </c>
      <c r="O750" t="str">
        <f>IFERROR(VLOOKUP($A750,Accounts!$A:$G,3,FALSE),"")</f>
        <v/>
      </c>
    </row>
    <row r="751" spans="1:15" outlineLevel="2" x14ac:dyDescent="0.2">
      <c r="A751" t="str">
        <f t="shared" si="11"/>
        <v>240002133699-239.08</v>
      </c>
      <c r="B751" t="s">
        <v>0</v>
      </c>
      <c r="C751" t="s">
        <v>13</v>
      </c>
      <c r="D751" t="s">
        <v>169</v>
      </c>
      <c r="E751" t="s">
        <v>1</v>
      </c>
      <c r="F751" s="1"/>
      <c r="G751" t="s">
        <v>957</v>
      </c>
      <c r="H751" s="1">
        <v>38162</v>
      </c>
      <c r="I751" s="2">
        <v>0</v>
      </c>
      <c r="J751" s="2">
        <v>-239.08</v>
      </c>
      <c r="K751" t="s">
        <v>1</v>
      </c>
      <c r="L751" t="s">
        <v>171</v>
      </c>
      <c r="M751" t="s">
        <v>364</v>
      </c>
      <c r="N751" s="2">
        <v>-239.08</v>
      </c>
      <c r="O751" t="str">
        <f>IFERROR(VLOOKUP($A751,Accounts!$A:$G,3,FALSE),"")</f>
        <v/>
      </c>
    </row>
    <row r="752" spans="1:15" outlineLevel="2" x14ac:dyDescent="0.2">
      <c r="A752" t="str">
        <f t="shared" si="11"/>
        <v>240002091899-6005.75</v>
      </c>
      <c r="B752" t="s">
        <v>0</v>
      </c>
      <c r="C752" t="s">
        <v>13</v>
      </c>
      <c r="D752" t="s">
        <v>169</v>
      </c>
      <c r="E752" t="s">
        <v>1</v>
      </c>
      <c r="F752" s="1"/>
      <c r="G752" t="s">
        <v>958</v>
      </c>
      <c r="H752" s="1">
        <v>38148</v>
      </c>
      <c r="I752" s="2">
        <v>0</v>
      </c>
      <c r="J752" s="2">
        <v>-6005.75</v>
      </c>
      <c r="K752" t="s">
        <v>1</v>
      </c>
      <c r="L752" t="s">
        <v>171</v>
      </c>
      <c r="M752" t="s">
        <v>364</v>
      </c>
      <c r="N752" s="2">
        <v>-6005.75</v>
      </c>
      <c r="O752" t="str">
        <f>IFERROR(VLOOKUP($A752,Accounts!$A:$G,3,FALSE),"")</f>
        <v/>
      </c>
    </row>
    <row r="753" spans="1:15" outlineLevel="2" x14ac:dyDescent="0.2">
      <c r="A753" t="str">
        <f t="shared" si="11"/>
        <v>240002091999-4305.62</v>
      </c>
      <c r="B753" t="s">
        <v>0</v>
      </c>
      <c r="C753" t="s">
        <v>13</v>
      </c>
      <c r="D753" t="s">
        <v>169</v>
      </c>
      <c r="E753" t="s">
        <v>1</v>
      </c>
      <c r="F753" s="1"/>
      <c r="G753" t="s">
        <v>959</v>
      </c>
      <c r="H753" s="1">
        <v>38148</v>
      </c>
      <c r="I753" s="2">
        <v>0</v>
      </c>
      <c r="J753" s="2">
        <v>-4305.62</v>
      </c>
      <c r="K753" t="s">
        <v>1</v>
      </c>
      <c r="L753" t="s">
        <v>171</v>
      </c>
      <c r="M753" t="s">
        <v>364</v>
      </c>
      <c r="N753" s="2">
        <v>-4305.62</v>
      </c>
      <c r="O753" t="str">
        <f>IFERROR(VLOOKUP($A753,Accounts!$A:$G,3,FALSE),"")</f>
        <v/>
      </c>
    </row>
    <row r="754" spans="1:15" outlineLevel="2" x14ac:dyDescent="0.2">
      <c r="A754" t="str">
        <f t="shared" si="11"/>
        <v>240002092099-93.92</v>
      </c>
      <c r="B754" t="s">
        <v>0</v>
      </c>
      <c r="C754" t="s">
        <v>13</v>
      </c>
      <c r="D754" t="s">
        <v>169</v>
      </c>
      <c r="E754" t="s">
        <v>1</v>
      </c>
      <c r="F754" s="1"/>
      <c r="G754" t="s">
        <v>960</v>
      </c>
      <c r="H754" s="1">
        <v>38148</v>
      </c>
      <c r="I754" s="2">
        <v>0</v>
      </c>
      <c r="J754" s="2">
        <v>-93.92</v>
      </c>
      <c r="K754" t="s">
        <v>1</v>
      </c>
      <c r="L754" t="s">
        <v>171</v>
      </c>
      <c r="M754" t="s">
        <v>364</v>
      </c>
      <c r="N754" s="2">
        <v>-93.92</v>
      </c>
      <c r="O754" t="str">
        <f>IFERROR(VLOOKUP($A754,Accounts!$A:$G,3,FALSE),"")</f>
        <v/>
      </c>
    </row>
    <row r="755" spans="1:15" outlineLevel="2" x14ac:dyDescent="0.2">
      <c r="A755" t="str">
        <f t="shared" si="11"/>
        <v>240002106999-3470.79</v>
      </c>
      <c r="B755" t="s">
        <v>0</v>
      </c>
      <c r="C755" t="s">
        <v>13</v>
      </c>
      <c r="D755" t="s">
        <v>169</v>
      </c>
      <c r="E755" t="s">
        <v>1</v>
      </c>
      <c r="F755" s="1"/>
      <c r="G755" t="s">
        <v>961</v>
      </c>
      <c r="H755" s="1">
        <v>38152</v>
      </c>
      <c r="I755" s="2">
        <v>0</v>
      </c>
      <c r="J755" s="2">
        <v>-3470.79</v>
      </c>
      <c r="K755" t="s">
        <v>1</v>
      </c>
      <c r="L755" t="s">
        <v>171</v>
      </c>
      <c r="M755" t="s">
        <v>364</v>
      </c>
      <c r="N755" s="2">
        <v>-3470.79</v>
      </c>
      <c r="O755" t="str">
        <f>IFERROR(VLOOKUP($A755,Accounts!$A:$G,3,FALSE),"")</f>
        <v/>
      </c>
    </row>
    <row r="756" spans="1:15" outlineLevel="2" x14ac:dyDescent="0.2">
      <c r="A756" t="str">
        <f t="shared" si="11"/>
        <v>240002034399-1589.52</v>
      </c>
      <c r="B756" t="s">
        <v>0</v>
      </c>
      <c r="C756" t="s">
        <v>13</v>
      </c>
      <c r="D756" t="s">
        <v>169</v>
      </c>
      <c r="E756" t="s">
        <v>1</v>
      </c>
      <c r="F756" s="1"/>
      <c r="G756" t="s">
        <v>962</v>
      </c>
      <c r="H756" s="1">
        <v>38113</v>
      </c>
      <c r="I756" s="2">
        <v>0</v>
      </c>
      <c r="J756" s="2">
        <v>-1589.52</v>
      </c>
      <c r="K756" t="s">
        <v>1</v>
      </c>
      <c r="L756" t="s">
        <v>171</v>
      </c>
      <c r="M756" t="s">
        <v>364</v>
      </c>
      <c r="N756" s="2">
        <v>-1589.52</v>
      </c>
      <c r="O756" t="str">
        <f>IFERROR(VLOOKUP($A756,Accounts!$A:$G,3,FALSE),"")</f>
        <v/>
      </c>
    </row>
    <row r="757" spans="1:15" outlineLevel="2" x14ac:dyDescent="0.2">
      <c r="A757" t="str">
        <f t="shared" si="11"/>
        <v>240002046099-108.19</v>
      </c>
      <c r="B757" t="s">
        <v>0</v>
      </c>
      <c r="C757" t="s">
        <v>13</v>
      </c>
      <c r="D757" t="s">
        <v>169</v>
      </c>
      <c r="E757" t="s">
        <v>1</v>
      </c>
      <c r="F757" s="1"/>
      <c r="G757" t="s">
        <v>963</v>
      </c>
      <c r="H757" s="1">
        <v>38125</v>
      </c>
      <c r="I757" s="2">
        <v>0</v>
      </c>
      <c r="J757" s="2">
        <v>-108.19</v>
      </c>
      <c r="K757" t="s">
        <v>1</v>
      </c>
      <c r="L757" t="s">
        <v>171</v>
      </c>
      <c r="M757" t="s">
        <v>364</v>
      </c>
      <c r="N757" s="2">
        <v>-108.19</v>
      </c>
      <c r="O757" t="str">
        <f>IFERROR(VLOOKUP($A757,Accounts!$A:$G,3,FALSE),"")</f>
        <v/>
      </c>
    </row>
    <row r="758" spans="1:15" outlineLevel="2" x14ac:dyDescent="0.2">
      <c r="A758" t="str">
        <f t="shared" si="11"/>
        <v>240002151899-486.5</v>
      </c>
      <c r="B758" t="s">
        <v>0</v>
      </c>
      <c r="C758" t="s">
        <v>13</v>
      </c>
      <c r="D758" t="s">
        <v>169</v>
      </c>
      <c r="E758" t="s">
        <v>1</v>
      </c>
      <c r="F758" s="1"/>
      <c r="G758" t="s">
        <v>964</v>
      </c>
      <c r="H758" s="1">
        <v>38169</v>
      </c>
      <c r="I758" s="2">
        <v>0</v>
      </c>
      <c r="J758" s="2">
        <v>-486.5</v>
      </c>
      <c r="K758" t="s">
        <v>1</v>
      </c>
      <c r="L758" t="s">
        <v>171</v>
      </c>
      <c r="M758" t="s">
        <v>364</v>
      </c>
      <c r="N758" s="2">
        <v>-486.5</v>
      </c>
      <c r="O758" t="str">
        <f>IFERROR(VLOOKUP($A758,Accounts!$A:$G,3,FALSE),"")</f>
        <v/>
      </c>
    </row>
    <row r="759" spans="1:15" outlineLevel="2" x14ac:dyDescent="0.2">
      <c r="A759" t="str">
        <f t="shared" si="11"/>
        <v>240002053999-1013.38</v>
      </c>
      <c r="B759" t="s">
        <v>0</v>
      </c>
      <c r="C759" t="s">
        <v>13</v>
      </c>
      <c r="D759" t="s">
        <v>169</v>
      </c>
      <c r="E759" t="s">
        <v>1</v>
      </c>
      <c r="F759" s="1"/>
      <c r="G759" t="s">
        <v>365</v>
      </c>
      <c r="H759" s="1">
        <v>38133</v>
      </c>
      <c r="I759" s="2">
        <v>0</v>
      </c>
      <c r="J759" s="2">
        <v>-1013.38</v>
      </c>
      <c r="K759" t="s">
        <v>1</v>
      </c>
      <c r="L759" t="s">
        <v>171</v>
      </c>
      <c r="M759" t="s">
        <v>364</v>
      </c>
      <c r="N759" s="2">
        <v>-1013.38</v>
      </c>
      <c r="O759" t="str">
        <f>IFERROR(VLOOKUP($A759,Accounts!$A:$G,3,FALSE),"")</f>
        <v/>
      </c>
    </row>
    <row r="760" spans="1:15" outlineLevel="2" x14ac:dyDescent="0.2">
      <c r="A760" t="str">
        <f t="shared" si="11"/>
        <v>240002054099-50.96</v>
      </c>
      <c r="B760" t="s">
        <v>0</v>
      </c>
      <c r="C760" t="s">
        <v>13</v>
      </c>
      <c r="D760" t="s">
        <v>169</v>
      </c>
      <c r="E760" t="s">
        <v>1</v>
      </c>
      <c r="F760" s="1"/>
      <c r="G760" t="s">
        <v>965</v>
      </c>
      <c r="H760" s="1">
        <v>38133</v>
      </c>
      <c r="I760" s="2">
        <v>0</v>
      </c>
      <c r="J760" s="2">
        <v>-50.96</v>
      </c>
      <c r="K760" t="s">
        <v>1</v>
      </c>
      <c r="L760" t="s">
        <v>171</v>
      </c>
      <c r="M760" t="s">
        <v>364</v>
      </c>
      <c r="N760" s="2">
        <v>-50.96</v>
      </c>
      <c r="O760" t="str">
        <f>IFERROR(VLOOKUP($A760,Accounts!$A:$G,3,FALSE),"")</f>
        <v/>
      </c>
    </row>
    <row r="761" spans="1:15" outlineLevel="2" x14ac:dyDescent="0.2">
      <c r="A761" t="str">
        <f t="shared" si="11"/>
        <v>240002213999-1003.59</v>
      </c>
      <c r="B761" t="s">
        <v>0</v>
      </c>
      <c r="C761" t="s">
        <v>13</v>
      </c>
      <c r="D761" t="s">
        <v>169</v>
      </c>
      <c r="E761" t="s">
        <v>1</v>
      </c>
      <c r="F761" s="1"/>
      <c r="G761" t="s">
        <v>966</v>
      </c>
      <c r="H761" s="1">
        <v>38183</v>
      </c>
      <c r="I761" s="2">
        <v>0</v>
      </c>
      <c r="J761" s="2">
        <v>-1003.59</v>
      </c>
      <c r="K761" t="s">
        <v>1</v>
      </c>
      <c r="L761" t="s">
        <v>171</v>
      </c>
      <c r="M761" t="s">
        <v>364</v>
      </c>
      <c r="N761" s="2">
        <v>-1003.59</v>
      </c>
      <c r="O761" t="str">
        <f>IFERROR(VLOOKUP($A761,Accounts!$A:$G,3,FALSE),"")</f>
        <v/>
      </c>
    </row>
    <row r="762" spans="1:15" outlineLevel="2" x14ac:dyDescent="0.2">
      <c r="A762" t="str">
        <f t="shared" si="11"/>
        <v>6022229937467.76</v>
      </c>
      <c r="B762" t="s">
        <v>0</v>
      </c>
      <c r="C762" t="s">
        <v>13</v>
      </c>
      <c r="D762" t="s">
        <v>169</v>
      </c>
      <c r="E762" t="s">
        <v>1</v>
      </c>
      <c r="F762" s="1"/>
      <c r="G762" t="s">
        <v>366</v>
      </c>
      <c r="H762" s="1">
        <v>38223</v>
      </c>
      <c r="I762" s="2">
        <v>0</v>
      </c>
      <c r="J762" s="2">
        <v>37467.760000000002</v>
      </c>
      <c r="K762" t="s">
        <v>1</v>
      </c>
      <c r="L762" t="s">
        <v>171</v>
      </c>
      <c r="M762" t="s">
        <v>364</v>
      </c>
      <c r="N762" s="2">
        <v>37467.760000000002</v>
      </c>
      <c r="O762" t="str">
        <f>IFERROR(VLOOKUP($A762,Accounts!$A:$G,3,FALSE),"")</f>
        <v/>
      </c>
    </row>
    <row r="763" spans="1:15" outlineLevel="2" x14ac:dyDescent="0.2">
      <c r="A763" t="str">
        <f t="shared" si="11"/>
        <v>240002214099-455.66</v>
      </c>
      <c r="B763" t="s">
        <v>0</v>
      </c>
      <c r="C763" t="s">
        <v>13</v>
      </c>
      <c r="D763" t="s">
        <v>169</v>
      </c>
      <c r="E763" t="s">
        <v>1</v>
      </c>
      <c r="F763" s="1"/>
      <c r="G763" t="s">
        <v>967</v>
      </c>
      <c r="H763" s="1">
        <v>38183</v>
      </c>
      <c r="I763" s="2">
        <v>0</v>
      </c>
      <c r="J763" s="2">
        <v>-455.66</v>
      </c>
      <c r="K763" t="s">
        <v>1</v>
      </c>
      <c r="L763" t="s">
        <v>171</v>
      </c>
      <c r="M763" t="s">
        <v>364</v>
      </c>
      <c r="N763" s="2">
        <v>-455.66</v>
      </c>
      <c r="O763" t="str">
        <f>IFERROR(VLOOKUP($A763,Accounts!$A:$G,3,FALSE),"")</f>
        <v/>
      </c>
    </row>
    <row r="764" spans="1:15" outlineLevel="2" x14ac:dyDescent="0.2">
      <c r="A764" t="str">
        <f t="shared" si="11"/>
        <v>240002064099-1976.31</v>
      </c>
      <c r="B764" t="s">
        <v>0</v>
      </c>
      <c r="C764" t="s">
        <v>13</v>
      </c>
      <c r="D764" t="s">
        <v>169</v>
      </c>
      <c r="E764" t="s">
        <v>1</v>
      </c>
      <c r="F764" s="1"/>
      <c r="G764" t="s">
        <v>968</v>
      </c>
      <c r="H764" s="1">
        <v>38141</v>
      </c>
      <c r="I764" s="2">
        <v>0</v>
      </c>
      <c r="J764" s="2">
        <v>-1976.31</v>
      </c>
      <c r="K764" t="s">
        <v>1</v>
      </c>
      <c r="L764" t="s">
        <v>171</v>
      </c>
      <c r="M764" t="s">
        <v>364</v>
      </c>
      <c r="N764" s="2">
        <v>-1976.31</v>
      </c>
      <c r="O764" t="str">
        <f>IFERROR(VLOOKUP($A764,Accounts!$A:$G,3,FALSE),"")</f>
        <v/>
      </c>
    </row>
    <row r="765" spans="1:15" outlineLevel="2" x14ac:dyDescent="0.2">
      <c r="A765" t="str">
        <f t="shared" si="11"/>
        <v>240002297199-102.37</v>
      </c>
      <c r="B765" t="s">
        <v>0</v>
      </c>
      <c r="C765" t="s">
        <v>13</v>
      </c>
      <c r="D765" t="s">
        <v>169</v>
      </c>
      <c r="E765" t="s">
        <v>1</v>
      </c>
      <c r="F765" s="1"/>
      <c r="G765" t="s">
        <v>969</v>
      </c>
      <c r="H765" s="1">
        <v>38196</v>
      </c>
      <c r="I765" s="2">
        <v>0</v>
      </c>
      <c r="J765" s="2">
        <v>-102.37</v>
      </c>
      <c r="K765" t="s">
        <v>1</v>
      </c>
      <c r="L765" t="s">
        <v>171</v>
      </c>
      <c r="M765" t="s">
        <v>364</v>
      </c>
      <c r="N765" s="2">
        <v>-102.37</v>
      </c>
      <c r="O765" t="str">
        <f>IFERROR(VLOOKUP($A765,Accounts!$A:$G,3,FALSE),"")</f>
        <v/>
      </c>
    </row>
    <row r="766" spans="1:15" outlineLevel="2" x14ac:dyDescent="0.2">
      <c r="A766" t="str">
        <f t="shared" si="11"/>
        <v>240002296899-764.16</v>
      </c>
      <c r="B766" t="s">
        <v>0</v>
      </c>
      <c r="C766" t="s">
        <v>13</v>
      </c>
      <c r="D766" t="s">
        <v>169</v>
      </c>
      <c r="E766" t="s">
        <v>1</v>
      </c>
      <c r="F766" s="1"/>
      <c r="G766" t="s">
        <v>970</v>
      </c>
      <c r="H766" s="1">
        <v>38196</v>
      </c>
      <c r="I766" s="2">
        <v>0</v>
      </c>
      <c r="J766" s="2">
        <v>-764.16</v>
      </c>
      <c r="K766" t="s">
        <v>1</v>
      </c>
      <c r="L766" t="s">
        <v>171</v>
      </c>
      <c r="M766" t="s">
        <v>364</v>
      </c>
      <c r="N766" s="2">
        <v>-764.16</v>
      </c>
      <c r="O766" t="str">
        <f>IFERROR(VLOOKUP($A766,Accounts!$A:$G,3,FALSE),"")</f>
        <v/>
      </c>
    </row>
    <row r="767" spans="1:15" outlineLevel="2" x14ac:dyDescent="0.2">
      <c r="A767" t="str">
        <f t="shared" si="11"/>
        <v>240002062699-2545.89</v>
      </c>
      <c r="B767" t="s">
        <v>0</v>
      </c>
      <c r="C767" t="s">
        <v>13</v>
      </c>
      <c r="D767" t="s">
        <v>169</v>
      </c>
      <c r="E767" t="s">
        <v>1</v>
      </c>
      <c r="F767" s="1"/>
      <c r="G767" t="s">
        <v>971</v>
      </c>
      <c r="H767" s="1">
        <v>38139</v>
      </c>
      <c r="I767" s="2">
        <v>0</v>
      </c>
      <c r="J767" s="2">
        <v>-2545.89</v>
      </c>
      <c r="K767" t="s">
        <v>1</v>
      </c>
      <c r="L767" t="s">
        <v>171</v>
      </c>
      <c r="M767" t="s">
        <v>364</v>
      </c>
      <c r="N767" s="2">
        <v>-2545.89</v>
      </c>
      <c r="O767" t="str">
        <f>IFERROR(VLOOKUP($A767,Accounts!$A:$G,3,FALSE),"")</f>
        <v/>
      </c>
    </row>
    <row r="768" spans="1:15" outlineLevel="2" x14ac:dyDescent="0.2">
      <c r="A768" t="str">
        <f t="shared" si="11"/>
        <v>240002112299-2348.92</v>
      </c>
      <c r="B768" t="s">
        <v>0</v>
      </c>
      <c r="C768" t="s">
        <v>13</v>
      </c>
      <c r="D768" t="s">
        <v>169</v>
      </c>
      <c r="E768" t="s">
        <v>1</v>
      </c>
      <c r="F768" s="1"/>
      <c r="G768" t="s">
        <v>972</v>
      </c>
      <c r="H768" s="1">
        <v>38155</v>
      </c>
      <c r="I768" s="2">
        <v>0</v>
      </c>
      <c r="J768" s="2">
        <v>-2348.92</v>
      </c>
      <c r="K768" t="s">
        <v>1</v>
      </c>
      <c r="L768" t="s">
        <v>171</v>
      </c>
      <c r="M768" t="s">
        <v>364</v>
      </c>
      <c r="N768" s="2">
        <v>-2348.92</v>
      </c>
      <c r="O768" t="str">
        <f>IFERROR(VLOOKUP($A768,Accounts!$A:$G,3,FALSE),"")</f>
        <v/>
      </c>
    </row>
    <row r="769" spans="1:15" outlineLevel="2" x14ac:dyDescent="0.2">
      <c r="A769" t="str">
        <f t="shared" si="11"/>
        <v>240002244099-290.35</v>
      </c>
      <c r="B769" t="s">
        <v>0</v>
      </c>
      <c r="C769" t="s">
        <v>13</v>
      </c>
      <c r="D769" t="s">
        <v>169</v>
      </c>
      <c r="E769" t="s">
        <v>1</v>
      </c>
      <c r="F769" s="1"/>
      <c r="G769" t="s">
        <v>973</v>
      </c>
      <c r="H769" s="1">
        <v>38190</v>
      </c>
      <c r="I769" s="2">
        <v>0</v>
      </c>
      <c r="J769" s="2">
        <v>-290.35000000000002</v>
      </c>
      <c r="K769" t="s">
        <v>1</v>
      </c>
      <c r="L769" t="s">
        <v>171</v>
      </c>
      <c r="M769" t="s">
        <v>364</v>
      </c>
      <c r="N769" s="2">
        <v>-290.35000000000002</v>
      </c>
      <c r="O769" t="str">
        <f>IFERROR(VLOOKUP($A769,Accounts!$A:$G,3,FALSE),"")</f>
        <v/>
      </c>
    </row>
    <row r="770" spans="1:15" outlineLevel="2" x14ac:dyDescent="0.2">
      <c r="A770" t="str">
        <f t="shared" si="11"/>
        <v>240002243999-1873.52</v>
      </c>
      <c r="B770" t="s">
        <v>0</v>
      </c>
      <c r="C770" t="s">
        <v>13</v>
      </c>
      <c r="D770" t="s">
        <v>169</v>
      </c>
      <c r="E770" t="s">
        <v>1</v>
      </c>
      <c r="F770" s="1"/>
      <c r="G770" t="s">
        <v>974</v>
      </c>
      <c r="H770" s="1">
        <v>38190</v>
      </c>
      <c r="I770" s="2">
        <v>0</v>
      </c>
      <c r="J770" s="2">
        <v>-1873.52</v>
      </c>
      <c r="K770" t="s">
        <v>1</v>
      </c>
      <c r="L770" t="s">
        <v>171</v>
      </c>
      <c r="M770" t="s">
        <v>364</v>
      </c>
      <c r="N770" s="2">
        <v>-1873.52</v>
      </c>
      <c r="O770" t="str">
        <f>IFERROR(VLOOKUP($A770,Accounts!$A:$G,3,FALSE),"")</f>
        <v/>
      </c>
    </row>
    <row r="771" spans="1:15" outlineLevel="2" x14ac:dyDescent="0.2">
      <c r="A771" t="str">
        <f t="shared" si="11"/>
        <v>140000012899-2589.74</v>
      </c>
      <c r="B771" t="s">
        <v>0</v>
      </c>
      <c r="C771" t="s">
        <v>13</v>
      </c>
      <c r="D771" t="s">
        <v>100</v>
      </c>
      <c r="E771" t="s">
        <v>1</v>
      </c>
      <c r="F771" s="1"/>
      <c r="G771" t="s">
        <v>556</v>
      </c>
      <c r="H771" s="1">
        <v>43486</v>
      </c>
      <c r="I771" s="2">
        <v>0</v>
      </c>
      <c r="J771" s="2">
        <v>-2589.7399999999998</v>
      </c>
      <c r="K771" t="s">
        <v>1</v>
      </c>
      <c r="L771" t="s">
        <v>474</v>
      </c>
      <c r="M771" t="s">
        <v>364</v>
      </c>
      <c r="N771" s="2">
        <v>-2589.7399999999998</v>
      </c>
      <c r="O771" t="str">
        <f>IFERROR(VLOOKUP($A771,Accounts!$A:$G,3,FALSE),"")</f>
        <v/>
      </c>
    </row>
    <row r="772" spans="1:15" outlineLevel="2" x14ac:dyDescent="0.2">
      <c r="A772" t="str">
        <f t="shared" si="11"/>
        <v>9940</v>
      </c>
      <c r="B772" t="s">
        <v>0</v>
      </c>
      <c r="C772" t="s">
        <v>13</v>
      </c>
      <c r="D772" t="s">
        <v>95</v>
      </c>
      <c r="E772" t="s">
        <v>1</v>
      </c>
      <c r="F772" s="1"/>
      <c r="G772" t="s">
        <v>98</v>
      </c>
      <c r="H772" s="1">
        <v>39472</v>
      </c>
      <c r="I772" s="2">
        <v>0</v>
      </c>
      <c r="J772" s="2">
        <v>0</v>
      </c>
      <c r="K772" t="s">
        <v>1</v>
      </c>
      <c r="L772" t="s">
        <v>187</v>
      </c>
      <c r="M772" t="s">
        <v>364</v>
      </c>
      <c r="N772" s="2">
        <v>0</v>
      </c>
      <c r="O772" t="str">
        <f>IFERROR(VLOOKUP($A772,Accounts!$A:$G,3,FALSE),"")</f>
        <v/>
      </c>
    </row>
    <row r="773" spans="1:15" outlineLevel="2" x14ac:dyDescent="0.2">
      <c r="A773" t="str">
        <f t="shared" si="11"/>
        <v>1410050035997008.39</v>
      </c>
      <c r="B773" t="s">
        <v>0</v>
      </c>
      <c r="C773" t="s">
        <v>13</v>
      </c>
      <c r="D773" t="s">
        <v>178</v>
      </c>
      <c r="E773" t="s">
        <v>1</v>
      </c>
      <c r="F773" s="1"/>
      <c r="G773" t="s">
        <v>975</v>
      </c>
      <c r="H773" s="1">
        <v>38200</v>
      </c>
      <c r="I773" s="2">
        <v>0</v>
      </c>
      <c r="J773" s="2">
        <v>7008.39</v>
      </c>
      <c r="K773" t="s">
        <v>1</v>
      </c>
      <c r="L773" t="s">
        <v>171</v>
      </c>
      <c r="M773" t="s">
        <v>364</v>
      </c>
      <c r="N773" s="2">
        <v>7008.39</v>
      </c>
      <c r="O773" t="str">
        <f>IFERROR(VLOOKUP($A773,Accounts!$A:$G,3,FALSE),"")</f>
        <v/>
      </c>
    </row>
    <row r="774" spans="1:15" outlineLevel="2" x14ac:dyDescent="0.2">
      <c r="A774" t="str">
        <f t="shared" si="11"/>
        <v>60222299-7008.39</v>
      </c>
      <c r="B774" t="s">
        <v>0</v>
      </c>
      <c r="C774" t="s">
        <v>13</v>
      </c>
      <c r="D774" t="s">
        <v>178</v>
      </c>
      <c r="E774" t="s">
        <v>1</v>
      </c>
      <c r="F774" s="1"/>
      <c r="G774" t="s">
        <v>366</v>
      </c>
      <c r="H774" s="1">
        <v>38223</v>
      </c>
      <c r="I774" s="2">
        <v>0</v>
      </c>
      <c r="J774" s="2">
        <v>-7008.39</v>
      </c>
      <c r="K774" t="s">
        <v>1</v>
      </c>
      <c r="L774" t="s">
        <v>171</v>
      </c>
      <c r="M774" t="s">
        <v>364</v>
      </c>
      <c r="N774" s="2">
        <v>-7008.39</v>
      </c>
      <c r="O774" t="str">
        <f>IFERROR(VLOOKUP($A774,Accounts!$A:$G,3,FALSE),"")</f>
        <v/>
      </c>
    </row>
    <row r="775" spans="1:15" outlineLevel="2" x14ac:dyDescent="0.2">
      <c r="A775" t="str">
        <f t="shared" si="11"/>
        <v>7896.25</v>
      </c>
      <c r="B775" s="3" t="s">
        <v>1</v>
      </c>
      <c r="C775" s="3" t="s">
        <v>13</v>
      </c>
      <c r="D775" s="3" t="s">
        <v>1</v>
      </c>
      <c r="E775" s="3" t="s">
        <v>1</v>
      </c>
      <c r="F775" s="4"/>
      <c r="G775" s="3" t="s">
        <v>1</v>
      </c>
      <c r="H775" s="4"/>
      <c r="I775" s="5">
        <v>8020.55</v>
      </c>
      <c r="J775" s="5">
        <v>7896.25</v>
      </c>
      <c r="K775" s="3" t="s">
        <v>1</v>
      </c>
      <c r="L775" s="3" t="s">
        <v>1</v>
      </c>
      <c r="M775" s="3" t="s">
        <v>1</v>
      </c>
      <c r="N775" s="5">
        <v>15916.8</v>
      </c>
      <c r="O775" t="str">
        <f>IFERROR(VLOOKUP($A775,Accounts!$A:$G,3,FALSE),"")</f>
        <v/>
      </c>
    </row>
    <row r="776" spans="1:15" outlineLevel="2" x14ac:dyDescent="0.2">
      <c r="A776" t="str">
        <f t="shared" si="11"/>
        <v>2900002223995276.94</v>
      </c>
      <c r="B776" t="s">
        <v>0</v>
      </c>
      <c r="C776" t="s">
        <v>15</v>
      </c>
      <c r="D776" t="s">
        <v>99</v>
      </c>
      <c r="E776" t="s">
        <v>557</v>
      </c>
      <c r="F776" s="1">
        <v>43490</v>
      </c>
      <c r="G776" t="s">
        <v>1</v>
      </c>
      <c r="H776" s="1"/>
      <c r="I776" s="2">
        <v>276.94</v>
      </c>
      <c r="J776" s="2">
        <v>0</v>
      </c>
      <c r="K776" t="s">
        <v>474</v>
      </c>
      <c r="L776" t="s">
        <v>1</v>
      </c>
      <c r="M776" t="s">
        <v>367</v>
      </c>
      <c r="N776" s="2">
        <v>276.94</v>
      </c>
      <c r="O776" t="str">
        <f>IFERROR(VLOOKUP($A776,Accounts!$A:$G,3,FALSE),"")</f>
        <v/>
      </c>
    </row>
    <row r="777" spans="1:15" outlineLevel="2" x14ac:dyDescent="0.2">
      <c r="A777" t="str">
        <f t="shared" si="11"/>
        <v>2900002222995138.47</v>
      </c>
      <c r="B777" t="s">
        <v>0</v>
      </c>
      <c r="C777" t="s">
        <v>15</v>
      </c>
      <c r="D777" t="s">
        <v>99</v>
      </c>
      <c r="E777" t="s">
        <v>558</v>
      </c>
      <c r="F777" s="1">
        <v>43490</v>
      </c>
      <c r="G777" t="s">
        <v>1</v>
      </c>
      <c r="H777" s="1"/>
      <c r="I777" s="2">
        <v>138.47</v>
      </c>
      <c r="J777" s="2">
        <v>0</v>
      </c>
      <c r="K777" t="s">
        <v>474</v>
      </c>
      <c r="L777" t="s">
        <v>1</v>
      </c>
      <c r="M777" t="s">
        <v>367</v>
      </c>
      <c r="N777" s="2">
        <v>138.47</v>
      </c>
      <c r="O777" t="str">
        <f>IFERROR(VLOOKUP($A777,Accounts!$A:$G,3,FALSE),"")</f>
        <v/>
      </c>
    </row>
    <row r="778" spans="1:15" outlineLevel="2" x14ac:dyDescent="0.2">
      <c r="A778" t="str">
        <f t="shared" ref="A778:A841" si="12">IFERROR(IF(J778=0,E778&amp;C778&amp;I778,G778&amp;B778&amp;J778),"")</f>
        <v>2900002090995-5386.9</v>
      </c>
      <c r="B778" t="s">
        <v>0</v>
      </c>
      <c r="C778" t="s">
        <v>15</v>
      </c>
      <c r="D778" t="s">
        <v>99</v>
      </c>
      <c r="E778" t="s">
        <v>559</v>
      </c>
      <c r="F778" s="1">
        <v>43489</v>
      </c>
      <c r="G778" t="s">
        <v>1</v>
      </c>
      <c r="H778" s="1"/>
      <c r="I778" s="2">
        <v>-5386.9</v>
      </c>
      <c r="J778" s="2">
        <v>0</v>
      </c>
      <c r="K778" t="s">
        <v>474</v>
      </c>
      <c r="L778" t="s">
        <v>1</v>
      </c>
      <c r="M778" t="s">
        <v>367</v>
      </c>
      <c r="N778" s="2">
        <v>-5386.9</v>
      </c>
      <c r="O778" t="str">
        <f>IFERROR(VLOOKUP($A778,Accounts!$A:$G,3,FALSE),"")</f>
        <v/>
      </c>
    </row>
    <row r="779" spans="1:15" outlineLevel="2" x14ac:dyDescent="0.2">
      <c r="A779" t="str">
        <f t="shared" si="12"/>
        <v>2900001960995138.47</v>
      </c>
      <c r="B779" t="s">
        <v>0</v>
      </c>
      <c r="C779" t="s">
        <v>15</v>
      </c>
      <c r="D779" t="s">
        <v>99</v>
      </c>
      <c r="E779" t="s">
        <v>560</v>
      </c>
      <c r="F779" s="1">
        <v>43488</v>
      </c>
      <c r="G779" t="s">
        <v>1</v>
      </c>
      <c r="H779" s="1"/>
      <c r="I779" s="2">
        <v>138.47</v>
      </c>
      <c r="J779" s="2">
        <v>0</v>
      </c>
      <c r="K779" t="s">
        <v>474</v>
      </c>
      <c r="L779" t="s">
        <v>1</v>
      </c>
      <c r="M779" t="s">
        <v>367</v>
      </c>
      <c r="N779" s="2">
        <v>138.47</v>
      </c>
      <c r="O779" t="str">
        <f>IFERROR(VLOOKUP($A779,Accounts!$A:$G,3,FALSE),"")</f>
        <v/>
      </c>
    </row>
    <row r="780" spans="1:15" outlineLevel="2" x14ac:dyDescent="0.2">
      <c r="A780" t="str">
        <f t="shared" si="12"/>
        <v>2900001959995138.47</v>
      </c>
      <c r="B780" t="s">
        <v>0</v>
      </c>
      <c r="C780" t="s">
        <v>15</v>
      </c>
      <c r="D780" t="s">
        <v>99</v>
      </c>
      <c r="E780" t="s">
        <v>561</v>
      </c>
      <c r="F780" s="1">
        <v>43488</v>
      </c>
      <c r="G780" t="s">
        <v>1</v>
      </c>
      <c r="H780" s="1"/>
      <c r="I780" s="2">
        <v>138.47</v>
      </c>
      <c r="J780" s="2">
        <v>0</v>
      </c>
      <c r="K780" t="s">
        <v>474</v>
      </c>
      <c r="L780" t="s">
        <v>1</v>
      </c>
      <c r="M780" t="s">
        <v>367</v>
      </c>
      <c r="N780" s="2">
        <v>138.47</v>
      </c>
      <c r="O780" t="str">
        <f>IFERROR(VLOOKUP($A780,Accounts!$A:$G,3,FALSE),"")</f>
        <v/>
      </c>
    </row>
    <row r="781" spans="1:15" outlineLevel="2" x14ac:dyDescent="0.2">
      <c r="A781" t="str">
        <f t="shared" si="12"/>
        <v>2900001594995138.47</v>
      </c>
      <c r="B781" t="s">
        <v>0</v>
      </c>
      <c r="C781" t="s">
        <v>15</v>
      </c>
      <c r="D781" t="s">
        <v>99</v>
      </c>
      <c r="E781" t="s">
        <v>562</v>
      </c>
      <c r="F781" s="1">
        <v>43483</v>
      </c>
      <c r="G781" t="s">
        <v>1</v>
      </c>
      <c r="H781" s="1"/>
      <c r="I781" s="2">
        <v>138.47</v>
      </c>
      <c r="J781" s="2">
        <v>0</v>
      </c>
      <c r="K781" t="s">
        <v>474</v>
      </c>
      <c r="L781" t="s">
        <v>1</v>
      </c>
      <c r="M781" t="s">
        <v>367</v>
      </c>
      <c r="N781" s="2">
        <v>138.47</v>
      </c>
      <c r="O781" t="str">
        <f>IFERROR(VLOOKUP($A781,Accounts!$A:$G,3,FALSE),"")</f>
        <v/>
      </c>
    </row>
    <row r="782" spans="1:15" outlineLevel="2" x14ac:dyDescent="0.2">
      <c r="A782" t="str">
        <f t="shared" si="12"/>
        <v>2900001591995138.47</v>
      </c>
      <c r="B782" t="s">
        <v>0</v>
      </c>
      <c r="C782" t="s">
        <v>15</v>
      </c>
      <c r="D782" t="s">
        <v>99</v>
      </c>
      <c r="E782" t="s">
        <v>563</v>
      </c>
      <c r="F782" s="1">
        <v>43483</v>
      </c>
      <c r="G782" t="s">
        <v>1</v>
      </c>
      <c r="H782" s="1"/>
      <c r="I782" s="2">
        <v>138.47</v>
      </c>
      <c r="J782" s="2">
        <v>0</v>
      </c>
      <c r="K782" t="s">
        <v>474</v>
      </c>
      <c r="L782" t="s">
        <v>1</v>
      </c>
      <c r="M782" t="s">
        <v>367</v>
      </c>
      <c r="N782" s="2">
        <v>138.47</v>
      </c>
      <c r="O782" t="str">
        <f>IFERROR(VLOOKUP($A782,Accounts!$A:$G,3,FALSE),"")</f>
        <v/>
      </c>
    </row>
    <row r="783" spans="1:15" outlineLevel="2" x14ac:dyDescent="0.2">
      <c r="A783" t="str">
        <f t="shared" si="12"/>
        <v>2900001590995138.47</v>
      </c>
      <c r="B783" t="s">
        <v>0</v>
      </c>
      <c r="C783" t="s">
        <v>15</v>
      </c>
      <c r="D783" t="s">
        <v>99</v>
      </c>
      <c r="E783" t="s">
        <v>564</v>
      </c>
      <c r="F783" s="1">
        <v>43483</v>
      </c>
      <c r="G783" t="s">
        <v>1</v>
      </c>
      <c r="H783" s="1"/>
      <c r="I783" s="2">
        <v>138.47</v>
      </c>
      <c r="J783" s="2">
        <v>0</v>
      </c>
      <c r="K783" t="s">
        <v>474</v>
      </c>
      <c r="L783" t="s">
        <v>1</v>
      </c>
      <c r="M783" t="s">
        <v>367</v>
      </c>
      <c r="N783" s="2">
        <v>138.47</v>
      </c>
      <c r="O783" t="str">
        <f>IFERROR(VLOOKUP($A783,Accounts!$A:$G,3,FALSE),"")</f>
        <v/>
      </c>
    </row>
    <row r="784" spans="1:15" outlineLevel="2" x14ac:dyDescent="0.2">
      <c r="A784" t="str">
        <f t="shared" si="12"/>
        <v>2900001592995276.94</v>
      </c>
      <c r="B784" t="s">
        <v>0</v>
      </c>
      <c r="C784" t="s">
        <v>15</v>
      </c>
      <c r="D784" t="s">
        <v>99</v>
      </c>
      <c r="E784" t="s">
        <v>565</v>
      </c>
      <c r="F784" s="1">
        <v>43483</v>
      </c>
      <c r="G784" t="s">
        <v>1</v>
      </c>
      <c r="H784" s="1"/>
      <c r="I784" s="2">
        <v>276.94</v>
      </c>
      <c r="J784" s="2">
        <v>0</v>
      </c>
      <c r="K784" t="s">
        <v>474</v>
      </c>
      <c r="L784" t="s">
        <v>1</v>
      </c>
      <c r="M784" t="s">
        <v>367</v>
      </c>
      <c r="N784" s="2">
        <v>276.94</v>
      </c>
      <c r="O784" t="str">
        <f>IFERROR(VLOOKUP($A784,Accounts!$A:$G,3,FALSE),"")</f>
        <v/>
      </c>
    </row>
    <row r="785" spans="1:15" outlineLevel="2" x14ac:dyDescent="0.2">
      <c r="A785" t="str">
        <f t="shared" si="12"/>
        <v>2900001593995138.47</v>
      </c>
      <c r="B785" t="s">
        <v>0</v>
      </c>
      <c r="C785" t="s">
        <v>15</v>
      </c>
      <c r="D785" t="s">
        <v>99</v>
      </c>
      <c r="E785" t="s">
        <v>566</v>
      </c>
      <c r="F785" s="1">
        <v>43483</v>
      </c>
      <c r="G785" t="s">
        <v>1</v>
      </c>
      <c r="H785" s="1"/>
      <c r="I785" s="2">
        <v>138.47</v>
      </c>
      <c r="J785" s="2">
        <v>0</v>
      </c>
      <c r="K785" t="s">
        <v>474</v>
      </c>
      <c r="L785" t="s">
        <v>1</v>
      </c>
      <c r="M785" t="s">
        <v>367</v>
      </c>
      <c r="N785" s="2">
        <v>138.47</v>
      </c>
      <c r="O785" t="str">
        <f>IFERROR(VLOOKUP($A785,Accounts!$A:$G,3,FALSE),"")</f>
        <v/>
      </c>
    </row>
    <row r="786" spans="1:15" outlineLevel="2" x14ac:dyDescent="0.2">
      <c r="A786" t="str">
        <f t="shared" si="12"/>
        <v>2900001297995219.3</v>
      </c>
      <c r="B786" t="s">
        <v>0</v>
      </c>
      <c r="C786" t="s">
        <v>15</v>
      </c>
      <c r="D786" t="s">
        <v>99</v>
      </c>
      <c r="E786" t="s">
        <v>567</v>
      </c>
      <c r="F786" s="1">
        <v>43481</v>
      </c>
      <c r="G786" t="s">
        <v>1</v>
      </c>
      <c r="H786" s="1"/>
      <c r="I786" s="2">
        <v>219.3</v>
      </c>
      <c r="J786" s="2">
        <v>0</v>
      </c>
      <c r="K786" t="s">
        <v>474</v>
      </c>
      <c r="L786" t="s">
        <v>1</v>
      </c>
      <c r="M786" t="s">
        <v>367</v>
      </c>
      <c r="N786" s="2">
        <v>219.3</v>
      </c>
      <c r="O786" t="str">
        <f>IFERROR(VLOOKUP($A786,Accounts!$A:$G,3,FALSE),"")</f>
        <v/>
      </c>
    </row>
    <row r="787" spans="1:15" outlineLevel="2" x14ac:dyDescent="0.2">
      <c r="A787" t="str">
        <f t="shared" si="12"/>
        <v>290000108299532.11</v>
      </c>
      <c r="B787" t="s">
        <v>0</v>
      </c>
      <c r="C787" t="s">
        <v>15</v>
      </c>
      <c r="D787" t="s">
        <v>99</v>
      </c>
      <c r="E787" t="s">
        <v>568</v>
      </c>
      <c r="F787" s="1">
        <v>43479</v>
      </c>
      <c r="G787" t="s">
        <v>1</v>
      </c>
      <c r="H787" s="1"/>
      <c r="I787" s="2">
        <v>32.11</v>
      </c>
      <c r="J787" s="2">
        <v>0</v>
      </c>
      <c r="K787" t="s">
        <v>474</v>
      </c>
      <c r="L787" t="s">
        <v>1</v>
      </c>
      <c r="M787" t="s">
        <v>367</v>
      </c>
      <c r="N787" s="2">
        <v>32.11</v>
      </c>
      <c r="O787" t="str">
        <f>IFERROR(VLOOKUP($A787,Accounts!$A:$G,3,FALSE),"")</f>
        <v/>
      </c>
    </row>
    <row r="788" spans="1:15" outlineLevel="2" x14ac:dyDescent="0.2">
      <c r="A788" t="str">
        <f t="shared" si="12"/>
        <v>2900000976995138.47</v>
      </c>
      <c r="B788" t="s">
        <v>0</v>
      </c>
      <c r="C788" t="s">
        <v>15</v>
      </c>
      <c r="D788" t="s">
        <v>99</v>
      </c>
      <c r="E788" t="s">
        <v>569</v>
      </c>
      <c r="F788" s="1">
        <v>43476</v>
      </c>
      <c r="G788" t="s">
        <v>1</v>
      </c>
      <c r="H788" s="1"/>
      <c r="I788" s="2">
        <v>138.47</v>
      </c>
      <c r="J788" s="2">
        <v>0</v>
      </c>
      <c r="K788" t="s">
        <v>474</v>
      </c>
      <c r="L788" t="s">
        <v>1</v>
      </c>
      <c r="M788" t="s">
        <v>367</v>
      </c>
      <c r="N788" s="2">
        <v>138.47</v>
      </c>
      <c r="O788" t="str">
        <f>IFERROR(VLOOKUP($A788,Accounts!$A:$G,3,FALSE),"")</f>
        <v/>
      </c>
    </row>
    <row r="789" spans="1:15" outlineLevel="2" x14ac:dyDescent="0.2">
      <c r="A789" t="str">
        <f t="shared" si="12"/>
        <v>2900000977995138.47</v>
      </c>
      <c r="B789" t="s">
        <v>0</v>
      </c>
      <c r="C789" t="s">
        <v>15</v>
      </c>
      <c r="D789" t="s">
        <v>99</v>
      </c>
      <c r="E789" t="s">
        <v>570</v>
      </c>
      <c r="F789" s="1">
        <v>43476</v>
      </c>
      <c r="G789" t="s">
        <v>1</v>
      </c>
      <c r="H789" s="1"/>
      <c r="I789" s="2">
        <v>138.47</v>
      </c>
      <c r="J789" s="2">
        <v>0</v>
      </c>
      <c r="K789" t="s">
        <v>474</v>
      </c>
      <c r="L789" t="s">
        <v>1</v>
      </c>
      <c r="M789" t="s">
        <v>367</v>
      </c>
      <c r="N789" s="2">
        <v>138.47</v>
      </c>
      <c r="O789" t="str">
        <f>IFERROR(VLOOKUP($A789,Accounts!$A:$G,3,FALSE),"")</f>
        <v/>
      </c>
    </row>
    <row r="790" spans="1:15" outlineLevel="2" x14ac:dyDescent="0.2">
      <c r="A790" t="str">
        <f t="shared" si="12"/>
        <v>2900000833995138.47</v>
      </c>
      <c r="B790" t="s">
        <v>0</v>
      </c>
      <c r="C790" t="s">
        <v>15</v>
      </c>
      <c r="D790" t="s">
        <v>99</v>
      </c>
      <c r="E790" t="s">
        <v>571</v>
      </c>
      <c r="F790" s="1">
        <v>43475</v>
      </c>
      <c r="G790" t="s">
        <v>1</v>
      </c>
      <c r="H790" s="1"/>
      <c r="I790" s="2">
        <v>138.47</v>
      </c>
      <c r="J790" s="2">
        <v>0</v>
      </c>
      <c r="K790" t="s">
        <v>474</v>
      </c>
      <c r="L790" t="s">
        <v>1</v>
      </c>
      <c r="M790" t="s">
        <v>367</v>
      </c>
      <c r="N790" s="2">
        <v>138.47</v>
      </c>
      <c r="O790" t="str">
        <f>IFERROR(VLOOKUP($A790,Accounts!$A:$G,3,FALSE),"")</f>
        <v/>
      </c>
    </row>
    <row r="791" spans="1:15" outlineLevel="2" x14ac:dyDescent="0.2">
      <c r="A791" t="str">
        <f t="shared" si="12"/>
        <v>2900000832995138.47</v>
      </c>
      <c r="B791" t="s">
        <v>0</v>
      </c>
      <c r="C791" t="s">
        <v>15</v>
      </c>
      <c r="D791" t="s">
        <v>99</v>
      </c>
      <c r="E791" t="s">
        <v>572</v>
      </c>
      <c r="F791" s="1">
        <v>43475</v>
      </c>
      <c r="G791" t="s">
        <v>1</v>
      </c>
      <c r="H791" s="1"/>
      <c r="I791" s="2">
        <v>138.47</v>
      </c>
      <c r="J791" s="2">
        <v>0</v>
      </c>
      <c r="K791" t="s">
        <v>474</v>
      </c>
      <c r="L791" t="s">
        <v>1</v>
      </c>
      <c r="M791" t="s">
        <v>367</v>
      </c>
      <c r="N791" s="2">
        <v>138.47</v>
      </c>
      <c r="O791" t="str">
        <f>IFERROR(VLOOKUP($A791,Accounts!$A:$G,3,FALSE),"")</f>
        <v/>
      </c>
    </row>
    <row r="792" spans="1:15" outlineLevel="2" x14ac:dyDescent="0.2">
      <c r="A792" t="str">
        <f t="shared" si="12"/>
        <v>2900000834995138.47</v>
      </c>
      <c r="B792" t="s">
        <v>0</v>
      </c>
      <c r="C792" t="s">
        <v>15</v>
      </c>
      <c r="D792" t="s">
        <v>99</v>
      </c>
      <c r="E792" t="s">
        <v>573</v>
      </c>
      <c r="F792" s="1">
        <v>43475</v>
      </c>
      <c r="G792" t="s">
        <v>1</v>
      </c>
      <c r="H792" s="1"/>
      <c r="I792" s="2">
        <v>138.47</v>
      </c>
      <c r="J792" s="2">
        <v>0</v>
      </c>
      <c r="K792" t="s">
        <v>474</v>
      </c>
      <c r="L792" t="s">
        <v>1</v>
      </c>
      <c r="M792" t="s">
        <v>367</v>
      </c>
      <c r="N792" s="2">
        <v>138.47</v>
      </c>
      <c r="O792" t="str">
        <f>IFERROR(VLOOKUP($A792,Accounts!$A:$G,3,FALSE),"")</f>
        <v/>
      </c>
    </row>
    <row r="793" spans="1:15" outlineLevel="2" x14ac:dyDescent="0.2">
      <c r="A793" t="str">
        <f t="shared" si="12"/>
        <v>280002750199573.73</v>
      </c>
      <c r="B793" t="s">
        <v>0</v>
      </c>
      <c r="C793" t="s">
        <v>15</v>
      </c>
      <c r="D793" t="s">
        <v>99</v>
      </c>
      <c r="E793" t="s">
        <v>465</v>
      </c>
      <c r="F793" s="1">
        <v>43440</v>
      </c>
      <c r="G793" t="s">
        <v>1</v>
      </c>
      <c r="H793" s="1"/>
      <c r="I793" s="2">
        <v>73.73</v>
      </c>
      <c r="J793" s="2">
        <v>0</v>
      </c>
      <c r="K793" t="s">
        <v>222</v>
      </c>
      <c r="L793" t="s">
        <v>1</v>
      </c>
      <c r="M793" t="s">
        <v>367</v>
      </c>
      <c r="N793" s="2">
        <v>73.73</v>
      </c>
      <c r="O793" t="str">
        <f>IFERROR(VLOOKUP($A793,Accounts!$A:$G,3,FALSE),"")</f>
        <v/>
      </c>
    </row>
    <row r="794" spans="1:15" outlineLevel="2" x14ac:dyDescent="0.2">
      <c r="A794" t="str">
        <f t="shared" si="12"/>
        <v>2400020320995-1992.75</v>
      </c>
      <c r="B794" t="s">
        <v>0</v>
      </c>
      <c r="C794" t="s">
        <v>15</v>
      </c>
      <c r="D794" t="s">
        <v>169</v>
      </c>
      <c r="E794" t="s">
        <v>976</v>
      </c>
      <c r="F794" s="1">
        <v>38112</v>
      </c>
      <c r="G794" t="s">
        <v>1</v>
      </c>
      <c r="H794" s="1"/>
      <c r="I794" s="2">
        <v>-1992.75</v>
      </c>
      <c r="J794" s="2">
        <v>0</v>
      </c>
      <c r="K794" t="s">
        <v>171</v>
      </c>
      <c r="L794" t="s">
        <v>1</v>
      </c>
      <c r="M794" t="s">
        <v>367</v>
      </c>
      <c r="N794" s="2">
        <v>-1992.75</v>
      </c>
      <c r="O794" t="str">
        <f>IFERROR(VLOOKUP($A794,Accounts!$A:$G,3,FALSE),"")</f>
        <v/>
      </c>
    </row>
    <row r="795" spans="1:15" outlineLevel="2" x14ac:dyDescent="0.2">
      <c r="A795" t="str">
        <f t="shared" si="12"/>
        <v>2400021583995-335.72</v>
      </c>
      <c r="B795" t="s">
        <v>0</v>
      </c>
      <c r="C795" t="s">
        <v>15</v>
      </c>
      <c r="D795" t="s">
        <v>169</v>
      </c>
      <c r="E795" t="s">
        <v>977</v>
      </c>
      <c r="F795" s="1">
        <v>38159</v>
      </c>
      <c r="G795" t="s">
        <v>1</v>
      </c>
      <c r="H795" s="1"/>
      <c r="I795" s="2">
        <v>-335.72</v>
      </c>
      <c r="J795" s="2">
        <v>0</v>
      </c>
      <c r="K795" t="s">
        <v>171</v>
      </c>
      <c r="L795" t="s">
        <v>1</v>
      </c>
      <c r="M795" t="s">
        <v>367</v>
      </c>
      <c r="N795" s="2">
        <v>-335.72</v>
      </c>
      <c r="O795" t="str">
        <f>IFERROR(VLOOKUP($A795,Accounts!$A:$G,3,FALSE),"")</f>
        <v/>
      </c>
    </row>
    <row r="796" spans="1:15" outlineLevel="2" x14ac:dyDescent="0.2">
      <c r="A796" t="str">
        <f t="shared" si="12"/>
        <v>2400022558995-3394.32</v>
      </c>
      <c r="B796" t="s">
        <v>0</v>
      </c>
      <c r="C796" t="s">
        <v>15</v>
      </c>
      <c r="D796" t="s">
        <v>169</v>
      </c>
      <c r="E796" t="s">
        <v>978</v>
      </c>
      <c r="F796" s="1">
        <v>38175</v>
      </c>
      <c r="G796" t="s">
        <v>1</v>
      </c>
      <c r="H796" s="1"/>
      <c r="I796" s="2">
        <v>-3394.32</v>
      </c>
      <c r="J796" s="2">
        <v>0</v>
      </c>
      <c r="K796" t="s">
        <v>171</v>
      </c>
      <c r="L796" t="s">
        <v>1</v>
      </c>
      <c r="M796" t="s">
        <v>367</v>
      </c>
      <c r="N796" s="2">
        <v>-3394.32</v>
      </c>
      <c r="O796" t="str">
        <f>IFERROR(VLOOKUP($A796,Accounts!$A:$G,3,FALSE),"")</f>
        <v/>
      </c>
    </row>
    <row r="797" spans="1:15" outlineLevel="2" x14ac:dyDescent="0.2">
      <c r="A797" t="str">
        <f t="shared" si="12"/>
        <v>2400022645995-7548.85</v>
      </c>
      <c r="B797" t="s">
        <v>0</v>
      </c>
      <c r="C797" t="s">
        <v>15</v>
      </c>
      <c r="D797" t="s">
        <v>169</v>
      </c>
      <c r="E797" t="s">
        <v>979</v>
      </c>
      <c r="F797" s="1">
        <v>38176</v>
      </c>
      <c r="G797" t="s">
        <v>1</v>
      </c>
      <c r="H797" s="1"/>
      <c r="I797" s="2">
        <v>-7548.85</v>
      </c>
      <c r="J797" s="2">
        <v>0</v>
      </c>
      <c r="K797" t="s">
        <v>171</v>
      </c>
      <c r="L797" t="s">
        <v>1</v>
      </c>
      <c r="M797" t="s">
        <v>367</v>
      </c>
      <c r="N797" s="2">
        <v>-7548.85</v>
      </c>
      <c r="O797" t="str">
        <f>IFERROR(VLOOKUP($A797,Accounts!$A:$G,3,FALSE),"")</f>
        <v/>
      </c>
    </row>
    <row r="798" spans="1:15" outlineLevel="2" x14ac:dyDescent="0.2">
      <c r="A798" t="str">
        <f t="shared" si="12"/>
        <v>2400022781995-6330.6</v>
      </c>
      <c r="B798" t="s">
        <v>0</v>
      </c>
      <c r="C798" t="s">
        <v>15</v>
      </c>
      <c r="D798" t="s">
        <v>169</v>
      </c>
      <c r="E798" t="s">
        <v>980</v>
      </c>
      <c r="F798" s="1">
        <v>38177</v>
      </c>
      <c r="G798" t="s">
        <v>1</v>
      </c>
      <c r="H798" s="1"/>
      <c r="I798" s="2">
        <v>-6330.6</v>
      </c>
      <c r="J798" s="2">
        <v>0</v>
      </c>
      <c r="K798" t="s">
        <v>171</v>
      </c>
      <c r="L798" t="s">
        <v>1</v>
      </c>
      <c r="M798" t="s">
        <v>367</v>
      </c>
      <c r="N798" s="2">
        <v>-6330.6</v>
      </c>
      <c r="O798" t="str">
        <f>IFERROR(VLOOKUP($A798,Accounts!$A:$G,3,FALSE),"")</f>
        <v/>
      </c>
    </row>
    <row r="799" spans="1:15" outlineLevel="2" x14ac:dyDescent="0.2">
      <c r="A799" t="str">
        <f t="shared" si="12"/>
        <v>2400022880995-8799.57</v>
      </c>
      <c r="B799" t="s">
        <v>0</v>
      </c>
      <c r="C799" t="s">
        <v>15</v>
      </c>
      <c r="D799" t="s">
        <v>169</v>
      </c>
      <c r="E799" t="s">
        <v>981</v>
      </c>
      <c r="F799" s="1">
        <v>38180</v>
      </c>
      <c r="G799" t="s">
        <v>1</v>
      </c>
      <c r="H799" s="1"/>
      <c r="I799" s="2">
        <v>-8799.57</v>
      </c>
      <c r="J799" s="2">
        <v>0</v>
      </c>
      <c r="K799" t="s">
        <v>171</v>
      </c>
      <c r="L799" t="s">
        <v>1</v>
      </c>
      <c r="M799" t="s">
        <v>367</v>
      </c>
      <c r="N799" s="2">
        <v>-8799.57</v>
      </c>
      <c r="O799" t="str">
        <f>IFERROR(VLOOKUP($A799,Accounts!$A:$G,3,FALSE),"")</f>
        <v/>
      </c>
    </row>
    <row r="800" spans="1:15" outlineLevel="2" x14ac:dyDescent="0.2">
      <c r="A800" t="str">
        <f t="shared" si="12"/>
        <v>2400023470995-1799.68</v>
      </c>
      <c r="B800" t="s">
        <v>0</v>
      </c>
      <c r="C800" t="s">
        <v>15</v>
      </c>
      <c r="D800" t="s">
        <v>169</v>
      </c>
      <c r="E800" t="s">
        <v>982</v>
      </c>
      <c r="F800" s="1">
        <v>38188</v>
      </c>
      <c r="G800" t="s">
        <v>1</v>
      </c>
      <c r="H800" s="1"/>
      <c r="I800" s="2">
        <v>-1799.68</v>
      </c>
      <c r="J800" s="2">
        <v>0</v>
      </c>
      <c r="K800" t="s">
        <v>171</v>
      </c>
      <c r="L800" t="s">
        <v>1</v>
      </c>
      <c r="M800" t="s">
        <v>367</v>
      </c>
      <c r="N800" s="2">
        <v>-1799.68</v>
      </c>
      <c r="O800" t="str">
        <f>IFERROR(VLOOKUP($A800,Accounts!$A:$G,3,FALSE),"")</f>
        <v/>
      </c>
    </row>
    <row r="801" spans="1:15" outlineLevel="2" x14ac:dyDescent="0.2">
      <c r="A801" t="str">
        <f t="shared" si="12"/>
        <v>2400023702995-1948.54</v>
      </c>
      <c r="B801" t="s">
        <v>0</v>
      </c>
      <c r="C801" t="s">
        <v>15</v>
      </c>
      <c r="D801" t="s">
        <v>169</v>
      </c>
      <c r="E801" t="s">
        <v>983</v>
      </c>
      <c r="F801" s="1">
        <v>38190</v>
      </c>
      <c r="G801" t="s">
        <v>1</v>
      </c>
      <c r="H801" s="1"/>
      <c r="I801" s="2">
        <v>-1948.54</v>
      </c>
      <c r="J801" s="2">
        <v>0</v>
      </c>
      <c r="K801" t="s">
        <v>171</v>
      </c>
      <c r="L801" t="s">
        <v>1</v>
      </c>
      <c r="M801" t="s">
        <v>367</v>
      </c>
      <c r="N801" s="2">
        <v>-1948.54</v>
      </c>
      <c r="O801" t="str">
        <f>IFERROR(VLOOKUP($A801,Accounts!$A:$G,3,FALSE),"")</f>
        <v/>
      </c>
    </row>
    <row r="802" spans="1:15" outlineLevel="2" x14ac:dyDescent="0.2">
      <c r="A802" t="str">
        <f t="shared" si="12"/>
        <v>2400023804995-12175.35</v>
      </c>
      <c r="B802" t="s">
        <v>0</v>
      </c>
      <c r="C802" t="s">
        <v>15</v>
      </c>
      <c r="D802" t="s">
        <v>169</v>
      </c>
      <c r="E802" t="s">
        <v>984</v>
      </c>
      <c r="F802" s="1">
        <v>38191</v>
      </c>
      <c r="G802" t="s">
        <v>1</v>
      </c>
      <c r="H802" s="1"/>
      <c r="I802" s="2">
        <v>-12175.35</v>
      </c>
      <c r="J802" s="2">
        <v>0</v>
      </c>
      <c r="K802" t="s">
        <v>171</v>
      </c>
      <c r="L802" t="s">
        <v>1</v>
      </c>
      <c r="M802" t="s">
        <v>367</v>
      </c>
      <c r="N802" s="2">
        <v>-12175.35</v>
      </c>
      <c r="O802" t="str">
        <f>IFERROR(VLOOKUP($A802,Accounts!$A:$G,3,FALSE),"")</f>
        <v/>
      </c>
    </row>
    <row r="803" spans="1:15" outlineLevel="2" x14ac:dyDescent="0.2">
      <c r="A803" t="str">
        <f t="shared" si="12"/>
        <v>2400023920995-12152.51</v>
      </c>
      <c r="B803" t="s">
        <v>0</v>
      </c>
      <c r="C803" t="s">
        <v>15</v>
      </c>
      <c r="D803" t="s">
        <v>169</v>
      </c>
      <c r="E803" t="s">
        <v>985</v>
      </c>
      <c r="F803" s="1">
        <v>38194</v>
      </c>
      <c r="G803" t="s">
        <v>1</v>
      </c>
      <c r="H803" s="1"/>
      <c r="I803" s="2">
        <v>-12152.51</v>
      </c>
      <c r="J803" s="2">
        <v>0</v>
      </c>
      <c r="K803" t="s">
        <v>171</v>
      </c>
      <c r="L803" t="s">
        <v>1</v>
      </c>
      <c r="M803" t="s">
        <v>367</v>
      </c>
      <c r="N803" s="2">
        <v>-12152.51</v>
      </c>
      <c r="O803" t="str">
        <f>IFERROR(VLOOKUP($A803,Accounts!$A:$G,3,FALSE),"")</f>
        <v/>
      </c>
    </row>
    <row r="804" spans="1:15" outlineLevel="2" x14ac:dyDescent="0.2">
      <c r="A804" t="str">
        <f t="shared" si="12"/>
        <v>2400023946995205.66</v>
      </c>
      <c r="B804" t="s">
        <v>0</v>
      </c>
      <c r="C804" t="s">
        <v>15</v>
      </c>
      <c r="D804" t="s">
        <v>169</v>
      </c>
      <c r="E804" t="s">
        <v>986</v>
      </c>
      <c r="F804" s="1">
        <v>38194</v>
      </c>
      <c r="G804" t="s">
        <v>1</v>
      </c>
      <c r="H804" s="1"/>
      <c r="I804" s="2">
        <v>205.66</v>
      </c>
      <c r="J804" s="2">
        <v>0</v>
      </c>
      <c r="K804" t="s">
        <v>171</v>
      </c>
      <c r="L804" t="s">
        <v>1</v>
      </c>
      <c r="M804" t="s">
        <v>367</v>
      </c>
      <c r="N804" s="2">
        <v>205.66</v>
      </c>
      <c r="O804" t="str">
        <f>IFERROR(VLOOKUP($A804,Accounts!$A:$G,3,FALSE),"")</f>
        <v/>
      </c>
    </row>
    <row r="805" spans="1:15" outlineLevel="2" x14ac:dyDescent="0.2">
      <c r="A805" t="str">
        <f t="shared" si="12"/>
        <v>2400024060995-93.06</v>
      </c>
      <c r="B805" t="s">
        <v>0</v>
      </c>
      <c r="C805" t="s">
        <v>15</v>
      </c>
      <c r="D805" t="s">
        <v>169</v>
      </c>
      <c r="E805" t="s">
        <v>987</v>
      </c>
      <c r="F805" s="1">
        <v>38195</v>
      </c>
      <c r="G805" t="s">
        <v>1</v>
      </c>
      <c r="H805" s="1"/>
      <c r="I805" s="2">
        <v>-93.06</v>
      </c>
      <c r="J805" s="2">
        <v>0</v>
      </c>
      <c r="K805" t="s">
        <v>171</v>
      </c>
      <c r="L805" t="s">
        <v>1</v>
      </c>
      <c r="M805" t="s">
        <v>367</v>
      </c>
      <c r="N805" s="2">
        <v>-93.06</v>
      </c>
      <c r="O805" t="str">
        <f>IFERROR(VLOOKUP($A805,Accounts!$A:$G,3,FALSE),"")</f>
        <v/>
      </c>
    </row>
    <row r="806" spans="1:15" outlineLevel="2" x14ac:dyDescent="0.2">
      <c r="A806" t="str">
        <f t="shared" si="12"/>
        <v>65555899556365.29</v>
      </c>
      <c r="B806" t="s">
        <v>0</v>
      </c>
      <c r="C806" t="s">
        <v>15</v>
      </c>
      <c r="D806" t="s">
        <v>169</v>
      </c>
      <c r="E806" t="s">
        <v>170</v>
      </c>
      <c r="F806" s="1">
        <v>38223</v>
      </c>
      <c r="G806" t="s">
        <v>1</v>
      </c>
      <c r="H806" s="1"/>
      <c r="I806" s="2">
        <v>56365.29</v>
      </c>
      <c r="J806" s="2">
        <v>0</v>
      </c>
      <c r="K806" t="s">
        <v>171</v>
      </c>
      <c r="L806" t="s">
        <v>1</v>
      </c>
      <c r="M806" t="s">
        <v>367</v>
      </c>
      <c r="N806" s="2">
        <v>56365.29</v>
      </c>
      <c r="O806" t="str">
        <f>IFERROR(VLOOKUP($A806,Accounts!$A:$G,3,FALSE),"")</f>
        <v/>
      </c>
    </row>
    <row r="807" spans="1:15" outlineLevel="2" x14ac:dyDescent="0.2">
      <c r="A807" t="str">
        <f t="shared" si="12"/>
        <v>1400000276995-3854.87</v>
      </c>
      <c r="B807" t="s">
        <v>0</v>
      </c>
      <c r="C807" t="s">
        <v>15</v>
      </c>
      <c r="D807" t="s">
        <v>100</v>
      </c>
      <c r="E807" t="s">
        <v>578</v>
      </c>
      <c r="F807" s="1">
        <v>43493</v>
      </c>
      <c r="G807" t="s">
        <v>1</v>
      </c>
      <c r="H807" s="1"/>
      <c r="I807" s="2">
        <v>-3854.87</v>
      </c>
      <c r="J807" s="2">
        <v>0</v>
      </c>
      <c r="K807" t="s">
        <v>474</v>
      </c>
      <c r="L807" t="s">
        <v>1</v>
      </c>
      <c r="M807" t="s">
        <v>367</v>
      </c>
      <c r="N807" s="2">
        <v>-3854.87</v>
      </c>
      <c r="O807" t="str">
        <f>IFERROR(VLOOKUP($A807,Accounts!$A:$G,3,FALSE),"")</f>
        <v/>
      </c>
    </row>
    <row r="808" spans="1:15" outlineLevel="2" x14ac:dyDescent="0.2">
      <c r="A808" t="str">
        <f t="shared" si="12"/>
        <v>1400000273995-1177.1</v>
      </c>
      <c r="B808" t="s">
        <v>0</v>
      </c>
      <c r="C808" t="s">
        <v>15</v>
      </c>
      <c r="D808" t="s">
        <v>100</v>
      </c>
      <c r="E808" t="s">
        <v>577</v>
      </c>
      <c r="F808" s="1">
        <v>43493</v>
      </c>
      <c r="G808" t="s">
        <v>1</v>
      </c>
      <c r="H808" s="1"/>
      <c r="I808" s="2">
        <v>-1177.0999999999999</v>
      </c>
      <c r="J808" s="2">
        <v>0</v>
      </c>
      <c r="K808" t="s">
        <v>474</v>
      </c>
      <c r="L808" t="s">
        <v>1</v>
      </c>
      <c r="M808" t="s">
        <v>367</v>
      </c>
      <c r="N808" s="2">
        <v>-1177.0999999999999</v>
      </c>
      <c r="O808" t="str">
        <f>IFERROR(VLOOKUP($A808,Accounts!$A:$G,3,FALSE),"")</f>
        <v/>
      </c>
    </row>
    <row r="809" spans="1:15" outlineLevel="2" x14ac:dyDescent="0.2">
      <c r="A809" t="str">
        <f t="shared" si="12"/>
        <v>1400000272995-916.85</v>
      </c>
      <c r="B809" t="s">
        <v>0</v>
      </c>
      <c r="C809" t="s">
        <v>15</v>
      </c>
      <c r="D809" t="s">
        <v>100</v>
      </c>
      <c r="E809" t="s">
        <v>576</v>
      </c>
      <c r="F809" s="1">
        <v>43493</v>
      </c>
      <c r="G809" t="s">
        <v>1</v>
      </c>
      <c r="H809" s="1"/>
      <c r="I809" s="2">
        <v>-916.85</v>
      </c>
      <c r="J809" s="2">
        <v>0</v>
      </c>
      <c r="K809" t="s">
        <v>474</v>
      </c>
      <c r="L809" t="s">
        <v>1</v>
      </c>
      <c r="M809" t="s">
        <v>367</v>
      </c>
      <c r="N809" s="2">
        <v>-916.85</v>
      </c>
      <c r="O809" t="str">
        <f>IFERROR(VLOOKUP($A809,Accounts!$A:$G,3,FALSE),"")</f>
        <v/>
      </c>
    </row>
    <row r="810" spans="1:15" outlineLevel="2" x14ac:dyDescent="0.2">
      <c r="A810" t="str">
        <f t="shared" si="12"/>
        <v>1400000274995-3063.19</v>
      </c>
      <c r="B810" t="s">
        <v>0</v>
      </c>
      <c r="C810" t="s">
        <v>15</v>
      </c>
      <c r="D810" t="s">
        <v>100</v>
      </c>
      <c r="E810" t="s">
        <v>579</v>
      </c>
      <c r="F810" s="1">
        <v>43493</v>
      </c>
      <c r="G810" t="s">
        <v>1</v>
      </c>
      <c r="H810" s="1"/>
      <c r="I810" s="2">
        <v>-3063.19</v>
      </c>
      <c r="J810" s="2">
        <v>0</v>
      </c>
      <c r="K810" t="s">
        <v>474</v>
      </c>
      <c r="L810" t="s">
        <v>1</v>
      </c>
      <c r="M810" t="s">
        <v>367</v>
      </c>
      <c r="N810" s="2">
        <v>-3063.19</v>
      </c>
      <c r="O810" t="str">
        <f>IFERROR(VLOOKUP($A810,Accounts!$A:$G,3,FALSE),"")</f>
        <v/>
      </c>
    </row>
    <row r="811" spans="1:15" outlineLevel="2" x14ac:dyDescent="0.2">
      <c r="A811" t="str">
        <f t="shared" si="12"/>
        <v>1400000271995-2611.61</v>
      </c>
      <c r="B811" t="s">
        <v>0</v>
      </c>
      <c r="C811" t="s">
        <v>15</v>
      </c>
      <c r="D811" t="s">
        <v>100</v>
      </c>
      <c r="E811" t="s">
        <v>580</v>
      </c>
      <c r="F811" s="1">
        <v>43493</v>
      </c>
      <c r="G811" t="s">
        <v>1</v>
      </c>
      <c r="H811" s="1"/>
      <c r="I811" s="2">
        <v>-2611.61</v>
      </c>
      <c r="J811" s="2">
        <v>0</v>
      </c>
      <c r="K811" t="s">
        <v>474</v>
      </c>
      <c r="L811" t="s">
        <v>1</v>
      </c>
      <c r="M811" t="s">
        <v>367</v>
      </c>
      <c r="N811" s="2">
        <v>-2611.61</v>
      </c>
      <c r="O811" t="str">
        <f>IFERROR(VLOOKUP($A811,Accounts!$A:$G,3,FALSE),"")</f>
        <v/>
      </c>
    </row>
    <row r="812" spans="1:15" outlineLevel="2" x14ac:dyDescent="0.2">
      <c r="A812" t="str">
        <f t="shared" si="12"/>
        <v>1400000283995-13478.4</v>
      </c>
      <c r="B812" t="s">
        <v>0</v>
      </c>
      <c r="C812" t="s">
        <v>15</v>
      </c>
      <c r="D812" t="s">
        <v>100</v>
      </c>
      <c r="E812" t="s">
        <v>575</v>
      </c>
      <c r="F812" s="1">
        <v>43493</v>
      </c>
      <c r="G812" t="s">
        <v>1</v>
      </c>
      <c r="H812" s="1"/>
      <c r="I812" s="2">
        <v>-13478.4</v>
      </c>
      <c r="J812" s="2">
        <v>0</v>
      </c>
      <c r="K812" t="s">
        <v>474</v>
      </c>
      <c r="L812" t="s">
        <v>1</v>
      </c>
      <c r="M812" t="s">
        <v>367</v>
      </c>
      <c r="N812" s="2">
        <v>-13478.4</v>
      </c>
      <c r="O812" t="str">
        <f>IFERROR(VLOOKUP($A812,Accounts!$A:$G,3,FALSE),"")</f>
        <v/>
      </c>
    </row>
    <row r="813" spans="1:15" outlineLevel="2" x14ac:dyDescent="0.2">
      <c r="A813" t="str">
        <f t="shared" si="12"/>
        <v>1400000090995-12856.32</v>
      </c>
      <c r="B813" t="s">
        <v>0</v>
      </c>
      <c r="C813" t="s">
        <v>15</v>
      </c>
      <c r="D813" t="s">
        <v>100</v>
      </c>
      <c r="E813" t="s">
        <v>574</v>
      </c>
      <c r="F813" s="1">
        <v>43480</v>
      </c>
      <c r="G813" t="s">
        <v>1</v>
      </c>
      <c r="H813" s="1"/>
      <c r="I813" s="2">
        <v>-12856.32</v>
      </c>
      <c r="J813" s="2">
        <v>0</v>
      </c>
      <c r="K813" t="s">
        <v>474</v>
      </c>
      <c r="L813" t="s">
        <v>1</v>
      </c>
      <c r="M813" t="s">
        <v>367</v>
      </c>
      <c r="N813" s="2">
        <v>-12856.32</v>
      </c>
      <c r="O813" t="str">
        <f>IFERROR(VLOOKUP($A813,Accounts!$A:$G,3,FALSE),"")</f>
        <v/>
      </c>
    </row>
    <row r="814" spans="1:15" outlineLevel="2" x14ac:dyDescent="0.2">
      <c r="A814" t="str">
        <f t="shared" si="12"/>
        <v>6021979958773.16</v>
      </c>
      <c r="B814" t="s">
        <v>0</v>
      </c>
      <c r="C814" t="s">
        <v>15</v>
      </c>
      <c r="D814" t="s">
        <v>95</v>
      </c>
      <c r="E814" t="s">
        <v>96</v>
      </c>
      <c r="F814" s="1">
        <v>39223</v>
      </c>
      <c r="G814" t="s">
        <v>1</v>
      </c>
      <c r="H814" s="1"/>
      <c r="I814" s="2">
        <v>8773.16</v>
      </c>
      <c r="J814" s="2">
        <v>0</v>
      </c>
      <c r="K814" t="s">
        <v>177</v>
      </c>
      <c r="L814" t="s">
        <v>1</v>
      </c>
      <c r="M814" t="s">
        <v>367</v>
      </c>
      <c r="N814" s="2">
        <v>8773.16</v>
      </c>
      <c r="O814" t="str">
        <f>IFERROR(VLOOKUP($A814,Accounts!$A:$G,3,FALSE),"")</f>
        <v/>
      </c>
    </row>
    <row r="815" spans="1:15" outlineLevel="2" x14ac:dyDescent="0.2">
      <c r="A815" t="str">
        <f t="shared" si="12"/>
        <v>600550995-221.88</v>
      </c>
      <c r="B815" t="s">
        <v>0</v>
      </c>
      <c r="C815" t="s">
        <v>15</v>
      </c>
      <c r="D815" t="s">
        <v>95</v>
      </c>
      <c r="E815" t="s">
        <v>648</v>
      </c>
      <c r="F815" s="1">
        <v>43496</v>
      </c>
      <c r="G815" t="s">
        <v>1</v>
      </c>
      <c r="H815" s="1"/>
      <c r="I815" s="2">
        <v>-221.88</v>
      </c>
      <c r="J815" s="2">
        <v>0</v>
      </c>
      <c r="K815" t="s">
        <v>474</v>
      </c>
      <c r="L815" t="s">
        <v>1</v>
      </c>
      <c r="M815" t="s">
        <v>367</v>
      </c>
      <c r="N815" s="2">
        <v>-221.88</v>
      </c>
      <c r="O815" t="str">
        <f>IFERROR(VLOOKUP($A815,Accounts!$A:$G,3,FALSE),"")</f>
        <v/>
      </c>
    </row>
    <row r="816" spans="1:15" outlineLevel="2" x14ac:dyDescent="0.2">
      <c r="A816" t="str">
        <f t="shared" si="12"/>
        <v>600496995-2273.59</v>
      </c>
      <c r="B816" t="s">
        <v>0</v>
      </c>
      <c r="C816" t="s">
        <v>15</v>
      </c>
      <c r="D816" t="s">
        <v>95</v>
      </c>
      <c r="E816" t="s">
        <v>659</v>
      </c>
      <c r="F816" s="1">
        <v>43495</v>
      </c>
      <c r="G816" t="s">
        <v>1</v>
      </c>
      <c r="H816" s="1"/>
      <c r="I816" s="2">
        <v>-2273.59</v>
      </c>
      <c r="J816" s="2">
        <v>0</v>
      </c>
      <c r="K816" t="s">
        <v>474</v>
      </c>
      <c r="L816" t="s">
        <v>1</v>
      </c>
      <c r="M816" t="s">
        <v>367</v>
      </c>
      <c r="N816" s="2">
        <v>-2273.59</v>
      </c>
      <c r="O816" t="str">
        <f>IFERROR(VLOOKUP($A816,Accounts!$A:$G,3,FALSE),"")</f>
        <v/>
      </c>
    </row>
    <row r="817" spans="1:15" outlineLevel="2" x14ac:dyDescent="0.2">
      <c r="A817" t="str">
        <f t="shared" si="12"/>
        <v>600495995-588.31</v>
      </c>
      <c r="B817" t="s">
        <v>0</v>
      </c>
      <c r="C817" t="s">
        <v>15</v>
      </c>
      <c r="D817" t="s">
        <v>95</v>
      </c>
      <c r="E817" t="s">
        <v>658</v>
      </c>
      <c r="F817" s="1">
        <v>43495</v>
      </c>
      <c r="G817" t="s">
        <v>1</v>
      </c>
      <c r="H817" s="1"/>
      <c r="I817" s="2">
        <v>-588.30999999999995</v>
      </c>
      <c r="J817" s="2">
        <v>0</v>
      </c>
      <c r="K817" t="s">
        <v>474</v>
      </c>
      <c r="L817" t="s">
        <v>1</v>
      </c>
      <c r="M817" t="s">
        <v>367</v>
      </c>
      <c r="N817" s="2">
        <v>-588.30999999999995</v>
      </c>
      <c r="O817" t="str">
        <f>IFERROR(VLOOKUP($A817,Accounts!$A:$G,3,FALSE),"")</f>
        <v/>
      </c>
    </row>
    <row r="818" spans="1:15" outlineLevel="2" x14ac:dyDescent="0.2">
      <c r="A818" t="str">
        <f t="shared" si="12"/>
        <v>1410080072995425.92</v>
      </c>
      <c r="B818" t="s">
        <v>0</v>
      </c>
      <c r="C818" t="s">
        <v>15</v>
      </c>
      <c r="D818" t="s">
        <v>178</v>
      </c>
      <c r="E818" t="s">
        <v>988</v>
      </c>
      <c r="F818" s="1">
        <v>38200</v>
      </c>
      <c r="G818" t="s">
        <v>1</v>
      </c>
      <c r="H818" s="1"/>
      <c r="I818" s="2">
        <v>425.92</v>
      </c>
      <c r="J818" s="2">
        <v>0</v>
      </c>
      <c r="K818" t="s">
        <v>171</v>
      </c>
      <c r="L818" t="s">
        <v>1</v>
      </c>
      <c r="M818" t="s">
        <v>367</v>
      </c>
      <c r="N818" s="2">
        <v>425.92</v>
      </c>
      <c r="O818" t="str">
        <f>IFERROR(VLOOKUP($A818,Accounts!$A:$G,3,FALSE),"")</f>
        <v/>
      </c>
    </row>
    <row r="819" spans="1:15" outlineLevel="2" x14ac:dyDescent="0.2">
      <c r="A819" t="str">
        <f t="shared" si="12"/>
        <v>655558995-3116.74</v>
      </c>
      <c r="B819" t="s">
        <v>0</v>
      </c>
      <c r="C819" t="s">
        <v>15</v>
      </c>
      <c r="D819" t="s">
        <v>178</v>
      </c>
      <c r="E819" t="s">
        <v>170</v>
      </c>
      <c r="F819" s="1">
        <v>38223</v>
      </c>
      <c r="G819" t="s">
        <v>1</v>
      </c>
      <c r="H819" s="1"/>
      <c r="I819" s="2">
        <v>-3116.74</v>
      </c>
      <c r="J819" s="2">
        <v>0</v>
      </c>
      <c r="K819" t="s">
        <v>171</v>
      </c>
      <c r="L819" t="s">
        <v>1</v>
      </c>
      <c r="M819" t="s">
        <v>367</v>
      </c>
      <c r="N819" s="2">
        <v>-3116.74</v>
      </c>
      <c r="O819" t="str">
        <f>IFERROR(VLOOKUP($A819,Accounts!$A:$G,3,FALSE),"")</f>
        <v/>
      </c>
    </row>
    <row r="820" spans="1:15" outlineLevel="2" x14ac:dyDescent="0.2">
      <c r="A820" t="str">
        <f t="shared" si="12"/>
        <v>14100802119951829.7</v>
      </c>
      <c r="B820" t="s">
        <v>0</v>
      </c>
      <c r="C820" t="s">
        <v>15</v>
      </c>
      <c r="D820" t="s">
        <v>178</v>
      </c>
      <c r="E820" t="s">
        <v>989</v>
      </c>
      <c r="F820" s="1">
        <v>38200</v>
      </c>
      <c r="G820" t="s">
        <v>1</v>
      </c>
      <c r="H820" s="1"/>
      <c r="I820" s="2">
        <v>1829.7</v>
      </c>
      <c r="J820" s="2">
        <v>0</v>
      </c>
      <c r="K820" t="s">
        <v>171</v>
      </c>
      <c r="L820" t="s">
        <v>1</v>
      </c>
      <c r="M820" t="s">
        <v>367</v>
      </c>
      <c r="N820" s="2">
        <v>1829.7</v>
      </c>
      <c r="O820" t="str">
        <f>IFERROR(VLOOKUP($A820,Accounts!$A:$G,3,FALSE),"")</f>
        <v/>
      </c>
    </row>
    <row r="821" spans="1:15" outlineLevel="2" x14ac:dyDescent="0.2">
      <c r="A821" t="str">
        <f t="shared" si="12"/>
        <v>1410081112995861.12</v>
      </c>
      <c r="B821" t="s">
        <v>0</v>
      </c>
      <c r="C821" t="s">
        <v>15</v>
      </c>
      <c r="D821" t="s">
        <v>178</v>
      </c>
      <c r="E821" t="s">
        <v>990</v>
      </c>
      <c r="F821" s="1">
        <v>38200</v>
      </c>
      <c r="G821" t="s">
        <v>1</v>
      </c>
      <c r="H821" s="1"/>
      <c r="I821" s="2">
        <v>861.12</v>
      </c>
      <c r="J821" s="2">
        <v>0</v>
      </c>
      <c r="K821" t="s">
        <v>171</v>
      </c>
      <c r="L821" t="s">
        <v>1</v>
      </c>
      <c r="M821" t="s">
        <v>367</v>
      </c>
      <c r="N821" s="2">
        <v>861.12</v>
      </c>
      <c r="O821" t="str">
        <f>IFERROR(VLOOKUP($A821,Accounts!$A:$G,3,FALSE),"")</f>
        <v/>
      </c>
    </row>
    <row r="822" spans="1:15" outlineLevel="2" x14ac:dyDescent="0.2">
      <c r="A822" t="str">
        <f t="shared" si="12"/>
        <v>280002542799-1788.96</v>
      </c>
      <c r="B822" t="s">
        <v>0</v>
      </c>
      <c r="C822" t="s">
        <v>15</v>
      </c>
      <c r="D822" t="s">
        <v>99</v>
      </c>
      <c r="E822" t="s">
        <v>1</v>
      </c>
      <c r="F822" s="1"/>
      <c r="G822" t="s">
        <v>390</v>
      </c>
      <c r="H822" s="1">
        <v>43333</v>
      </c>
      <c r="I822" s="2">
        <v>0</v>
      </c>
      <c r="J822" s="2">
        <v>-1788.96</v>
      </c>
      <c r="K822" t="s">
        <v>1</v>
      </c>
      <c r="L822" t="s">
        <v>222</v>
      </c>
      <c r="M822" t="s">
        <v>367</v>
      </c>
      <c r="N822" s="2">
        <v>-1788.96</v>
      </c>
      <c r="O822" t="str">
        <f>IFERROR(VLOOKUP($A822,Accounts!$A:$G,3,FALSE),"")</f>
        <v/>
      </c>
    </row>
    <row r="823" spans="1:15" outlineLevel="2" x14ac:dyDescent="0.2">
      <c r="A823" t="str">
        <f t="shared" si="12"/>
        <v>280002542699-831.06</v>
      </c>
      <c r="B823" t="s">
        <v>0</v>
      </c>
      <c r="C823" t="s">
        <v>15</v>
      </c>
      <c r="D823" t="s">
        <v>99</v>
      </c>
      <c r="E823" t="s">
        <v>1</v>
      </c>
      <c r="F823" s="1"/>
      <c r="G823" t="s">
        <v>389</v>
      </c>
      <c r="H823" s="1">
        <v>43333</v>
      </c>
      <c r="I823" s="2">
        <v>0</v>
      </c>
      <c r="J823" s="2">
        <v>-831.06</v>
      </c>
      <c r="K823" t="s">
        <v>1</v>
      </c>
      <c r="L823" t="s">
        <v>222</v>
      </c>
      <c r="M823" t="s">
        <v>367</v>
      </c>
      <c r="N823" s="2">
        <v>-831.06</v>
      </c>
      <c r="O823" t="str">
        <f>IFERROR(VLOOKUP($A823,Accounts!$A:$G,3,FALSE),"")</f>
        <v/>
      </c>
    </row>
    <row r="824" spans="1:15" outlineLevel="2" x14ac:dyDescent="0.2">
      <c r="A824" t="str">
        <f t="shared" si="12"/>
        <v>280002530199831.06</v>
      </c>
      <c r="B824" t="s">
        <v>0</v>
      </c>
      <c r="C824" t="s">
        <v>15</v>
      </c>
      <c r="D824" t="s">
        <v>99</v>
      </c>
      <c r="E824" t="s">
        <v>1</v>
      </c>
      <c r="F824" s="1"/>
      <c r="G824" t="s">
        <v>388</v>
      </c>
      <c r="H824" s="1">
        <v>43332</v>
      </c>
      <c r="I824" s="2">
        <v>0</v>
      </c>
      <c r="J824" s="2">
        <v>831.06</v>
      </c>
      <c r="K824" t="s">
        <v>1</v>
      </c>
      <c r="L824" t="s">
        <v>222</v>
      </c>
      <c r="M824" t="s">
        <v>367</v>
      </c>
      <c r="N824" s="2">
        <v>831.06</v>
      </c>
      <c r="O824" t="str">
        <f>IFERROR(VLOOKUP($A824,Accounts!$A:$G,3,FALSE),"")</f>
        <v/>
      </c>
    </row>
    <row r="825" spans="1:15" outlineLevel="2" x14ac:dyDescent="0.2">
      <c r="A825" t="str">
        <f t="shared" si="12"/>
        <v>2800025300991788.96</v>
      </c>
      <c r="B825" t="s">
        <v>0</v>
      </c>
      <c r="C825" t="s">
        <v>15</v>
      </c>
      <c r="D825" t="s">
        <v>99</v>
      </c>
      <c r="E825" t="s">
        <v>1</v>
      </c>
      <c r="F825" s="1"/>
      <c r="G825" t="s">
        <v>387</v>
      </c>
      <c r="H825" s="1">
        <v>43332</v>
      </c>
      <c r="I825" s="2">
        <v>0</v>
      </c>
      <c r="J825" s="2">
        <v>1788.96</v>
      </c>
      <c r="K825" t="s">
        <v>1</v>
      </c>
      <c r="L825" t="s">
        <v>222</v>
      </c>
      <c r="M825" t="s">
        <v>367</v>
      </c>
      <c r="N825" s="2">
        <v>1788.96</v>
      </c>
      <c r="O825" t="str">
        <f>IFERROR(VLOOKUP($A825,Accounts!$A:$G,3,FALSE),"")</f>
        <v/>
      </c>
    </row>
    <row r="826" spans="1:15" outlineLevel="2" x14ac:dyDescent="0.2">
      <c r="A826" t="str">
        <f t="shared" si="12"/>
        <v>29000011509912856.32</v>
      </c>
      <c r="B826" t="s">
        <v>0</v>
      </c>
      <c r="C826" t="s">
        <v>15</v>
      </c>
      <c r="D826" t="s">
        <v>99</v>
      </c>
      <c r="E826" t="s">
        <v>1</v>
      </c>
      <c r="F826" s="1"/>
      <c r="G826" t="s">
        <v>587</v>
      </c>
      <c r="H826" s="1">
        <v>43476</v>
      </c>
      <c r="I826" s="2">
        <v>0</v>
      </c>
      <c r="J826" s="2">
        <v>12856.32</v>
      </c>
      <c r="K826" t="s">
        <v>1</v>
      </c>
      <c r="L826" t="s">
        <v>474</v>
      </c>
      <c r="M826" t="s">
        <v>367</v>
      </c>
      <c r="N826" s="2">
        <v>12856.32</v>
      </c>
      <c r="O826" t="str">
        <f>IFERROR(VLOOKUP($A826,Accounts!$A:$G,3,FALSE),"")</f>
        <v/>
      </c>
    </row>
    <row r="827" spans="1:15" outlineLevel="2" x14ac:dyDescent="0.2">
      <c r="A827" t="str">
        <f t="shared" si="12"/>
        <v>2900001742993063.19</v>
      </c>
      <c r="B827" t="s">
        <v>0</v>
      </c>
      <c r="C827" t="s">
        <v>15</v>
      </c>
      <c r="D827" t="s">
        <v>99</v>
      </c>
      <c r="E827" t="s">
        <v>1</v>
      </c>
      <c r="F827" s="1"/>
      <c r="G827" t="s">
        <v>586</v>
      </c>
      <c r="H827" s="1">
        <v>43482</v>
      </c>
      <c r="I827" s="2">
        <v>0</v>
      </c>
      <c r="J827" s="2">
        <v>3063.19</v>
      </c>
      <c r="K827" t="s">
        <v>1</v>
      </c>
      <c r="L827" t="s">
        <v>474</v>
      </c>
      <c r="M827" t="s">
        <v>367</v>
      </c>
      <c r="N827" s="2">
        <v>3063.19</v>
      </c>
      <c r="O827" t="str">
        <f>IFERROR(VLOOKUP($A827,Accounts!$A:$G,3,FALSE),"")</f>
        <v/>
      </c>
    </row>
    <row r="828" spans="1:15" outlineLevel="2" x14ac:dyDescent="0.2">
      <c r="A828" t="str">
        <f t="shared" si="12"/>
        <v>2900001741991177.1</v>
      </c>
      <c r="B828" t="s">
        <v>0</v>
      </c>
      <c r="C828" t="s">
        <v>15</v>
      </c>
      <c r="D828" t="s">
        <v>99</v>
      </c>
      <c r="E828" t="s">
        <v>1</v>
      </c>
      <c r="F828" s="1"/>
      <c r="G828" t="s">
        <v>585</v>
      </c>
      <c r="H828" s="1">
        <v>43482</v>
      </c>
      <c r="I828" s="2">
        <v>0</v>
      </c>
      <c r="J828" s="2">
        <v>1177.0999999999999</v>
      </c>
      <c r="K828" t="s">
        <v>1</v>
      </c>
      <c r="L828" t="s">
        <v>474</v>
      </c>
      <c r="M828" t="s">
        <v>367</v>
      </c>
      <c r="N828" s="2">
        <v>1177.0999999999999</v>
      </c>
      <c r="O828" t="str">
        <f>IFERROR(VLOOKUP($A828,Accounts!$A:$G,3,FALSE),"")</f>
        <v/>
      </c>
    </row>
    <row r="829" spans="1:15" outlineLevel="2" x14ac:dyDescent="0.2">
      <c r="A829" t="str">
        <f t="shared" si="12"/>
        <v>290000174399916.85</v>
      </c>
      <c r="B829" t="s">
        <v>0</v>
      </c>
      <c r="C829" t="s">
        <v>15</v>
      </c>
      <c r="D829" t="s">
        <v>99</v>
      </c>
      <c r="E829" t="s">
        <v>1</v>
      </c>
      <c r="F829" s="1"/>
      <c r="G829" t="s">
        <v>584</v>
      </c>
      <c r="H829" s="1">
        <v>43482</v>
      </c>
      <c r="I829" s="2">
        <v>0</v>
      </c>
      <c r="J829" s="2">
        <v>916.85</v>
      </c>
      <c r="K829" t="s">
        <v>1</v>
      </c>
      <c r="L829" t="s">
        <v>474</v>
      </c>
      <c r="M829" t="s">
        <v>367</v>
      </c>
      <c r="N829" s="2">
        <v>916.85</v>
      </c>
      <c r="O829" t="str">
        <f>IFERROR(VLOOKUP($A829,Accounts!$A:$G,3,FALSE),"")</f>
        <v/>
      </c>
    </row>
    <row r="830" spans="1:15" outlineLevel="2" x14ac:dyDescent="0.2">
      <c r="A830" t="str">
        <f t="shared" si="12"/>
        <v>2900001744993854.87</v>
      </c>
      <c r="B830" t="s">
        <v>0</v>
      </c>
      <c r="C830" t="s">
        <v>15</v>
      </c>
      <c r="D830" t="s">
        <v>99</v>
      </c>
      <c r="E830" t="s">
        <v>1</v>
      </c>
      <c r="F830" s="1"/>
      <c r="G830" t="s">
        <v>581</v>
      </c>
      <c r="H830" s="1">
        <v>43482</v>
      </c>
      <c r="I830" s="2">
        <v>0</v>
      </c>
      <c r="J830" s="2">
        <v>3854.87</v>
      </c>
      <c r="K830" t="s">
        <v>1</v>
      </c>
      <c r="L830" t="s">
        <v>474</v>
      </c>
      <c r="M830" t="s">
        <v>367</v>
      </c>
      <c r="N830" s="2">
        <v>3854.87</v>
      </c>
      <c r="O830" t="str">
        <f>IFERROR(VLOOKUP($A830,Accounts!$A:$G,3,FALSE),"")</f>
        <v/>
      </c>
    </row>
    <row r="831" spans="1:15" outlineLevel="2" x14ac:dyDescent="0.2">
      <c r="A831" t="str">
        <f t="shared" si="12"/>
        <v>2900001740992611.61</v>
      </c>
      <c r="B831" t="s">
        <v>0</v>
      </c>
      <c r="C831" t="s">
        <v>15</v>
      </c>
      <c r="D831" t="s">
        <v>99</v>
      </c>
      <c r="E831" t="s">
        <v>1</v>
      </c>
      <c r="F831" s="1"/>
      <c r="G831" t="s">
        <v>582</v>
      </c>
      <c r="H831" s="1">
        <v>43482</v>
      </c>
      <c r="I831" s="2">
        <v>0</v>
      </c>
      <c r="J831" s="2">
        <v>2611.61</v>
      </c>
      <c r="K831" t="s">
        <v>1</v>
      </c>
      <c r="L831" t="s">
        <v>474</v>
      </c>
      <c r="M831" t="s">
        <v>367</v>
      </c>
      <c r="N831" s="2">
        <v>2611.61</v>
      </c>
      <c r="O831" t="str">
        <f>IFERROR(VLOOKUP($A831,Accounts!$A:$G,3,FALSE),"")</f>
        <v/>
      </c>
    </row>
    <row r="832" spans="1:15" outlineLevel="2" x14ac:dyDescent="0.2">
      <c r="A832" t="str">
        <f t="shared" si="12"/>
        <v>29000019089913478.4</v>
      </c>
      <c r="B832" t="s">
        <v>0</v>
      </c>
      <c r="C832" t="s">
        <v>15</v>
      </c>
      <c r="D832" t="s">
        <v>99</v>
      </c>
      <c r="E832" t="s">
        <v>1</v>
      </c>
      <c r="F832" s="1"/>
      <c r="G832" t="s">
        <v>583</v>
      </c>
      <c r="H832" s="1">
        <v>43483</v>
      </c>
      <c r="I832" s="2">
        <v>0</v>
      </c>
      <c r="J832" s="2">
        <v>13478.4</v>
      </c>
      <c r="K832" t="s">
        <v>1</v>
      </c>
      <c r="L832" t="s">
        <v>474</v>
      </c>
      <c r="M832" t="s">
        <v>367</v>
      </c>
      <c r="N832" s="2">
        <v>13478.4</v>
      </c>
      <c r="O832" t="str">
        <f>IFERROR(VLOOKUP($A832,Accounts!$A:$G,3,FALSE),"")</f>
        <v/>
      </c>
    </row>
    <row r="833" spans="1:15" outlineLevel="2" x14ac:dyDescent="0.2">
      <c r="A833" t="str">
        <f t="shared" si="12"/>
        <v>60015499588.31</v>
      </c>
      <c r="B833" t="s">
        <v>0</v>
      </c>
      <c r="C833" t="s">
        <v>15</v>
      </c>
      <c r="D833" t="s">
        <v>97</v>
      </c>
      <c r="E833" t="s">
        <v>1</v>
      </c>
      <c r="F833" s="1"/>
      <c r="G833" t="s">
        <v>640</v>
      </c>
      <c r="H833" s="1">
        <v>43495</v>
      </c>
      <c r="I833" s="2">
        <v>0</v>
      </c>
      <c r="J833" s="2">
        <v>588.30999999999995</v>
      </c>
      <c r="K833" t="s">
        <v>1</v>
      </c>
      <c r="L833" t="s">
        <v>474</v>
      </c>
      <c r="M833" t="s">
        <v>367</v>
      </c>
      <c r="N833" s="2">
        <v>588.30999999999995</v>
      </c>
      <c r="O833" t="str">
        <f>IFERROR(VLOOKUP($A833,Accounts!$A:$G,3,FALSE),"")</f>
        <v/>
      </c>
    </row>
    <row r="834" spans="1:15" outlineLevel="2" x14ac:dyDescent="0.2">
      <c r="A834" t="str">
        <f t="shared" si="12"/>
        <v>600155992273.59</v>
      </c>
      <c r="B834" t="s">
        <v>0</v>
      </c>
      <c r="C834" t="s">
        <v>15</v>
      </c>
      <c r="D834" t="s">
        <v>97</v>
      </c>
      <c r="E834" t="s">
        <v>1</v>
      </c>
      <c r="F834" s="1"/>
      <c r="G834" t="s">
        <v>649</v>
      </c>
      <c r="H834" s="1">
        <v>43495</v>
      </c>
      <c r="I834" s="2">
        <v>0</v>
      </c>
      <c r="J834" s="2">
        <v>2273.59</v>
      </c>
      <c r="K834" t="s">
        <v>1</v>
      </c>
      <c r="L834" t="s">
        <v>474</v>
      </c>
      <c r="M834" t="s">
        <v>367</v>
      </c>
      <c r="N834" s="2">
        <v>2273.59</v>
      </c>
      <c r="O834" t="str">
        <f>IFERROR(VLOOKUP($A834,Accounts!$A:$G,3,FALSE),"")</f>
        <v/>
      </c>
    </row>
    <row r="835" spans="1:15" outlineLevel="2" x14ac:dyDescent="0.2">
      <c r="A835" t="str">
        <f t="shared" si="12"/>
        <v>140000002199221.88</v>
      </c>
      <c r="B835" t="s">
        <v>0</v>
      </c>
      <c r="C835" t="s">
        <v>15</v>
      </c>
      <c r="D835" t="s">
        <v>97</v>
      </c>
      <c r="E835" t="s">
        <v>1</v>
      </c>
      <c r="F835" s="1"/>
      <c r="G835" t="s">
        <v>588</v>
      </c>
      <c r="H835" s="1">
        <v>43472</v>
      </c>
      <c r="I835" s="2">
        <v>0</v>
      </c>
      <c r="J835" s="2">
        <v>221.88</v>
      </c>
      <c r="K835" t="s">
        <v>1</v>
      </c>
      <c r="L835" t="s">
        <v>474</v>
      </c>
      <c r="M835" t="s">
        <v>367</v>
      </c>
      <c r="N835" s="2">
        <v>221.88</v>
      </c>
      <c r="O835" t="str">
        <f>IFERROR(VLOOKUP($A835,Accounts!$A:$G,3,FALSE),"")</f>
        <v/>
      </c>
    </row>
    <row r="836" spans="1:15" outlineLevel="2" x14ac:dyDescent="0.2">
      <c r="A836" t="str">
        <f t="shared" si="12"/>
        <v>602211997496.59</v>
      </c>
      <c r="B836" t="s">
        <v>0</v>
      </c>
      <c r="C836" t="s">
        <v>15</v>
      </c>
      <c r="D836" t="s">
        <v>169</v>
      </c>
      <c r="E836" t="s">
        <v>1</v>
      </c>
      <c r="F836" s="1"/>
      <c r="G836" t="s">
        <v>102</v>
      </c>
      <c r="H836" s="1">
        <v>38223</v>
      </c>
      <c r="I836" s="2">
        <v>0</v>
      </c>
      <c r="J836" s="2">
        <v>7496.59</v>
      </c>
      <c r="K836" t="s">
        <v>1</v>
      </c>
      <c r="L836" t="s">
        <v>171</v>
      </c>
      <c r="M836" t="s">
        <v>367</v>
      </c>
      <c r="N836" s="2">
        <v>7496.59</v>
      </c>
      <c r="O836" t="str">
        <f>IFERROR(VLOOKUP($A836,Accounts!$A:$G,3,FALSE),"")</f>
        <v/>
      </c>
    </row>
    <row r="837" spans="1:15" outlineLevel="2" x14ac:dyDescent="0.2">
      <c r="A837" t="str">
        <f t="shared" si="12"/>
        <v>240003591799-4379.85</v>
      </c>
      <c r="B837" t="s">
        <v>0</v>
      </c>
      <c r="C837" t="s">
        <v>15</v>
      </c>
      <c r="D837" t="s">
        <v>169</v>
      </c>
      <c r="E837" t="s">
        <v>1</v>
      </c>
      <c r="F837" s="1"/>
      <c r="G837" t="s">
        <v>991</v>
      </c>
      <c r="H837" s="1">
        <v>38189</v>
      </c>
      <c r="I837" s="2">
        <v>0</v>
      </c>
      <c r="J837" s="2">
        <v>-4379.8500000000004</v>
      </c>
      <c r="K837" t="s">
        <v>1</v>
      </c>
      <c r="L837" t="s">
        <v>171</v>
      </c>
      <c r="M837" t="s">
        <v>367</v>
      </c>
      <c r="N837" s="2">
        <v>-4379.8500000000004</v>
      </c>
      <c r="O837" t="str">
        <f>IFERROR(VLOOKUP($A837,Accounts!$A:$G,3,FALSE),"")</f>
        <v/>
      </c>
    </row>
    <row r="838" spans="1:15" outlineLevel="2" x14ac:dyDescent="0.2">
      <c r="A838" t="str">
        <f t="shared" si="12"/>
        <v>240003156899-425.92</v>
      </c>
      <c r="B838" t="s">
        <v>0</v>
      </c>
      <c r="C838" t="s">
        <v>15</v>
      </c>
      <c r="D838" t="s">
        <v>169</v>
      </c>
      <c r="E838" t="s">
        <v>1</v>
      </c>
      <c r="F838" s="1"/>
      <c r="G838" t="s">
        <v>992</v>
      </c>
      <c r="H838" s="1">
        <v>38131</v>
      </c>
      <c r="I838" s="2">
        <v>0</v>
      </c>
      <c r="J838" s="2">
        <v>-425.92</v>
      </c>
      <c r="K838" t="s">
        <v>1</v>
      </c>
      <c r="L838" t="s">
        <v>171</v>
      </c>
      <c r="M838" t="s">
        <v>367</v>
      </c>
      <c r="N838" s="2">
        <v>-425.92</v>
      </c>
      <c r="O838" t="str">
        <f>IFERROR(VLOOKUP($A838,Accounts!$A:$G,3,FALSE),"")</f>
        <v/>
      </c>
    </row>
    <row r="839" spans="1:15" outlineLevel="2" x14ac:dyDescent="0.2">
      <c r="A839" t="str">
        <f t="shared" si="12"/>
        <v>240003551499-861.12</v>
      </c>
      <c r="B839" t="s">
        <v>0</v>
      </c>
      <c r="C839" t="s">
        <v>15</v>
      </c>
      <c r="D839" t="s">
        <v>169</v>
      </c>
      <c r="E839" t="s">
        <v>1</v>
      </c>
      <c r="F839" s="1"/>
      <c r="G839" t="s">
        <v>993</v>
      </c>
      <c r="H839" s="1">
        <v>38184</v>
      </c>
      <c r="I839" s="2">
        <v>0</v>
      </c>
      <c r="J839" s="2">
        <v>-861.12</v>
      </c>
      <c r="K839" t="s">
        <v>1</v>
      </c>
      <c r="L839" t="s">
        <v>171</v>
      </c>
      <c r="M839" t="s">
        <v>367</v>
      </c>
      <c r="N839" s="2">
        <v>-861.12</v>
      </c>
      <c r="O839" t="str">
        <f>IFERROR(VLOOKUP($A839,Accounts!$A:$G,3,FALSE),"")</f>
        <v/>
      </c>
    </row>
    <row r="840" spans="1:15" outlineLevel="2" x14ac:dyDescent="0.2">
      <c r="A840" t="str">
        <f t="shared" si="12"/>
        <v>240003510599-1829.7</v>
      </c>
      <c r="B840" t="s">
        <v>0</v>
      </c>
      <c r="C840" t="s">
        <v>15</v>
      </c>
      <c r="D840" t="s">
        <v>169</v>
      </c>
      <c r="E840" t="s">
        <v>1</v>
      </c>
      <c r="F840" s="1"/>
      <c r="G840" t="s">
        <v>994</v>
      </c>
      <c r="H840" s="1">
        <v>38181</v>
      </c>
      <c r="I840" s="2">
        <v>0</v>
      </c>
      <c r="J840" s="2">
        <v>-1829.7</v>
      </c>
      <c r="K840" t="s">
        <v>1</v>
      </c>
      <c r="L840" t="s">
        <v>171</v>
      </c>
      <c r="M840" t="s">
        <v>367</v>
      </c>
      <c r="N840" s="2">
        <v>-1829.7</v>
      </c>
      <c r="O840" t="str">
        <f>IFERROR(VLOOKUP($A840,Accounts!$A:$G,3,FALSE),"")</f>
        <v/>
      </c>
    </row>
    <row r="841" spans="1:15" outlineLevel="2" x14ac:dyDescent="0.2">
      <c r="A841" t="str">
        <f t="shared" si="12"/>
        <v>140000004999-73.73</v>
      </c>
      <c r="B841" t="s">
        <v>0</v>
      </c>
      <c r="C841" t="s">
        <v>15</v>
      </c>
      <c r="D841" t="s">
        <v>100</v>
      </c>
      <c r="E841" t="s">
        <v>1</v>
      </c>
      <c r="F841" s="1"/>
      <c r="G841" t="s">
        <v>595</v>
      </c>
      <c r="H841" s="1">
        <v>43483</v>
      </c>
      <c r="I841" s="2">
        <v>0</v>
      </c>
      <c r="J841" s="2">
        <v>-73.73</v>
      </c>
      <c r="K841" t="s">
        <v>1</v>
      </c>
      <c r="L841" t="s">
        <v>474</v>
      </c>
      <c r="M841" t="s">
        <v>367</v>
      </c>
      <c r="N841" s="2">
        <v>-73.73</v>
      </c>
      <c r="O841" t="str">
        <f>IFERROR(VLOOKUP($A841,Accounts!$A:$G,3,FALSE),"")</f>
        <v/>
      </c>
    </row>
    <row r="842" spans="1:15" outlineLevel="2" x14ac:dyDescent="0.2">
      <c r="A842" t="str">
        <f t="shared" ref="A842:A905" si="13">IFERROR(IF(J842=0,E842&amp;C842&amp;I842,G842&amp;B842&amp;J842),"")</f>
        <v>140000009199-138.47</v>
      </c>
      <c r="B842" t="s">
        <v>0</v>
      </c>
      <c r="C842" t="s">
        <v>15</v>
      </c>
      <c r="D842" t="s">
        <v>100</v>
      </c>
      <c r="E842" t="s">
        <v>1</v>
      </c>
      <c r="F842" s="1"/>
      <c r="G842" t="s">
        <v>594</v>
      </c>
      <c r="H842" s="1">
        <v>43486</v>
      </c>
      <c r="I842" s="2">
        <v>0</v>
      </c>
      <c r="J842" s="2">
        <v>-138.47</v>
      </c>
      <c r="K842" t="s">
        <v>1</v>
      </c>
      <c r="L842" t="s">
        <v>474</v>
      </c>
      <c r="M842" t="s">
        <v>367</v>
      </c>
      <c r="N842" s="2">
        <v>-138.47</v>
      </c>
      <c r="O842" t="str">
        <f>IFERROR(VLOOKUP($A842,Accounts!$A:$G,3,FALSE),"")</f>
        <v/>
      </c>
    </row>
    <row r="843" spans="1:15" outlineLevel="2" x14ac:dyDescent="0.2">
      <c r="A843" t="str">
        <f t="shared" si="13"/>
        <v>140000009299-138.47</v>
      </c>
      <c r="B843" t="s">
        <v>0</v>
      </c>
      <c r="C843" t="s">
        <v>15</v>
      </c>
      <c r="D843" t="s">
        <v>100</v>
      </c>
      <c r="E843" t="s">
        <v>1</v>
      </c>
      <c r="F843" s="1"/>
      <c r="G843" t="s">
        <v>593</v>
      </c>
      <c r="H843" s="1">
        <v>43486</v>
      </c>
      <c r="I843" s="2">
        <v>0</v>
      </c>
      <c r="J843" s="2">
        <v>-138.47</v>
      </c>
      <c r="K843" t="s">
        <v>1</v>
      </c>
      <c r="L843" t="s">
        <v>474</v>
      </c>
      <c r="M843" t="s">
        <v>367</v>
      </c>
      <c r="N843" s="2">
        <v>-138.47</v>
      </c>
      <c r="O843" t="str">
        <f>IFERROR(VLOOKUP($A843,Accounts!$A:$G,3,FALSE),"")</f>
        <v/>
      </c>
    </row>
    <row r="844" spans="1:15" outlineLevel="2" x14ac:dyDescent="0.2">
      <c r="A844" t="str">
        <f t="shared" si="13"/>
        <v>140000009399-32.11</v>
      </c>
      <c r="B844" t="s">
        <v>0</v>
      </c>
      <c r="C844" t="s">
        <v>15</v>
      </c>
      <c r="D844" t="s">
        <v>100</v>
      </c>
      <c r="E844" t="s">
        <v>1</v>
      </c>
      <c r="F844" s="1"/>
      <c r="G844" t="s">
        <v>592</v>
      </c>
      <c r="H844" s="1">
        <v>43486</v>
      </c>
      <c r="I844" s="2">
        <v>0</v>
      </c>
      <c r="J844" s="2">
        <v>-32.11</v>
      </c>
      <c r="K844" t="s">
        <v>1</v>
      </c>
      <c r="L844" t="s">
        <v>474</v>
      </c>
      <c r="M844" t="s">
        <v>367</v>
      </c>
      <c r="N844" s="2">
        <v>-32.11</v>
      </c>
      <c r="O844" t="str">
        <f>IFERROR(VLOOKUP($A844,Accounts!$A:$G,3,FALSE),"")</f>
        <v/>
      </c>
    </row>
    <row r="845" spans="1:15" outlineLevel="2" x14ac:dyDescent="0.2">
      <c r="A845" t="str">
        <f t="shared" si="13"/>
        <v>140000010199-138.47</v>
      </c>
      <c r="B845" t="s">
        <v>0</v>
      </c>
      <c r="C845" t="s">
        <v>15</v>
      </c>
      <c r="D845" t="s">
        <v>100</v>
      </c>
      <c r="E845" t="s">
        <v>1</v>
      </c>
      <c r="F845" s="1"/>
      <c r="G845" t="s">
        <v>591</v>
      </c>
      <c r="H845" s="1">
        <v>43487</v>
      </c>
      <c r="I845" s="2">
        <v>0</v>
      </c>
      <c r="J845" s="2">
        <v>-138.47</v>
      </c>
      <c r="K845" t="s">
        <v>1</v>
      </c>
      <c r="L845" t="s">
        <v>474</v>
      </c>
      <c r="M845" t="s">
        <v>367</v>
      </c>
      <c r="N845" s="2">
        <v>-138.47</v>
      </c>
      <c r="O845" t="str">
        <f>IFERROR(VLOOKUP($A845,Accounts!$A:$G,3,FALSE),"")</f>
        <v/>
      </c>
    </row>
    <row r="846" spans="1:15" outlineLevel="2" x14ac:dyDescent="0.2">
      <c r="A846" t="str">
        <f t="shared" si="13"/>
        <v>140000010499-138.47</v>
      </c>
      <c r="B846" t="s">
        <v>0</v>
      </c>
      <c r="C846" t="s">
        <v>15</v>
      </c>
      <c r="D846" t="s">
        <v>100</v>
      </c>
      <c r="E846" t="s">
        <v>1</v>
      </c>
      <c r="F846" s="1"/>
      <c r="G846" t="s">
        <v>590</v>
      </c>
      <c r="H846" s="1">
        <v>43487</v>
      </c>
      <c r="I846" s="2">
        <v>0</v>
      </c>
      <c r="J846" s="2">
        <v>-138.47</v>
      </c>
      <c r="K846" t="s">
        <v>1</v>
      </c>
      <c r="L846" t="s">
        <v>474</v>
      </c>
      <c r="M846" t="s">
        <v>367</v>
      </c>
      <c r="N846" s="2">
        <v>-138.47</v>
      </c>
      <c r="O846" t="str">
        <f>IFERROR(VLOOKUP($A846,Accounts!$A:$G,3,FALSE),"")</f>
        <v/>
      </c>
    </row>
    <row r="847" spans="1:15" outlineLevel="2" x14ac:dyDescent="0.2">
      <c r="A847" t="str">
        <f t="shared" si="13"/>
        <v>140000010399-276.94</v>
      </c>
      <c r="B847" t="s">
        <v>0</v>
      </c>
      <c r="C847" t="s">
        <v>15</v>
      </c>
      <c r="D847" t="s">
        <v>100</v>
      </c>
      <c r="E847" t="s">
        <v>1</v>
      </c>
      <c r="F847" s="1"/>
      <c r="G847" t="s">
        <v>589</v>
      </c>
      <c r="H847" s="1">
        <v>43487</v>
      </c>
      <c r="I847" s="2">
        <v>0</v>
      </c>
      <c r="J847" s="2">
        <v>-276.94</v>
      </c>
      <c r="K847" t="s">
        <v>1</v>
      </c>
      <c r="L847" t="s">
        <v>474</v>
      </c>
      <c r="M847" t="s">
        <v>367</v>
      </c>
      <c r="N847" s="2">
        <v>-276.94</v>
      </c>
      <c r="O847" t="str">
        <f>IFERROR(VLOOKUP($A847,Accounts!$A:$G,3,FALSE),"")</f>
        <v/>
      </c>
    </row>
    <row r="848" spans="1:15" outlineLevel="2" x14ac:dyDescent="0.2">
      <c r="A848" t="str">
        <f t="shared" si="13"/>
        <v>140000010599-138.47</v>
      </c>
      <c r="B848" t="s">
        <v>0</v>
      </c>
      <c r="C848" t="s">
        <v>15</v>
      </c>
      <c r="D848" t="s">
        <v>100</v>
      </c>
      <c r="E848" t="s">
        <v>1</v>
      </c>
      <c r="F848" s="1"/>
      <c r="G848" t="s">
        <v>596</v>
      </c>
      <c r="H848" s="1">
        <v>43487</v>
      </c>
      <c r="I848" s="2">
        <v>0</v>
      </c>
      <c r="J848" s="2">
        <v>-138.47</v>
      </c>
      <c r="K848" t="s">
        <v>1</v>
      </c>
      <c r="L848" t="s">
        <v>474</v>
      </c>
      <c r="M848" t="s">
        <v>367</v>
      </c>
      <c r="N848" s="2">
        <v>-138.47</v>
      </c>
      <c r="O848" t="str">
        <f>IFERROR(VLOOKUP($A848,Accounts!$A:$G,3,FALSE),"")</f>
        <v/>
      </c>
    </row>
    <row r="849" spans="1:15" outlineLevel="2" x14ac:dyDescent="0.2">
      <c r="A849" t="str">
        <f t="shared" si="13"/>
        <v>140000010299-138.47</v>
      </c>
      <c r="B849" t="s">
        <v>0</v>
      </c>
      <c r="C849" t="s">
        <v>15</v>
      </c>
      <c r="D849" t="s">
        <v>100</v>
      </c>
      <c r="E849" t="s">
        <v>1</v>
      </c>
      <c r="F849" s="1"/>
      <c r="G849" t="s">
        <v>601</v>
      </c>
      <c r="H849" s="1">
        <v>43487</v>
      </c>
      <c r="I849" s="2">
        <v>0</v>
      </c>
      <c r="J849" s="2">
        <v>-138.47</v>
      </c>
      <c r="K849" t="s">
        <v>1</v>
      </c>
      <c r="L849" t="s">
        <v>474</v>
      </c>
      <c r="M849" t="s">
        <v>367</v>
      </c>
      <c r="N849" s="2">
        <v>-138.47</v>
      </c>
      <c r="O849" t="str">
        <f>IFERROR(VLOOKUP($A849,Accounts!$A:$G,3,FALSE),"")</f>
        <v/>
      </c>
    </row>
    <row r="850" spans="1:15" outlineLevel="2" x14ac:dyDescent="0.2">
      <c r="A850" t="str">
        <f t="shared" si="13"/>
        <v>140000016399-138.47</v>
      </c>
      <c r="B850" t="s">
        <v>0</v>
      </c>
      <c r="C850" t="s">
        <v>15</v>
      </c>
      <c r="D850" t="s">
        <v>100</v>
      </c>
      <c r="E850" t="s">
        <v>1</v>
      </c>
      <c r="F850" s="1"/>
      <c r="G850" t="s">
        <v>600</v>
      </c>
      <c r="H850" s="1">
        <v>43493</v>
      </c>
      <c r="I850" s="2">
        <v>0</v>
      </c>
      <c r="J850" s="2">
        <v>-138.47</v>
      </c>
      <c r="K850" t="s">
        <v>1</v>
      </c>
      <c r="L850" t="s">
        <v>474</v>
      </c>
      <c r="M850" t="s">
        <v>367</v>
      </c>
      <c r="N850" s="2">
        <v>-138.47</v>
      </c>
      <c r="O850" t="str">
        <f>IFERROR(VLOOKUP($A850,Accounts!$A:$G,3,FALSE),"")</f>
        <v/>
      </c>
    </row>
    <row r="851" spans="1:15" outlineLevel="2" x14ac:dyDescent="0.2">
      <c r="A851" t="str">
        <f t="shared" si="13"/>
        <v>140000016299-138.47</v>
      </c>
      <c r="B851" t="s">
        <v>0</v>
      </c>
      <c r="C851" t="s">
        <v>15</v>
      </c>
      <c r="D851" t="s">
        <v>100</v>
      </c>
      <c r="E851" t="s">
        <v>1</v>
      </c>
      <c r="F851" s="1"/>
      <c r="G851" t="s">
        <v>597</v>
      </c>
      <c r="H851" s="1">
        <v>43493</v>
      </c>
      <c r="I851" s="2">
        <v>0</v>
      </c>
      <c r="J851" s="2">
        <v>-138.47</v>
      </c>
      <c r="K851" t="s">
        <v>1</v>
      </c>
      <c r="L851" t="s">
        <v>474</v>
      </c>
      <c r="M851" t="s">
        <v>367</v>
      </c>
      <c r="N851" s="2">
        <v>-138.47</v>
      </c>
      <c r="O851" t="str">
        <f>IFERROR(VLOOKUP($A851,Accounts!$A:$G,3,FALSE),"")</f>
        <v/>
      </c>
    </row>
    <row r="852" spans="1:15" outlineLevel="2" x14ac:dyDescent="0.2">
      <c r="A852" t="str">
        <f t="shared" si="13"/>
        <v>140000017599-219.3</v>
      </c>
      <c r="B852" t="s">
        <v>0</v>
      </c>
      <c r="C852" t="s">
        <v>15</v>
      </c>
      <c r="D852" t="s">
        <v>100</v>
      </c>
      <c r="E852" t="s">
        <v>1</v>
      </c>
      <c r="F852" s="1"/>
      <c r="G852" t="s">
        <v>605</v>
      </c>
      <c r="H852" s="1">
        <v>43494</v>
      </c>
      <c r="I852" s="2">
        <v>0</v>
      </c>
      <c r="J852" s="2">
        <v>-219.3</v>
      </c>
      <c r="K852" t="s">
        <v>1</v>
      </c>
      <c r="L852" t="s">
        <v>474</v>
      </c>
      <c r="M852" t="s">
        <v>367</v>
      </c>
      <c r="N852" s="2">
        <v>-219.3</v>
      </c>
      <c r="O852" t="str">
        <f>IFERROR(VLOOKUP($A852,Accounts!$A:$G,3,FALSE),"")</f>
        <v/>
      </c>
    </row>
    <row r="853" spans="1:15" outlineLevel="2" x14ac:dyDescent="0.2">
      <c r="A853" t="str">
        <f t="shared" si="13"/>
        <v>140000004299-138.47</v>
      </c>
      <c r="B853" t="s">
        <v>0</v>
      </c>
      <c r="C853" t="s">
        <v>15</v>
      </c>
      <c r="D853" t="s">
        <v>100</v>
      </c>
      <c r="E853" t="s">
        <v>1</v>
      </c>
      <c r="F853" s="1"/>
      <c r="G853" t="s">
        <v>598</v>
      </c>
      <c r="H853" s="1">
        <v>43482</v>
      </c>
      <c r="I853" s="2">
        <v>0</v>
      </c>
      <c r="J853" s="2">
        <v>-138.47</v>
      </c>
      <c r="K853" t="s">
        <v>1</v>
      </c>
      <c r="L853" t="s">
        <v>474</v>
      </c>
      <c r="M853" t="s">
        <v>367</v>
      </c>
      <c r="N853" s="2">
        <v>-138.47</v>
      </c>
      <c r="O853" t="str">
        <f>IFERROR(VLOOKUP($A853,Accounts!$A:$G,3,FALSE),"")</f>
        <v/>
      </c>
    </row>
    <row r="854" spans="1:15" outlineLevel="2" x14ac:dyDescent="0.2">
      <c r="A854" t="str">
        <f t="shared" si="13"/>
        <v>140000004399-138.47</v>
      </c>
      <c r="B854" t="s">
        <v>0</v>
      </c>
      <c r="C854" t="s">
        <v>15</v>
      </c>
      <c r="D854" t="s">
        <v>100</v>
      </c>
      <c r="E854" t="s">
        <v>1</v>
      </c>
      <c r="F854" s="1"/>
      <c r="G854" t="s">
        <v>599</v>
      </c>
      <c r="H854" s="1">
        <v>43482</v>
      </c>
      <c r="I854" s="2">
        <v>0</v>
      </c>
      <c r="J854" s="2">
        <v>-138.47</v>
      </c>
      <c r="K854" t="s">
        <v>1</v>
      </c>
      <c r="L854" t="s">
        <v>474</v>
      </c>
      <c r="M854" t="s">
        <v>367</v>
      </c>
      <c r="N854" s="2">
        <v>-138.47</v>
      </c>
      <c r="O854" t="str">
        <f>IFERROR(VLOOKUP($A854,Accounts!$A:$G,3,FALSE),"")</f>
        <v/>
      </c>
    </row>
    <row r="855" spans="1:15" outlineLevel="2" x14ac:dyDescent="0.2">
      <c r="A855" t="str">
        <f t="shared" si="13"/>
        <v>140000004499-138.47</v>
      </c>
      <c r="B855" t="s">
        <v>0</v>
      </c>
      <c r="C855" t="s">
        <v>15</v>
      </c>
      <c r="D855" t="s">
        <v>100</v>
      </c>
      <c r="E855" t="s">
        <v>1</v>
      </c>
      <c r="F855" s="1"/>
      <c r="G855" t="s">
        <v>602</v>
      </c>
      <c r="H855" s="1">
        <v>43482</v>
      </c>
      <c r="I855" s="2">
        <v>0</v>
      </c>
      <c r="J855" s="2">
        <v>-138.47</v>
      </c>
      <c r="K855" t="s">
        <v>1</v>
      </c>
      <c r="L855" t="s">
        <v>474</v>
      </c>
      <c r="M855" t="s">
        <v>367</v>
      </c>
      <c r="N855" s="2">
        <v>-138.47</v>
      </c>
      <c r="O855" t="str">
        <f>IFERROR(VLOOKUP($A855,Accounts!$A:$G,3,FALSE),"")</f>
        <v/>
      </c>
    </row>
    <row r="856" spans="1:15" outlineLevel="2" x14ac:dyDescent="0.2">
      <c r="A856" t="str">
        <f t="shared" si="13"/>
        <v>1100000016995386.9</v>
      </c>
      <c r="B856" t="s">
        <v>0</v>
      </c>
      <c r="C856" t="s">
        <v>15</v>
      </c>
      <c r="D856" t="s">
        <v>100</v>
      </c>
      <c r="E856" t="s">
        <v>1</v>
      </c>
      <c r="F856" s="1"/>
      <c r="G856" t="s">
        <v>606</v>
      </c>
      <c r="H856" s="1">
        <v>43494</v>
      </c>
      <c r="I856" s="2">
        <v>0</v>
      </c>
      <c r="J856" s="2">
        <v>5386.9</v>
      </c>
      <c r="K856" t="s">
        <v>1</v>
      </c>
      <c r="L856" t="s">
        <v>474</v>
      </c>
      <c r="M856" t="s">
        <v>367</v>
      </c>
      <c r="N856" s="2">
        <v>5386.9</v>
      </c>
      <c r="O856" t="str">
        <f>IFERROR(VLOOKUP($A856,Accounts!$A:$G,3,FALSE),"")</f>
        <v/>
      </c>
    </row>
    <row r="857" spans="1:15" outlineLevel="2" x14ac:dyDescent="0.2">
      <c r="A857" t="str">
        <f t="shared" si="13"/>
        <v>140000017899-276.94</v>
      </c>
      <c r="B857" t="s">
        <v>0</v>
      </c>
      <c r="C857" t="s">
        <v>15</v>
      </c>
      <c r="D857" t="s">
        <v>100</v>
      </c>
      <c r="E857" t="s">
        <v>1</v>
      </c>
      <c r="F857" s="1"/>
      <c r="G857" t="s">
        <v>604</v>
      </c>
      <c r="H857" s="1">
        <v>43494</v>
      </c>
      <c r="I857" s="2">
        <v>0</v>
      </c>
      <c r="J857" s="2">
        <v>-276.94</v>
      </c>
      <c r="K857" t="s">
        <v>1</v>
      </c>
      <c r="L857" t="s">
        <v>474</v>
      </c>
      <c r="M857" t="s">
        <v>367</v>
      </c>
      <c r="N857" s="2">
        <v>-276.94</v>
      </c>
      <c r="O857" t="str">
        <f>IFERROR(VLOOKUP($A857,Accounts!$A:$G,3,FALSE),"")</f>
        <v/>
      </c>
    </row>
    <row r="858" spans="1:15" outlineLevel="2" x14ac:dyDescent="0.2">
      <c r="A858" t="str">
        <f t="shared" si="13"/>
        <v>140000017999-138.47</v>
      </c>
      <c r="B858" t="s">
        <v>0</v>
      </c>
      <c r="C858" t="s">
        <v>15</v>
      </c>
      <c r="D858" t="s">
        <v>100</v>
      </c>
      <c r="E858" t="s">
        <v>1</v>
      </c>
      <c r="F858" s="1"/>
      <c r="G858" t="s">
        <v>603</v>
      </c>
      <c r="H858" s="1">
        <v>43494</v>
      </c>
      <c r="I858" s="2">
        <v>0</v>
      </c>
      <c r="J858" s="2">
        <v>-138.47</v>
      </c>
      <c r="K858" t="s">
        <v>1</v>
      </c>
      <c r="L858" t="s">
        <v>474</v>
      </c>
      <c r="M858" t="s">
        <v>367</v>
      </c>
      <c r="N858" s="2">
        <v>-138.47</v>
      </c>
      <c r="O858" t="str">
        <f>IFERROR(VLOOKUP($A858,Accounts!$A:$G,3,FALSE),"")</f>
        <v/>
      </c>
    </row>
    <row r="859" spans="1:15" outlineLevel="2" x14ac:dyDescent="0.2">
      <c r="A859" t="str">
        <f t="shared" si="13"/>
        <v>1410070029991992.75</v>
      </c>
      <c r="B859" t="s">
        <v>0</v>
      </c>
      <c r="C859" t="s">
        <v>15</v>
      </c>
      <c r="D859" t="s">
        <v>178</v>
      </c>
      <c r="E859" t="s">
        <v>1</v>
      </c>
      <c r="F859" s="1"/>
      <c r="G859" t="s">
        <v>995</v>
      </c>
      <c r="H859" s="1">
        <v>38200</v>
      </c>
      <c r="I859" s="2">
        <v>0</v>
      </c>
      <c r="J859" s="2">
        <v>1992.75</v>
      </c>
      <c r="K859" t="s">
        <v>1</v>
      </c>
      <c r="L859" t="s">
        <v>171</v>
      </c>
      <c r="M859" t="s">
        <v>367</v>
      </c>
      <c r="N859" s="2">
        <v>1992.75</v>
      </c>
      <c r="O859" t="str">
        <f>IFERROR(VLOOKUP($A859,Accounts!$A:$G,3,FALSE),"")</f>
        <v/>
      </c>
    </row>
    <row r="860" spans="1:15" outlineLevel="2" x14ac:dyDescent="0.2">
      <c r="A860" t="str">
        <f t="shared" si="13"/>
        <v>141007021299335.72</v>
      </c>
      <c r="B860" t="s">
        <v>0</v>
      </c>
      <c r="C860" t="s">
        <v>15</v>
      </c>
      <c r="D860" t="s">
        <v>178</v>
      </c>
      <c r="E860" t="s">
        <v>1</v>
      </c>
      <c r="F860" s="1"/>
      <c r="G860" t="s">
        <v>996</v>
      </c>
      <c r="H860" s="1">
        <v>38200</v>
      </c>
      <c r="I860" s="2">
        <v>0</v>
      </c>
      <c r="J860" s="2">
        <v>335.72</v>
      </c>
      <c r="K860" t="s">
        <v>1</v>
      </c>
      <c r="L860" t="s">
        <v>171</v>
      </c>
      <c r="M860" t="s">
        <v>367</v>
      </c>
      <c r="N860" s="2">
        <v>335.72</v>
      </c>
      <c r="O860" t="str">
        <f>IFERROR(VLOOKUP($A860,Accounts!$A:$G,3,FALSE),"")</f>
        <v/>
      </c>
    </row>
    <row r="861" spans="1:15" outlineLevel="2" x14ac:dyDescent="0.2">
      <c r="A861" t="str">
        <f t="shared" si="13"/>
        <v>1410071078998799.57</v>
      </c>
      <c r="B861" t="s">
        <v>0</v>
      </c>
      <c r="C861" t="s">
        <v>15</v>
      </c>
      <c r="D861" t="s">
        <v>178</v>
      </c>
      <c r="E861" t="s">
        <v>1</v>
      </c>
      <c r="F861" s="1"/>
      <c r="G861" t="s">
        <v>997</v>
      </c>
      <c r="H861" s="1">
        <v>38200</v>
      </c>
      <c r="I861" s="2">
        <v>0</v>
      </c>
      <c r="J861" s="2">
        <v>8799.57</v>
      </c>
      <c r="K861" t="s">
        <v>1</v>
      </c>
      <c r="L861" t="s">
        <v>171</v>
      </c>
      <c r="M861" t="s">
        <v>367</v>
      </c>
      <c r="N861" s="2">
        <v>8799.57</v>
      </c>
      <c r="O861" t="str">
        <f>IFERROR(VLOOKUP($A861,Accounts!$A:$G,3,FALSE),"")</f>
        <v/>
      </c>
    </row>
    <row r="862" spans="1:15" outlineLevel="2" x14ac:dyDescent="0.2">
      <c r="A862" t="str">
        <f t="shared" si="13"/>
        <v>60221199-28401.81</v>
      </c>
      <c r="B862" t="s">
        <v>0</v>
      </c>
      <c r="C862" t="s">
        <v>15</v>
      </c>
      <c r="D862" t="s">
        <v>178</v>
      </c>
      <c r="E862" t="s">
        <v>1</v>
      </c>
      <c r="F862" s="1"/>
      <c r="G862" t="s">
        <v>102</v>
      </c>
      <c r="H862" s="1">
        <v>38223</v>
      </c>
      <c r="I862" s="2">
        <v>0</v>
      </c>
      <c r="J862" s="2">
        <v>-28401.81</v>
      </c>
      <c r="K862" t="s">
        <v>1</v>
      </c>
      <c r="L862" t="s">
        <v>171</v>
      </c>
      <c r="M862" t="s">
        <v>367</v>
      </c>
      <c r="N862" s="2">
        <v>-28401.81</v>
      </c>
      <c r="O862" t="str">
        <f>IFERROR(VLOOKUP($A862,Accounts!$A:$G,3,FALSE),"")</f>
        <v/>
      </c>
    </row>
    <row r="863" spans="1:15" outlineLevel="2" x14ac:dyDescent="0.2">
      <c r="A863" t="str">
        <f t="shared" si="13"/>
        <v>1410071079993394.32</v>
      </c>
      <c r="B863" t="s">
        <v>0</v>
      </c>
      <c r="C863" t="s">
        <v>15</v>
      </c>
      <c r="D863" t="s">
        <v>178</v>
      </c>
      <c r="E863" t="s">
        <v>1</v>
      </c>
      <c r="F863" s="1"/>
      <c r="G863" t="s">
        <v>998</v>
      </c>
      <c r="H863" s="1">
        <v>38200</v>
      </c>
      <c r="I863" s="2">
        <v>0</v>
      </c>
      <c r="J863" s="2">
        <v>3394.32</v>
      </c>
      <c r="K863" t="s">
        <v>1</v>
      </c>
      <c r="L863" t="s">
        <v>171</v>
      </c>
      <c r="M863" t="s">
        <v>367</v>
      </c>
      <c r="N863" s="2">
        <v>3394.32</v>
      </c>
      <c r="O863" t="str">
        <f>IFERROR(VLOOKUP($A863,Accounts!$A:$G,3,FALSE),"")</f>
        <v/>
      </c>
    </row>
    <row r="864" spans="1:15" outlineLevel="2" x14ac:dyDescent="0.2">
      <c r="A864" t="str">
        <f t="shared" si="13"/>
        <v>1410071080996330.6</v>
      </c>
      <c r="B864" t="s">
        <v>0</v>
      </c>
      <c r="C864" t="s">
        <v>15</v>
      </c>
      <c r="D864" t="s">
        <v>178</v>
      </c>
      <c r="E864" t="s">
        <v>1</v>
      </c>
      <c r="F864" s="1"/>
      <c r="G864" t="s">
        <v>999</v>
      </c>
      <c r="H864" s="1">
        <v>38200</v>
      </c>
      <c r="I864" s="2">
        <v>0</v>
      </c>
      <c r="J864" s="2">
        <v>6330.6</v>
      </c>
      <c r="K864" t="s">
        <v>1</v>
      </c>
      <c r="L864" t="s">
        <v>171</v>
      </c>
      <c r="M864" t="s">
        <v>367</v>
      </c>
      <c r="N864" s="2">
        <v>6330.6</v>
      </c>
      <c r="O864" t="str">
        <f>IFERROR(VLOOKUP($A864,Accounts!$A:$G,3,FALSE),"")</f>
        <v/>
      </c>
    </row>
    <row r="865" spans="1:15" outlineLevel="2" x14ac:dyDescent="0.2">
      <c r="A865" t="str">
        <f t="shared" si="13"/>
        <v>1410071082997548.85</v>
      </c>
      <c r="B865" t="s">
        <v>0</v>
      </c>
      <c r="C865" t="s">
        <v>15</v>
      </c>
      <c r="D865" t="s">
        <v>178</v>
      </c>
      <c r="E865" t="s">
        <v>1</v>
      </c>
      <c r="F865" s="1"/>
      <c r="G865" t="s">
        <v>1000</v>
      </c>
      <c r="H865" s="1">
        <v>38200</v>
      </c>
      <c r="I865" s="2">
        <v>0</v>
      </c>
      <c r="J865" s="2">
        <v>7548.85</v>
      </c>
      <c r="K865" t="s">
        <v>1</v>
      </c>
      <c r="L865" t="s">
        <v>171</v>
      </c>
      <c r="M865" t="s">
        <v>367</v>
      </c>
      <c r="N865" s="2">
        <v>7548.85</v>
      </c>
      <c r="O865" t="str">
        <f>IFERROR(VLOOKUP($A865,Accounts!$A:$G,3,FALSE),"")</f>
        <v/>
      </c>
    </row>
    <row r="866" spans="1:15" outlineLevel="2" x14ac:dyDescent="0.2">
      <c r="A866" t="str">
        <f t="shared" si="13"/>
        <v>43888.36</v>
      </c>
      <c r="B866" s="3" t="s">
        <v>1</v>
      </c>
      <c r="C866" s="3" t="s">
        <v>15</v>
      </c>
      <c r="D866" s="3" t="s">
        <v>1</v>
      </c>
      <c r="E866" s="3" t="s">
        <v>1</v>
      </c>
      <c r="F866" s="4"/>
      <c r="G866" s="3" t="s">
        <v>1</v>
      </c>
      <c r="H866" s="4"/>
      <c r="I866" s="5">
        <v>-35115.199999999997</v>
      </c>
      <c r="J866" s="5">
        <v>43888.36</v>
      </c>
      <c r="K866" s="3" t="s">
        <v>1</v>
      </c>
      <c r="L866" s="3" t="s">
        <v>1</v>
      </c>
      <c r="M866" s="3" t="s">
        <v>1</v>
      </c>
      <c r="N866" s="5">
        <v>8773.16</v>
      </c>
      <c r="O866" t="str">
        <f>IFERROR(VLOOKUP($A866,Accounts!$A:$G,3,FALSE),"")</f>
        <v/>
      </c>
    </row>
    <row r="867" spans="1:15" outlineLevel="2" x14ac:dyDescent="0.2">
      <c r="A867" t="str">
        <f t="shared" si="13"/>
        <v>607405998174387.81</v>
      </c>
      <c r="B867" t="s">
        <v>0</v>
      </c>
      <c r="C867" t="s">
        <v>17</v>
      </c>
      <c r="D867" t="s">
        <v>220</v>
      </c>
      <c r="E867" t="s">
        <v>1001</v>
      </c>
      <c r="F867" s="1">
        <v>43452</v>
      </c>
      <c r="G867" t="s">
        <v>1</v>
      </c>
      <c r="H867" s="1"/>
      <c r="I867" s="2">
        <v>174387.81</v>
      </c>
      <c r="J867" s="2">
        <v>0</v>
      </c>
      <c r="K867" t="s">
        <v>222</v>
      </c>
      <c r="L867" t="s">
        <v>1</v>
      </c>
      <c r="M867" t="s">
        <v>368</v>
      </c>
      <c r="N867" s="143">
        <v>174387.81</v>
      </c>
      <c r="O867" t="str">
        <f>IFERROR(VLOOKUP($A867,Accounts!$A:$G,3,FALSE),"")</f>
        <v/>
      </c>
    </row>
    <row r="868" spans="1:15" outlineLevel="2" x14ac:dyDescent="0.2">
      <c r="A868" t="str">
        <f t="shared" si="13"/>
        <v>605566998172846.39</v>
      </c>
      <c r="B868" t="s">
        <v>0</v>
      </c>
      <c r="C868" t="s">
        <v>17</v>
      </c>
      <c r="D868" t="s">
        <v>220</v>
      </c>
      <c r="E868" t="s">
        <v>1002</v>
      </c>
      <c r="F868" s="1">
        <v>42359</v>
      </c>
      <c r="G868" t="s">
        <v>1</v>
      </c>
      <c r="H868" s="1"/>
      <c r="I868" s="2">
        <v>172846.39</v>
      </c>
      <c r="J868" s="2">
        <v>0</v>
      </c>
      <c r="K868" t="s">
        <v>370</v>
      </c>
      <c r="L868" t="s">
        <v>1</v>
      </c>
      <c r="M868" t="s">
        <v>368</v>
      </c>
      <c r="N868" s="2">
        <v>172846.39</v>
      </c>
      <c r="O868" t="str">
        <f>IFERROR(VLOOKUP($A868,Accounts!$A:$G,3,FALSE),"")</f>
        <v/>
      </c>
    </row>
    <row r="869" spans="1:15" outlineLevel="2" x14ac:dyDescent="0.2">
      <c r="A869" t="str">
        <f t="shared" si="13"/>
        <v>605984998177105.65</v>
      </c>
      <c r="B869" t="s">
        <v>0</v>
      </c>
      <c r="C869" t="s">
        <v>17</v>
      </c>
      <c r="D869" t="s">
        <v>220</v>
      </c>
      <c r="E869" t="s">
        <v>1003</v>
      </c>
      <c r="F869" s="1">
        <v>42726</v>
      </c>
      <c r="G869" t="s">
        <v>1</v>
      </c>
      <c r="H869" s="1"/>
      <c r="I869" s="2">
        <v>177105.65</v>
      </c>
      <c r="J869" s="2">
        <v>0</v>
      </c>
      <c r="K869" t="s">
        <v>369</v>
      </c>
      <c r="L869" t="s">
        <v>1</v>
      </c>
      <c r="M869" t="s">
        <v>368</v>
      </c>
      <c r="N869" s="143">
        <v>177105.65</v>
      </c>
      <c r="O869" t="str">
        <f>IFERROR(VLOOKUP($A869,Accounts!$A:$G,3,FALSE),"")</f>
        <v/>
      </c>
    </row>
    <row r="870" spans="1:15" outlineLevel="2" x14ac:dyDescent="0.2">
      <c r="A870" t="str">
        <f t="shared" si="13"/>
        <v>605980998216653.03</v>
      </c>
      <c r="B870" t="s">
        <v>0</v>
      </c>
      <c r="C870" t="s">
        <v>17</v>
      </c>
      <c r="D870" t="s">
        <v>220</v>
      </c>
      <c r="E870" t="s">
        <v>1004</v>
      </c>
      <c r="F870" s="1">
        <v>43091</v>
      </c>
      <c r="G870" t="s">
        <v>1</v>
      </c>
      <c r="H870" s="1"/>
      <c r="I870" s="2">
        <v>216653.03</v>
      </c>
      <c r="J870" s="2">
        <v>0</v>
      </c>
      <c r="K870" t="s">
        <v>221</v>
      </c>
      <c r="L870" t="s">
        <v>1</v>
      </c>
      <c r="M870" t="s">
        <v>368</v>
      </c>
      <c r="N870" s="143">
        <v>216653.03</v>
      </c>
      <c r="O870" t="str">
        <f>IFERROR(VLOOKUP($A870,Accounts!$A:$G,3,FALSE),"")</f>
        <v/>
      </c>
    </row>
    <row r="871" spans="1:15" outlineLevel="2" x14ac:dyDescent="0.2">
      <c r="A871" t="str">
        <f t="shared" si="13"/>
        <v>290000196199837661.47</v>
      </c>
      <c r="B871" t="s">
        <v>0</v>
      </c>
      <c r="C871" t="s">
        <v>17</v>
      </c>
      <c r="D871" t="s">
        <v>99</v>
      </c>
      <c r="E871" t="s">
        <v>607</v>
      </c>
      <c r="F871" s="1">
        <v>43488</v>
      </c>
      <c r="G871" t="s">
        <v>1</v>
      </c>
      <c r="H871" s="1"/>
      <c r="I871" s="2">
        <v>37661.47</v>
      </c>
      <c r="J871" s="2">
        <v>0</v>
      </c>
      <c r="K871" t="s">
        <v>474</v>
      </c>
      <c r="L871" t="s">
        <v>1</v>
      </c>
      <c r="M871" t="s">
        <v>368</v>
      </c>
      <c r="N871" s="143">
        <v>37661.47</v>
      </c>
      <c r="O871" t="str">
        <f>IFERROR(VLOOKUP($A871,Accounts!$A:$G,3,FALSE),"")</f>
        <v/>
      </c>
    </row>
    <row r="872" spans="1:15" outlineLevel="2" x14ac:dyDescent="0.2">
      <c r="A872" t="str">
        <f t="shared" si="13"/>
        <v>60034099812920.6</v>
      </c>
      <c r="B872" t="s">
        <v>0</v>
      </c>
      <c r="C872" t="s">
        <v>17</v>
      </c>
      <c r="D872" t="s">
        <v>97</v>
      </c>
      <c r="E872" t="s">
        <v>394</v>
      </c>
      <c r="F872" s="1">
        <v>43488</v>
      </c>
      <c r="G872" t="s">
        <v>1</v>
      </c>
      <c r="H872" s="1"/>
      <c r="I872" s="2">
        <v>12920.6</v>
      </c>
      <c r="J872" s="2">
        <v>0</v>
      </c>
      <c r="K872" t="s">
        <v>474</v>
      </c>
      <c r="L872" t="s">
        <v>1</v>
      </c>
      <c r="M872" t="s">
        <v>368</v>
      </c>
      <c r="N872" s="143">
        <v>12920.6</v>
      </c>
      <c r="O872" t="str">
        <f>IFERROR(VLOOKUP($A872,Accounts!$A:$G,3,FALSE),"")</f>
        <v/>
      </c>
    </row>
    <row r="873" spans="1:15" outlineLevel="2" x14ac:dyDescent="0.2">
      <c r="A873" t="str">
        <f t="shared" si="13"/>
        <v>1400000280998-74085.47</v>
      </c>
      <c r="B873" t="s">
        <v>0</v>
      </c>
      <c r="C873" t="s">
        <v>17</v>
      </c>
      <c r="D873" t="s">
        <v>100</v>
      </c>
      <c r="E873" t="s">
        <v>610</v>
      </c>
      <c r="F873" s="1">
        <v>43493</v>
      </c>
      <c r="G873" t="s">
        <v>1</v>
      </c>
      <c r="H873" s="1"/>
      <c r="I873" s="2">
        <v>-74085.47</v>
      </c>
      <c r="J873" s="2">
        <v>0</v>
      </c>
      <c r="K873" t="s">
        <v>474</v>
      </c>
      <c r="L873" t="s">
        <v>1</v>
      </c>
      <c r="M873" t="s">
        <v>368</v>
      </c>
      <c r="N873" s="143">
        <v>-74085.47</v>
      </c>
      <c r="O873" t="str">
        <f>IFERROR(VLOOKUP($A873,Accounts!$A:$G,3,FALSE),"")</f>
        <v/>
      </c>
    </row>
    <row r="874" spans="1:15" outlineLevel="2" x14ac:dyDescent="0.2">
      <c r="A874" t="str">
        <f t="shared" si="13"/>
        <v>1400000282998-3351.8</v>
      </c>
      <c r="B874" t="s">
        <v>0</v>
      </c>
      <c r="C874" t="s">
        <v>17</v>
      </c>
      <c r="D874" t="s">
        <v>100</v>
      </c>
      <c r="E874" t="s">
        <v>609</v>
      </c>
      <c r="F874" s="1">
        <v>43493</v>
      </c>
      <c r="G874" t="s">
        <v>1</v>
      </c>
      <c r="H874" s="1"/>
      <c r="I874" s="2">
        <v>-3351.8</v>
      </c>
      <c r="J874" s="2">
        <v>0</v>
      </c>
      <c r="K874" t="s">
        <v>474</v>
      </c>
      <c r="L874" t="s">
        <v>1</v>
      </c>
      <c r="M874" t="s">
        <v>368</v>
      </c>
      <c r="N874" s="143">
        <v>-3351.8</v>
      </c>
      <c r="O874" t="str">
        <f>IFERROR(VLOOKUP($A874,Accounts!$A:$G,3,FALSE),"")</f>
        <v/>
      </c>
    </row>
    <row r="875" spans="1:15" outlineLevel="2" x14ac:dyDescent="0.2">
      <c r="A875" t="str">
        <f t="shared" si="13"/>
        <v>1400000227998-303846.64</v>
      </c>
      <c r="B875" t="s">
        <v>0</v>
      </c>
      <c r="C875" t="s">
        <v>17</v>
      </c>
      <c r="D875" t="s">
        <v>100</v>
      </c>
      <c r="E875" t="s">
        <v>608</v>
      </c>
      <c r="F875" s="1">
        <v>43487</v>
      </c>
      <c r="G875" t="s">
        <v>1</v>
      </c>
      <c r="H875" s="1"/>
      <c r="I875" s="2">
        <v>-303846.64</v>
      </c>
      <c r="J875" s="2">
        <v>0</v>
      </c>
      <c r="K875" t="s">
        <v>474</v>
      </c>
      <c r="L875" t="s">
        <v>1</v>
      </c>
      <c r="M875" t="s">
        <v>368</v>
      </c>
      <c r="N875" s="143">
        <v>-303846.64</v>
      </c>
      <c r="O875" t="str">
        <f>IFERROR(VLOOKUP($A875,Accounts!$A:$G,3,FALSE),"")</f>
        <v/>
      </c>
    </row>
    <row r="876" spans="1:15" outlineLevel="2" x14ac:dyDescent="0.2">
      <c r="A876" t="str">
        <f t="shared" si="13"/>
        <v>600426998-700</v>
      </c>
      <c r="B876" t="s">
        <v>0</v>
      </c>
      <c r="C876" t="s">
        <v>17</v>
      </c>
      <c r="D876" t="s">
        <v>95</v>
      </c>
      <c r="E876" t="s">
        <v>612</v>
      </c>
      <c r="F876" s="1">
        <v>43494</v>
      </c>
      <c r="G876" t="s">
        <v>1</v>
      </c>
      <c r="H876" s="1"/>
      <c r="I876" s="2">
        <v>-700</v>
      </c>
      <c r="J876" s="2">
        <v>0</v>
      </c>
      <c r="K876" t="s">
        <v>474</v>
      </c>
      <c r="L876" t="s">
        <v>1</v>
      </c>
      <c r="M876" t="s">
        <v>368</v>
      </c>
      <c r="N876" s="143">
        <v>-700</v>
      </c>
      <c r="O876" t="str">
        <f>IFERROR(VLOOKUP($A876,Accounts!$A:$G,3,FALSE),"")</f>
        <v/>
      </c>
    </row>
    <row r="877" spans="1:15" outlineLevel="2" x14ac:dyDescent="0.2">
      <c r="A877" t="str">
        <f t="shared" si="13"/>
        <v>600426998-818.31</v>
      </c>
      <c r="B877" t="s">
        <v>0</v>
      </c>
      <c r="C877" t="s">
        <v>17</v>
      </c>
      <c r="D877" t="s">
        <v>95</v>
      </c>
      <c r="E877" t="s">
        <v>612</v>
      </c>
      <c r="F877" s="1">
        <v>43494</v>
      </c>
      <c r="G877" t="s">
        <v>1</v>
      </c>
      <c r="H877" s="1"/>
      <c r="I877" s="2">
        <v>-818.31</v>
      </c>
      <c r="J877" s="2">
        <v>0</v>
      </c>
      <c r="K877" t="s">
        <v>474</v>
      </c>
      <c r="L877" t="s">
        <v>1</v>
      </c>
      <c r="M877" t="s">
        <v>368</v>
      </c>
      <c r="N877" s="143">
        <v>-818.31</v>
      </c>
      <c r="O877" t="str">
        <f>IFERROR(VLOOKUP($A877,Accounts!$A:$G,3,FALSE),"")</f>
        <v/>
      </c>
    </row>
    <row r="878" spans="1:15" outlineLevel="2" x14ac:dyDescent="0.2">
      <c r="A878" t="str">
        <f t="shared" si="13"/>
        <v>600426998-522.5</v>
      </c>
      <c r="B878" t="s">
        <v>0</v>
      </c>
      <c r="C878" t="s">
        <v>17</v>
      </c>
      <c r="D878" t="s">
        <v>95</v>
      </c>
      <c r="E878" t="s">
        <v>612</v>
      </c>
      <c r="F878" s="1">
        <v>43494</v>
      </c>
      <c r="G878" t="s">
        <v>1</v>
      </c>
      <c r="H878" s="1"/>
      <c r="I878" s="2">
        <v>-522.5</v>
      </c>
      <c r="J878" s="2">
        <v>0</v>
      </c>
      <c r="K878" t="s">
        <v>474</v>
      </c>
      <c r="L878" t="s">
        <v>1</v>
      </c>
      <c r="M878" t="s">
        <v>368</v>
      </c>
      <c r="N878" s="143">
        <v>-522.5</v>
      </c>
      <c r="O878" t="str">
        <f>IFERROR(VLOOKUP($A878,Accounts!$A:$G,3,FALSE),"")</f>
        <v/>
      </c>
    </row>
    <row r="879" spans="1:15" outlineLevel="2" x14ac:dyDescent="0.2">
      <c r="A879" t="str">
        <f t="shared" si="13"/>
        <v>600426998-889.37</v>
      </c>
      <c r="B879" t="s">
        <v>0</v>
      </c>
      <c r="C879" t="s">
        <v>17</v>
      </c>
      <c r="D879" t="s">
        <v>95</v>
      </c>
      <c r="E879" t="s">
        <v>612</v>
      </c>
      <c r="F879" s="1">
        <v>43494</v>
      </c>
      <c r="G879" t="s">
        <v>1</v>
      </c>
      <c r="H879" s="1"/>
      <c r="I879" s="2">
        <v>-889.37</v>
      </c>
      <c r="J879" s="2">
        <v>0</v>
      </c>
      <c r="K879" t="s">
        <v>474</v>
      </c>
      <c r="L879" t="s">
        <v>1</v>
      </c>
      <c r="M879" t="s">
        <v>368</v>
      </c>
      <c r="N879" s="143">
        <v>-889.37</v>
      </c>
      <c r="O879" t="str">
        <f>IFERROR(VLOOKUP($A879,Accounts!$A:$G,3,FALSE),"")</f>
        <v/>
      </c>
    </row>
    <row r="880" spans="1:15" outlineLevel="2" x14ac:dyDescent="0.2">
      <c r="A880" t="str">
        <f t="shared" si="13"/>
        <v>600426998-829.37</v>
      </c>
      <c r="B880" t="s">
        <v>0</v>
      </c>
      <c r="C880" t="s">
        <v>17</v>
      </c>
      <c r="D880" t="s">
        <v>95</v>
      </c>
      <c r="E880" t="s">
        <v>612</v>
      </c>
      <c r="F880" s="1">
        <v>43494</v>
      </c>
      <c r="G880" t="s">
        <v>1</v>
      </c>
      <c r="H880" s="1"/>
      <c r="I880" s="2">
        <v>-829.37</v>
      </c>
      <c r="J880" s="2">
        <v>0</v>
      </c>
      <c r="K880" t="s">
        <v>474</v>
      </c>
      <c r="L880" t="s">
        <v>1</v>
      </c>
      <c r="M880" t="s">
        <v>368</v>
      </c>
      <c r="N880" s="143">
        <v>-829.37</v>
      </c>
      <c r="O880" t="str">
        <f>IFERROR(VLOOKUP($A880,Accounts!$A:$G,3,FALSE),"")</f>
        <v/>
      </c>
    </row>
    <row r="881" spans="1:15" outlineLevel="2" x14ac:dyDescent="0.2">
      <c r="A881" t="str">
        <f t="shared" si="13"/>
        <v>600482998-85757.81</v>
      </c>
      <c r="B881" t="s">
        <v>0</v>
      </c>
      <c r="C881" t="s">
        <v>17</v>
      </c>
      <c r="D881" t="s">
        <v>95</v>
      </c>
      <c r="E881" t="s">
        <v>468</v>
      </c>
      <c r="F881" s="1">
        <v>43490</v>
      </c>
      <c r="G881" t="s">
        <v>1</v>
      </c>
      <c r="H881" s="1"/>
      <c r="I881" s="2">
        <v>-85757.81</v>
      </c>
      <c r="J881" s="2">
        <v>0</v>
      </c>
      <c r="K881" t="s">
        <v>474</v>
      </c>
      <c r="L881" t="s">
        <v>1</v>
      </c>
      <c r="M881" t="s">
        <v>368</v>
      </c>
      <c r="N881" s="143">
        <v>-85757.81</v>
      </c>
      <c r="O881" t="str">
        <f>IFERROR(VLOOKUP($A881,Accounts!$A:$G,3,FALSE),"")</f>
        <v/>
      </c>
    </row>
    <row r="882" spans="1:15" outlineLevel="2" x14ac:dyDescent="0.2">
      <c r="A882" t="str">
        <f t="shared" si="13"/>
        <v>600317998-69339.11</v>
      </c>
      <c r="B882" t="s">
        <v>0</v>
      </c>
      <c r="C882" t="s">
        <v>17</v>
      </c>
      <c r="D882" t="s">
        <v>95</v>
      </c>
      <c r="E882" t="s">
        <v>611</v>
      </c>
      <c r="F882" s="1">
        <v>43486</v>
      </c>
      <c r="G882" t="s">
        <v>1</v>
      </c>
      <c r="H882" s="1"/>
      <c r="I882" s="2">
        <v>-69339.11</v>
      </c>
      <c r="J882" s="2">
        <v>0</v>
      </c>
      <c r="K882" t="s">
        <v>474</v>
      </c>
      <c r="L882" t="s">
        <v>1</v>
      </c>
      <c r="M882" t="s">
        <v>368</v>
      </c>
      <c r="N882" s="143">
        <v>-69339.11</v>
      </c>
      <c r="O882" t="str">
        <f>IFERROR(VLOOKUP($A882,Accounts!$A:$G,3,FALSE),"")</f>
        <v/>
      </c>
    </row>
    <row r="883" spans="1:15" outlineLevel="2" x14ac:dyDescent="0.2">
      <c r="A883" t="str">
        <f t="shared" si="13"/>
        <v>607674998-775.47</v>
      </c>
      <c r="B883" t="s">
        <v>0</v>
      </c>
      <c r="C883" t="s">
        <v>17</v>
      </c>
      <c r="D883" t="s">
        <v>95</v>
      </c>
      <c r="E883" t="s">
        <v>471</v>
      </c>
      <c r="F883" s="1">
        <v>43462</v>
      </c>
      <c r="G883" t="s">
        <v>1</v>
      </c>
      <c r="H883" s="1"/>
      <c r="I883" s="2">
        <v>-775.47</v>
      </c>
      <c r="J883" s="2">
        <v>0</v>
      </c>
      <c r="K883" t="s">
        <v>222</v>
      </c>
      <c r="L883" t="s">
        <v>1</v>
      </c>
      <c r="M883" t="s">
        <v>368</v>
      </c>
      <c r="N883" s="2">
        <v>-775.47</v>
      </c>
      <c r="O883" t="str">
        <f>IFERROR(VLOOKUP($A883,Accounts!$A:$G,3,FALSE),"")</f>
        <v/>
      </c>
    </row>
    <row r="884" spans="1:15" outlineLevel="2" x14ac:dyDescent="0.2">
      <c r="A884" t="str">
        <f t="shared" si="13"/>
        <v>607674998-343.16</v>
      </c>
      <c r="B884" t="s">
        <v>0</v>
      </c>
      <c r="C884" t="s">
        <v>17</v>
      </c>
      <c r="D884" t="s">
        <v>95</v>
      </c>
      <c r="E884" t="s">
        <v>471</v>
      </c>
      <c r="F884" s="1">
        <v>43462</v>
      </c>
      <c r="G884" t="s">
        <v>1</v>
      </c>
      <c r="H884" s="1"/>
      <c r="I884" s="2">
        <v>-343.16</v>
      </c>
      <c r="J884" s="2">
        <v>0</v>
      </c>
      <c r="K884" t="s">
        <v>222</v>
      </c>
      <c r="L884" t="s">
        <v>1</v>
      </c>
      <c r="M884" t="s">
        <v>368</v>
      </c>
      <c r="N884" s="143">
        <v>-343.16</v>
      </c>
      <c r="O884" t="str">
        <f>IFERROR(VLOOKUP($A884,Accounts!$A:$G,3,FALSE),"")</f>
        <v/>
      </c>
    </row>
    <row r="885" spans="1:15" outlineLevel="2" x14ac:dyDescent="0.2">
      <c r="A885" t="str">
        <f t="shared" si="13"/>
        <v>60570099-172846.39</v>
      </c>
      <c r="B885" t="s">
        <v>0</v>
      </c>
      <c r="C885" t="s">
        <v>17</v>
      </c>
      <c r="D885" t="s">
        <v>220</v>
      </c>
      <c r="E885" t="s">
        <v>1</v>
      </c>
      <c r="F885" s="1"/>
      <c r="G885" t="s">
        <v>373</v>
      </c>
      <c r="H885" s="1">
        <v>42361</v>
      </c>
      <c r="I885" s="2">
        <v>0</v>
      </c>
      <c r="J885" s="2">
        <v>-172846.39</v>
      </c>
      <c r="K885" t="s">
        <v>1</v>
      </c>
      <c r="L885" t="s">
        <v>370</v>
      </c>
      <c r="M885" t="s">
        <v>368</v>
      </c>
      <c r="N885" s="2">
        <v>-172846.39</v>
      </c>
      <c r="O885" t="str">
        <f>IFERROR(VLOOKUP($A885,Accounts!$A:$G,3,FALSE),"")</f>
        <v/>
      </c>
    </row>
    <row r="886" spans="1:15" outlineLevel="2" x14ac:dyDescent="0.2">
      <c r="A886" t="str">
        <f t="shared" si="13"/>
        <v>60774699-174387.81</v>
      </c>
      <c r="B886" t="s">
        <v>0</v>
      </c>
      <c r="C886" t="s">
        <v>17</v>
      </c>
      <c r="D886" t="s">
        <v>220</v>
      </c>
      <c r="E886" t="s">
        <v>1</v>
      </c>
      <c r="F886" s="1"/>
      <c r="G886" t="s">
        <v>470</v>
      </c>
      <c r="H886" s="1">
        <v>43462</v>
      </c>
      <c r="I886" s="2">
        <v>0</v>
      </c>
      <c r="J886" s="2">
        <v>-174387.81</v>
      </c>
      <c r="K886" t="s">
        <v>1</v>
      </c>
      <c r="L886" t="s">
        <v>222</v>
      </c>
      <c r="M886" t="s">
        <v>368</v>
      </c>
      <c r="N886" s="143">
        <v>-174387.81</v>
      </c>
      <c r="O886" t="str">
        <f>IFERROR(VLOOKUP($A886,Accounts!$A:$G,3,FALSE),"")</f>
        <v/>
      </c>
    </row>
    <row r="887" spans="1:15" outlineLevel="2" x14ac:dyDescent="0.2">
      <c r="A887" t="str">
        <f t="shared" si="13"/>
        <v>60621599-216653.03</v>
      </c>
      <c r="B887" t="s">
        <v>0</v>
      </c>
      <c r="C887" t="s">
        <v>17</v>
      </c>
      <c r="D887" t="s">
        <v>220</v>
      </c>
      <c r="E887" t="s">
        <v>1</v>
      </c>
      <c r="F887" s="1"/>
      <c r="G887" t="s">
        <v>371</v>
      </c>
      <c r="H887" s="1">
        <v>43097</v>
      </c>
      <c r="I887" s="2">
        <v>0</v>
      </c>
      <c r="J887" s="2">
        <v>-216653.03</v>
      </c>
      <c r="K887" t="s">
        <v>1</v>
      </c>
      <c r="L887" t="s">
        <v>221</v>
      </c>
      <c r="M887" t="s">
        <v>368</v>
      </c>
      <c r="N887" s="143">
        <v>-216653.03</v>
      </c>
      <c r="O887" t="str">
        <f>IFERROR(VLOOKUP($A887,Accounts!$A:$G,3,FALSE),"")</f>
        <v/>
      </c>
    </row>
    <row r="888" spans="1:15" outlineLevel="2" x14ac:dyDescent="0.2">
      <c r="A888" t="str">
        <f t="shared" si="13"/>
        <v>60607299-177105.65</v>
      </c>
      <c r="B888" t="s">
        <v>0</v>
      </c>
      <c r="C888" t="s">
        <v>17</v>
      </c>
      <c r="D888" t="s">
        <v>220</v>
      </c>
      <c r="E888" t="s">
        <v>1</v>
      </c>
      <c r="F888" s="1"/>
      <c r="G888" t="s">
        <v>372</v>
      </c>
      <c r="H888" s="1">
        <v>42731</v>
      </c>
      <c r="I888" s="2">
        <v>0</v>
      </c>
      <c r="J888" s="2">
        <v>-177105.65</v>
      </c>
      <c r="K888" t="s">
        <v>1</v>
      </c>
      <c r="L888" t="s">
        <v>369</v>
      </c>
      <c r="M888" t="s">
        <v>368</v>
      </c>
      <c r="N888" s="143">
        <v>-177105.65</v>
      </c>
      <c r="O888" t="str">
        <f>IFERROR(VLOOKUP($A888,Accounts!$A:$G,3,FALSE),"")</f>
        <v/>
      </c>
    </row>
    <row r="889" spans="1:15" outlineLevel="2" x14ac:dyDescent="0.2">
      <c r="A889" t="str">
        <f t="shared" si="13"/>
        <v>2900001475993351.8</v>
      </c>
      <c r="B889" t="s">
        <v>0</v>
      </c>
      <c r="C889" t="s">
        <v>17</v>
      </c>
      <c r="D889" t="s">
        <v>99</v>
      </c>
      <c r="E889" t="s">
        <v>1</v>
      </c>
      <c r="F889" s="1"/>
      <c r="G889" t="s">
        <v>613</v>
      </c>
      <c r="H889" s="1">
        <v>43486</v>
      </c>
      <c r="I889" s="2">
        <v>0</v>
      </c>
      <c r="J889" s="2">
        <v>3351.8</v>
      </c>
      <c r="K889" t="s">
        <v>1</v>
      </c>
      <c r="L889" t="s">
        <v>474</v>
      </c>
      <c r="M889" t="s">
        <v>368</v>
      </c>
      <c r="N889" s="143">
        <v>3351.8</v>
      </c>
      <c r="O889" t="str">
        <f>IFERROR(VLOOKUP($A889,Accounts!$A:$G,3,FALSE),"")</f>
        <v/>
      </c>
    </row>
    <row r="890" spans="1:15" outlineLevel="2" x14ac:dyDescent="0.2">
      <c r="A890" t="str">
        <f t="shared" si="13"/>
        <v>29000014679974085.47</v>
      </c>
      <c r="B890" t="s">
        <v>0</v>
      </c>
      <c r="C890" t="s">
        <v>17</v>
      </c>
      <c r="D890" t="s">
        <v>99</v>
      </c>
      <c r="E890" t="s">
        <v>1</v>
      </c>
      <c r="F890" s="1"/>
      <c r="G890" t="s">
        <v>614</v>
      </c>
      <c r="H890" s="1">
        <v>43486</v>
      </c>
      <c r="I890" s="2">
        <v>0</v>
      </c>
      <c r="J890" s="2">
        <v>74085.47</v>
      </c>
      <c r="K890" t="s">
        <v>1</v>
      </c>
      <c r="L890" t="s">
        <v>474</v>
      </c>
      <c r="M890" t="s">
        <v>368</v>
      </c>
      <c r="N890" s="143">
        <v>74085.47</v>
      </c>
      <c r="O890" t="str">
        <f>IFERROR(VLOOKUP($A890,Accounts!$A:$G,3,FALSE),"")</f>
        <v/>
      </c>
    </row>
    <row r="891" spans="1:15" outlineLevel="2" x14ac:dyDescent="0.2">
      <c r="A891" t="str">
        <f t="shared" si="13"/>
        <v>290000171899303846.64</v>
      </c>
      <c r="B891" t="s">
        <v>0</v>
      </c>
      <c r="C891" t="s">
        <v>17</v>
      </c>
      <c r="D891" t="s">
        <v>99</v>
      </c>
      <c r="E891" t="s">
        <v>1</v>
      </c>
      <c r="F891" s="1"/>
      <c r="G891" t="s">
        <v>615</v>
      </c>
      <c r="H891" s="1">
        <v>43487</v>
      </c>
      <c r="I891" s="2">
        <v>0</v>
      </c>
      <c r="J891" s="2">
        <v>303846.64</v>
      </c>
      <c r="K891" t="s">
        <v>1</v>
      </c>
      <c r="L891" t="s">
        <v>474</v>
      </c>
      <c r="M891" t="s">
        <v>368</v>
      </c>
      <c r="N891" s="143">
        <v>303846.64</v>
      </c>
      <c r="O891" t="str">
        <f>IFERROR(VLOOKUP($A891,Accounts!$A:$G,3,FALSE),"")</f>
        <v/>
      </c>
    </row>
    <row r="892" spans="1:15" outlineLevel="2" x14ac:dyDescent="0.2">
      <c r="A892" t="str">
        <f t="shared" si="13"/>
        <v>140000000699829.37</v>
      </c>
      <c r="B892" t="s">
        <v>0</v>
      </c>
      <c r="C892" t="s">
        <v>17</v>
      </c>
      <c r="D892" t="s">
        <v>97</v>
      </c>
      <c r="E892" t="s">
        <v>1</v>
      </c>
      <c r="F892" s="1"/>
      <c r="G892" t="s">
        <v>466</v>
      </c>
      <c r="H892" s="1">
        <v>43467</v>
      </c>
      <c r="I892" s="2">
        <v>0</v>
      </c>
      <c r="J892" s="2">
        <v>829.37</v>
      </c>
      <c r="K892" t="s">
        <v>1</v>
      </c>
      <c r="L892" t="s">
        <v>474</v>
      </c>
      <c r="M892" t="s">
        <v>368</v>
      </c>
      <c r="N892" s="143">
        <v>829.37</v>
      </c>
      <c r="O892" t="str">
        <f>IFERROR(VLOOKUP($A892,Accounts!$A:$G,3,FALSE),"")</f>
        <v/>
      </c>
    </row>
    <row r="893" spans="1:15" outlineLevel="2" x14ac:dyDescent="0.2">
      <c r="A893" t="str">
        <f t="shared" si="13"/>
        <v>140000000799889.37</v>
      </c>
      <c r="B893" t="s">
        <v>0</v>
      </c>
      <c r="C893" t="s">
        <v>17</v>
      </c>
      <c r="D893" t="s">
        <v>97</v>
      </c>
      <c r="E893" t="s">
        <v>1</v>
      </c>
      <c r="F893" s="1"/>
      <c r="G893" t="s">
        <v>467</v>
      </c>
      <c r="H893" s="1">
        <v>43467</v>
      </c>
      <c r="I893" s="2">
        <v>0</v>
      </c>
      <c r="J893" s="2">
        <v>889.37</v>
      </c>
      <c r="K893" t="s">
        <v>1</v>
      </c>
      <c r="L893" t="s">
        <v>474</v>
      </c>
      <c r="M893" t="s">
        <v>368</v>
      </c>
      <c r="N893" s="143">
        <v>889.37</v>
      </c>
      <c r="O893" t="str">
        <f>IFERROR(VLOOKUP($A893,Accounts!$A:$G,3,FALSE),"")</f>
        <v/>
      </c>
    </row>
    <row r="894" spans="1:15" outlineLevel="2" x14ac:dyDescent="0.2">
      <c r="A894" t="str">
        <f t="shared" si="13"/>
        <v>140000001999343.16</v>
      </c>
      <c r="B894" t="s">
        <v>0</v>
      </c>
      <c r="C894" t="s">
        <v>17</v>
      </c>
      <c r="D894" t="s">
        <v>97</v>
      </c>
      <c r="E894" t="s">
        <v>1</v>
      </c>
      <c r="F894" s="1"/>
      <c r="G894" t="s">
        <v>621</v>
      </c>
      <c r="H894" s="1">
        <v>43468</v>
      </c>
      <c r="I894" s="2">
        <v>0</v>
      </c>
      <c r="J894" s="2">
        <v>343.16</v>
      </c>
      <c r="K894" t="s">
        <v>1</v>
      </c>
      <c r="L894" t="s">
        <v>474</v>
      </c>
      <c r="M894" t="s">
        <v>368</v>
      </c>
      <c r="N894" s="143">
        <v>343.16</v>
      </c>
      <c r="O894" t="str">
        <f>IFERROR(VLOOKUP($A894,Accounts!$A:$G,3,FALSE),"")</f>
        <v/>
      </c>
    </row>
    <row r="895" spans="1:15" outlineLevel="2" x14ac:dyDescent="0.2">
      <c r="A895" t="str">
        <f t="shared" si="13"/>
        <v>140000001599522.5</v>
      </c>
      <c r="B895" t="s">
        <v>0</v>
      </c>
      <c r="C895" t="s">
        <v>17</v>
      </c>
      <c r="D895" t="s">
        <v>97</v>
      </c>
      <c r="E895" t="s">
        <v>1</v>
      </c>
      <c r="F895" s="1"/>
      <c r="G895" t="s">
        <v>620</v>
      </c>
      <c r="H895" s="1">
        <v>43468</v>
      </c>
      <c r="I895" s="2">
        <v>0</v>
      </c>
      <c r="J895" s="2">
        <v>522.5</v>
      </c>
      <c r="K895" t="s">
        <v>1</v>
      </c>
      <c r="L895" t="s">
        <v>474</v>
      </c>
      <c r="M895" t="s">
        <v>368</v>
      </c>
      <c r="N895" s="143">
        <v>522.5</v>
      </c>
      <c r="O895" t="str">
        <f>IFERROR(VLOOKUP($A895,Accounts!$A:$G,3,FALSE),"")</f>
        <v/>
      </c>
    </row>
    <row r="896" spans="1:15" outlineLevel="2" x14ac:dyDescent="0.2">
      <c r="A896" t="str">
        <f t="shared" si="13"/>
        <v>14000003529949342</v>
      </c>
      <c r="B896" t="s">
        <v>0</v>
      </c>
      <c r="C896" t="s">
        <v>17</v>
      </c>
      <c r="D896" t="s">
        <v>97</v>
      </c>
      <c r="E896" t="s">
        <v>1</v>
      </c>
      <c r="F896" s="1"/>
      <c r="G896" t="s">
        <v>650</v>
      </c>
      <c r="H896" s="1">
        <v>43495</v>
      </c>
      <c r="I896" s="2">
        <v>0</v>
      </c>
      <c r="J896" s="2">
        <v>49342</v>
      </c>
      <c r="K896" t="s">
        <v>1</v>
      </c>
      <c r="L896" t="s">
        <v>474</v>
      </c>
      <c r="M896" t="s">
        <v>368</v>
      </c>
      <c r="N896" s="2">
        <v>49342</v>
      </c>
      <c r="O896" t="str">
        <f>IFERROR(VLOOKUP($A896,Accounts!$A:$G,3,FALSE),"")</f>
        <v/>
      </c>
    </row>
    <row r="897" spans="1:15" outlineLevel="2" x14ac:dyDescent="0.2">
      <c r="A897" t="str">
        <f t="shared" si="13"/>
        <v>140000026399818.31</v>
      </c>
      <c r="B897" t="s">
        <v>0</v>
      </c>
      <c r="C897" t="s">
        <v>17</v>
      </c>
      <c r="D897" t="s">
        <v>97</v>
      </c>
      <c r="E897" t="s">
        <v>1</v>
      </c>
      <c r="F897" s="1"/>
      <c r="G897" t="s">
        <v>616</v>
      </c>
      <c r="H897" s="1">
        <v>43493</v>
      </c>
      <c r="I897" s="2">
        <v>0</v>
      </c>
      <c r="J897" s="2">
        <v>818.31</v>
      </c>
      <c r="K897" t="s">
        <v>1</v>
      </c>
      <c r="L897" t="s">
        <v>474</v>
      </c>
      <c r="M897" t="s">
        <v>368</v>
      </c>
      <c r="N897" s="143">
        <v>818.31</v>
      </c>
      <c r="O897" t="str">
        <f>IFERROR(VLOOKUP($A897,Accounts!$A:$G,3,FALSE),"")</f>
        <v/>
      </c>
    </row>
    <row r="898" spans="1:15" outlineLevel="2" x14ac:dyDescent="0.2">
      <c r="A898" t="str">
        <f t="shared" si="13"/>
        <v>6004799985757.81</v>
      </c>
      <c r="B898" t="s">
        <v>0</v>
      </c>
      <c r="C898" t="s">
        <v>17</v>
      </c>
      <c r="D898" t="s">
        <v>97</v>
      </c>
      <c r="E898" t="s">
        <v>1</v>
      </c>
      <c r="F898" s="1"/>
      <c r="G898" t="s">
        <v>651</v>
      </c>
      <c r="H898" s="1">
        <v>43490</v>
      </c>
      <c r="I898" s="2">
        <v>0</v>
      </c>
      <c r="J898" s="2">
        <v>85757.81</v>
      </c>
      <c r="K898" t="s">
        <v>1</v>
      </c>
      <c r="L898" t="s">
        <v>474</v>
      </c>
      <c r="M898" t="s">
        <v>368</v>
      </c>
      <c r="N898" s="143">
        <v>85757.81</v>
      </c>
      <c r="O898" t="str">
        <f>IFERROR(VLOOKUP($A898,Accounts!$A:$G,3,FALSE),"")</f>
        <v/>
      </c>
    </row>
    <row r="899" spans="1:15" outlineLevel="2" x14ac:dyDescent="0.2">
      <c r="A899" t="str">
        <f t="shared" si="13"/>
        <v>140000020899700</v>
      </c>
      <c r="B899" t="s">
        <v>0</v>
      </c>
      <c r="C899" t="s">
        <v>17</v>
      </c>
      <c r="D899" t="s">
        <v>97</v>
      </c>
      <c r="E899" t="s">
        <v>1</v>
      </c>
      <c r="F899" s="1"/>
      <c r="G899" t="s">
        <v>617</v>
      </c>
      <c r="H899" s="1">
        <v>43487</v>
      </c>
      <c r="I899" s="2">
        <v>0</v>
      </c>
      <c r="J899" s="2">
        <v>700</v>
      </c>
      <c r="K899" t="s">
        <v>1</v>
      </c>
      <c r="L899" t="s">
        <v>474</v>
      </c>
      <c r="M899" t="s">
        <v>368</v>
      </c>
      <c r="N899" s="143">
        <v>700</v>
      </c>
      <c r="O899" t="str">
        <f>IFERROR(VLOOKUP($A899,Accounts!$A:$G,3,FALSE),"")</f>
        <v/>
      </c>
    </row>
    <row r="900" spans="1:15" outlineLevel="2" x14ac:dyDescent="0.2">
      <c r="A900" t="str">
        <f t="shared" si="13"/>
        <v>6003169969339.11</v>
      </c>
      <c r="B900" t="s">
        <v>0</v>
      </c>
      <c r="C900" t="s">
        <v>17</v>
      </c>
      <c r="D900" t="s">
        <v>97</v>
      </c>
      <c r="E900" t="s">
        <v>1</v>
      </c>
      <c r="F900" s="1"/>
      <c r="G900" t="s">
        <v>618</v>
      </c>
      <c r="H900" s="1">
        <v>43486</v>
      </c>
      <c r="I900" s="2">
        <v>0</v>
      </c>
      <c r="J900" s="2">
        <v>69339.11</v>
      </c>
      <c r="K900" t="s">
        <v>1</v>
      </c>
      <c r="L900" t="s">
        <v>474</v>
      </c>
      <c r="M900" t="s">
        <v>368</v>
      </c>
      <c r="N900" s="143">
        <v>69339.11</v>
      </c>
      <c r="O900" t="str">
        <f>IFERROR(VLOOKUP($A900,Accounts!$A:$G,3,FALSE),"")</f>
        <v/>
      </c>
    </row>
    <row r="901" spans="1:15" outlineLevel="2" x14ac:dyDescent="0.2">
      <c r="A901" t="str">
        <f t="shared" si="13"/>
        <v>6003199950395.23</v>
      </c>
      <c r="B901" t="s">
        <v>0</v>
      </c>
      <c r="C901" t="s">
        <v>17</v>
      </c>
      <c r="D901" t="s">
        <v>97</v>
      </c>
      <c r="E901" t="s">
        <v>1</v>
      </c>
      <c r="F901" s="1"/>
      <c r="G901" t="s">
        <v>619</v>
      </c>
      <c r="H901" s="1">
        <v>43475</v>
      </c>
      <c r="I901" s="2">
        <v>0</v>
      </c>
      <c r="J901" s="2">
        <v>50395.23</v>
      </c>
      <c r="K901" t="s">
        <v>1</v>
      </c>
      <c r="L901" t="s">
        <v>474</v>
      </c>
      <c r="M901" t="s">
        <v>368</v>
      </c>
      <c r="N901" s="2">
        <v>50395.23</v>
      </c>
      <c r="O901" t="str">
        <f>IFERROR(VLOOKUP($A901,Accounts!$A:$G,3,FALSE),"")</f>
        <v/>
      </c>
    </row>
    <row r="902" spans="1:15" outlineLevel="2" x14ac:dyDescent="0.2">
      <c r="A902" t="str">
        <f t="shared" si="13"/>
        <v>140000033699-37661.47</v>
      </c>
      <c r="B902" t="s">
        <v>0</v>
      </c>
      <c r="C902" t="s">
        <v>17</v>
      </c>
      <c r="D902" t="s">
        <v>100</v>
      </c>
      <c r="E902" t="s">
        <v>1</v>
      </c>
      <c r="F902" s="1"/>
      <c r="G902" t="s">
        <v>622</v>
      </c>
      <c r="H902" s="1">
        <v>43494</v>
      </c>
      <c r="I902" s="2">
        <v>0</v>
      </c>
      <c r="J902" s="2">
        <v>-37661.47</v>
      </c>
      <c r="K902" t="s">
        <v>1</v>
      </c>
      <c r="L902" t="s">
        <v>474</v>
      </c>
      <c r="M902" t="s">
        <v>368</v>
      </c>
      <c r="N902" s="143">
        <v>-37661.47</v>
      </c>
      <c r="O902" t="str">
        <f>IFERROR(VLOOKUP($A902,Accounts!$A:$G,3,FALSE),"")</f>
        <v/>
      </c>
    </row>
    <row r="903" spans="1:15" outlineLevel="2" x14ac:dyDescent="0.2">
      <c r="A903" t="str">
        <f t="shared" si="13"/>
        <v>60034199-12920.6</v>
      </c>
      <c r="B903" t="s">
        <v>0</v>
      </c>
      <c r="C903" t="s">
        <v>17</v>
      </c>
      <c r="D903" t="s">
        <v>95</v>
      </c>
      <c r="E903" t="s">
        <v>1</v>
      </c>
      <c r="F903" s="1"/>
      <c r="G903" t="s">
        <v>624</v>
      </c>
      <c r="H903" s="1">
        <v>43488</v>
      </c>
      <c r="I903" s="2">
        <v>0</v>
      </c>
      <c r="J903" s="2">
        <v>-12920.6</v>
      </c>
      <c r="K903" t="s">
        <v>1</v>
      </c>
      <c r="L903" t="s">
        <v>474</v>
      </c>
      <c r="M903" t="s">
        <v>368</v>
      </c>
      <c r="N903" s="143">
        <v>-12920.6</v>
      </c>
      <c r="O903" t="str">
        <f>IFERROR(VLOOKUP($A903,Accounts!$A:$G,3,FALSE),"")</f>
        <v/>
      </c>
    </row>
    <row r="904" spans="1:15" outlineLevel="2" x14ac:dyDescent="0.2">
      <c r="A904" t="str">
        <f t="shared" si="13"/>
        <v>60034399-37661.47</v>
      </c>
      <c r="B904" t="s">
        <v>0</v>
      </c>
      <c r="C904" t="s">
        <v>17</v>
      </c>
      <c r="D904" t="s">
        <v>95</v>
      </c>
      <c r="E904" t="s">
        <v>1</v>
      </c>
      <c r="F904" s="1"/>
      <c r="G904" t="s">
        <v>623</v>
      </c>
      <c r="H904" s="1">
        <v>43488</v>
      </c>
      <c r="I904" s="2">
        <v>0</v>
      </c>
      <c r="J904" s="2">
        <v>-37661.47</v>
      </c>
      <c r="K904" t="s">
        <v>1</v>
      </c>
      <c r="L904" t="s">
        <v>474</v>
      </c>
      <c r="M904" t="s">
        <v>368</v>
      </c>
      <c r="N904" s="2">
        <v>-37661.47</v>
      </c>
      <c r="O904" t="str">
        <f>IFERROR(VLOOKUP($A904,Accounts!$A:$G,3,FALSE),"")</f>
        <v/>
      </c>
    </row>
    <row r="905" spans="1:15" outlineLevel="2" x14ac:dyDescent="0.2">
      <c r="A905" t="str">
        <f t="shared" si="13"/>
        <v>-189015.65</v>
      </c>
      <c r="B905" s="3" t="s">
        <v>1</v>
      </c>
      <c r="C905" s="3" t="s">
        <v>17</v>
      </c>
      <c r="D905" s="3" t="s">
        <v>1</v>
      </c>
      <c r="E905" s="3" t="s">
        <v>1</v>
      </c>
      <c r="F905" s="4"/>
      <c r="G905" s="3" t="s">
        <v>1</v>
      </c>
      <c r="H905" s="4"/>
      <c r="I905" s="5">
        <v>250315.94</v>
      </c>
      <c r="J905" s="5">
        <v>-189015.65</v>
      </c>
      <c r="K905" s="3" t="s">
        <v>1</v>
      </c>
      <c r="L905" s="3" t="s">
        <v>1</v>
      </c>
      <c r="M905" s="3" t="s">
        <v>1</v>
      </c>
      <c r="N905" s="5">
        <v>61300.29</v>
      </c>
      <c r="O905" t="str">
        <f>IFERROR(VLOOKUP($A905,Accounts!$A:$G,3,FALSE),"")</f>
        <v/>
      </c>
    </row>
    <row r="906" spans="1:15" outlineLevel="2" x14ac:dyDescent="0.2">
      <c r="A906" t="str">
        <f t="shared" ref="A906:A969" si="14">IFERROR(IF(J906=0,E906&amp;C906&amp;I906,G906&amp;B906&amp;J906),"")</f>
        <v>14000000896798-11502.07</v>
      </c>
      <c r="B906" t="s">
        <v>0</v>
      </c>
      <c r="C906" t="s">
        <v>91</v>
      </c>
      <c r="D906" t="s">
        <v>100</v>
      </c>
      <c r="E906" t="s">
        <v>625</v>
      </c>
      <c r="F906" s="1">
        <v>43480</v>
      </c>
      <c r="G906" t="s">
        <v>1</v>
      </c>
      <c r="H906" s="1"/>
      <c r="I906" s="2">
        <v>-11502.07</v>
      </c>
      <c r="J906" s="2">
        <v>0</v>
      </c>
      <c r="K906" t="s">
        <v>474</v>
      </c>
      <c r="L906" t="s">
        <v>1</v>
      </c>
      <c r="M906" t="s">
        <v>374</v>
      </c>
      <c r="N906" s="2">
        <v>-11502.07</v>
      </c>
      <c r="O906" t="str">
        <f>IFERROR(VLOOKUP($A906,Accounts!$A:$G,3,FALSE),"")</f>
        <v/>
      </c>
    </row>
    <row r="907" spans="1:15" outlineLevel="2" x14ac:dyDescent="0.2">
      <c r="A907" t="str">
        <f t="shared" si="14"/>
        <v>6003286798-3813.59</v>
      </c>
      <c r="B907" t="s">
        <v>0</v>
      </c>
      <c r="C907" t="s">
        <v>91</v>
      </c>
      <c r="D907" t="s">
        <v>95</v>
      </c>
      <c r="E907" t="s">
        <v>626</v>
      </c>
      <c r="F907" s="1">
        <v>43475</v>
      </c>
      <c r="G907" t="s">
        <v>1</v>
      </c>
      <c r="H907" s="1"/>
      <c r="I907" s="2">
        <v>-3813.59</v>
      </c>
      <c r="J907" s="2">
        <v>0</v>
      </c>
      <c r="K907" t="s">
        <v>474</v>
      </c>
      <c r="L907" t="s">
        <v>1</v>
      </c>
      <c r="M907" t="s">
        <v>374</v>
      </c>
      <c r="N907" s="2">
        <v>-3813.59</v>
      </c>
      <c r="O907" t="str">
        <f>IFERROR(VLOOKUP($A907,Accounts!$A:$G,3,FALSE),"")</f>
        <v/>
      </c>
    </row>
    <row r="908" spans="1:15" outlineLevel="2" x14ac:dyDescent="0.2">
      <c r="A908" t="str">
        <f t="shared" si="14"/>
        <v>29000000109911502.07</v>
      </c>
      <c r="B908" t="s">
        <v>0</v>
      </c>
      <c r="C908" t="s">
        <v>91</v>
      </c>
      <c r="D908" t="s">
        <v>99</v>
      </c>
      <c r="E908" t="s">
        <v>1</v>
      </c>
      <c r="F908" s="1"/>
      <c r="G908" t="s">
        <v>627</v>
      </c>
      <c r="H908" s="1">
        <v>43474</v>
      </c>
      <c r="I908" s="2">
        <v>0</v>
      </c>
      <c r="J908" s="2">
        <v>11502.07</v>
      </c>
      <c r="K908" t="s">
        <v>1</v>
      </c>
      <c r="L908" t="s">
        <v>474</v>
      </c>
      <c r="M908" t="s">
        <v>374</v>
      </c>
      <c r="N908" s="2">
        <v>11502.07</v>
      </c>
      <c r="O908" t="str">
        <f>IFERROR(VLOOKUP($A908,Accounts!$A:$G,3,FALSE),"")</f>
        <v/>
      </c>
    </row>
    <row r="909" spans="1:15" outlineLevel="2" x14ac:dyDescent="0.2">
      <c r="A909" t="str">
        <f t="shared" si="14"/>
        <v>600096993813.59</v>
      </c>
      <c r="B909" t="s">
        <v>0</v>
      </c>
      <c r="C909" t="s">
        <v>91</v>
      </c>
      <c r="D909" t="s">
        <v>97</v>
      </c>
      <c r="E909" t="s">
        <v>1</v>
      </c>
      <c r="F909" s="1"/>
      <c r="G909" t="s">
        <v>628</v>
      </c>
      <c r="H909" s="1">
        <v>43475</v>
      </c>
      <c r="I909" s="2">
        <v>0</v>
      </c>
      <c r="J909" s="2">
        <v>3813.59</v>
      </c>
      <c r="K909" t="s">
        <v>1</v>
      </c>
      <c r="L909" t="s">
        <v>474</v>
      </c>
      <c r="M909" t="s">
        <v>374</v>
      </c>
      <c r="N909" s="2">
        <v>3813.59</v>
      </c>
      <c r="O909" t="str">
        <f>IFERROR(VLOOKUP($A909,Accounts!$A:$G,3,FALSE),"")</f>
        <v/>
      </c>
    </row>
    <row r="910" spans="1:15" outlineLevel="2" x14ac:dyDescent="0.2">
      <c r="A910" t="str">
        <f t="shared" si="14"/>
        <v>15315.66</v>
      </c>
      <c r="B910" s="3" t="s">
        <v>1</v>
      </c>
      <c r="C910" s="3" t="s">
        <v>91</v>
      </c>
      <c r="D910" s="3" t="s">
        <v>1</v>
      </c>
      <c r="E910" s="3" t="s">
        <v>1</v>
      </c>
      <c r="F910" s="4"/>
      <c r="G910" s="3" t="s">
        <v>1</v>
      </c>
      <c r="H910" s="4"/>
      <c r="I910" s="5">
        <v>-15315.66</v>
      </c>
      <c r="J910" s="5">
        <v>15315.66</v>
      </c>
      <c r="K910" s="3" t="s">
        <v>1</v>
      </c>
      <c r="L910" s="3" t="s">
        <v>1</v>
      </c>
      <c r="M910" s="3" t="s">
        <v>1</v>
      </c>
      <c r="N910" s="5">
        <v>0</v>
      </c>
      <c r="O910" t="str">
        <f>IFERROR(VLOOKUP($A910,Accounts!$A:$G,3,FALSE),"")</f>
        <v/>
      </c>
    </row>
    <row r="911" spans="1:15" outlineLevel="2" x14ac:dyDescent="0.2">
      <c r="A911" t="str">
        <f t="shared" si="14"/>
        <v>11000000496799140852.91</v>
      </c>
      <c r="B911" t="s">
        <v>0</v>
      </c>
      <c r="C911" t="s">
        <v>90</v>
      </c>
      <c r="D911" t="s">
        <v>100</v>
      </c>
      <c r="E911" t="s">
        <v>655</v>
      </c>
      <c r="F911" s="1">
        <v>43495</v>
      </c>
      <c r="G911" t="s">
        <v>1</v>
      </c>
      <c r="H911" s="1"/>
      <c r="I911" s="2">
        <v>140852.91</v>
      </c>
      <c r="J911" s="2">
        <v>0</v>
      </c>
      <c r="K911" t="s">
        <v>474</v>
      </c>
      <c r="L911" t="s">
        <v>1</v>
      </c>
      <c r="M911" t="s">
        <v>375</v>
      </c>
      <c r="N911" s="2">
        <v>140852.91</v>
      </c>
      <c r="O911" t="str">
        <f>IFERROR(VLOOKUP($A911,Accounts!$A:$G,3,FALSE),"")</f>
        <v/>
      </c>
    </row>
    <row r="912" spans="1:15" outlineLevel="2" x14ac:dyDescent="0.2">
      <c r="A912" t="str">
        <f t="shared" si="14"/>
        <v>14000002566799-140852.91</v>
      </c>
      <c r="B912" t="s">
        <v>0</v>
      </c>
      <c r="C912" t="s">
        <v>90</v>
      </c>
      <c r="D912" t="s">
        <v>100</v>
      </c>
      <c r="E912" t="s">
        <v>629</v>
      </c>
      <c r="F912" s="1">
        <v>43490</v>
      </c>
      <c r="G912" t="s">
        <v>1</v>
      </c>
      <c r="H912" s="1"/>
      <c r="I912" s="2">
        <v>-140852.91</v>
      </c>
      <c r="J912" s="2">
        <v>0</v>
      </c>
      <c r="K912" t="s">
        <v>474</v>
      </c>
      <c r="L912" t="s">
        <v>1</v>
      </c>
      <c r="M912" t="s">
        <v>375</v>
      </c>
      <c r="N912" s="2">
        <v>-140852.91</v>
      </c>
      <c r="O912" t="str">
        <f>IFERROR(VLOOKUP($A912,Accounts!$A:$G,3,FALSE),"")</f>
        <v/>
      </c>
    </row>
    <row r="913" spans="1:15" outlineLevel="2" x14ac:dyDescent="0.2">
      <c r="A913" t="str">
        <f t="shared" si="14"/>
        <v>14000002426799-7129.89</v>
      </c>
      <c r="B913" t="s">
        <v>0</v>
      </c>
      <c r="C913" t="s">
        <v>90</v>
      </c>
      <c r="D913" t="s">
        <v>100</v>
      </c>
      <c r="E913" t="s">
        <v>630</v>
      </c>
      <c r="F913" s="1">
        <v>43488</v>
      </c>
      <c r="G913" t="s">
        <v>1</v>
      </c>
      <c r="H913" s="1"/>
      <c r="I913" s="2">
        <v>-7129.89</v>
      </c>
      <c r="J913" s="2">
        <v>0</v>
      </c>
      <c r="K913" t="s">
        <v>474</v>
      </c>
      <c r="L913" t="s">
        <v>1</v>
      </c>
      <c r="M913" t="s">
        <v>375</v>
      </c>
      <c r="N913" s="2">
        <v>-7129.89</v>
      </c>
      <c r="O913" t="str">
        <f>IFERROR(VLOOKUP($A913,Accounts!$A:$G,3,FALSE),"")</f>
        <v/>
      </c>
    </row>
    <row r="914" spans="1:15" outlineLevel="2" x14ac:dyDescent="0.2">
      <c r="A914" t="str">
        <f t="shared" si="14"/>
        <v>14000000826799-75885.64</v>
      </c>
      <c r="B914" t="s">
        <v>0</v>
      </c>
      <c r="C914" t="s">
        <v>90</v>
      </c>
      <c r="D914" t="s">
        <v>100</v>
      </c>
      <c r="E914" t="s">
        <v>631</v>
      </c>
      <c r="F914" s="1">
        <v>43475</v>
      </c>
      <c r="G914" t="s">
        <v>1</v>
      </c>
      <c r="H914" s="1"/>
      <c r="I914" s="2">
        <v>-75885.64</v>
      </c>
      <c r="J914" s="2">
        <v>0</v>
      </c>
      <c r="K914" t="s">
        <v>474</v>
      </c>
      <c r="L914" t="s">
        <v>1</v>
      </c>
      <c r="M914" t="s">
        <v>375</v>
      </c>
      <c r="N914" s="2">
        <v>-75885.64</v>
      </c>
      <c r="O914" t="str">
        <f>IFERROR(VLOOKUP($A914,Accounts!$A:$G,3,FALSE),"")</f>
        <v/>
      </c>
    </row>
    <row r="915" spans="1:15" outlineLevel="2" x14ac:dyDescent="0.2">
      <c r="A915" t="str">
        <f t="shared" si="14"/>
        <v>6004846799-19610.42</v>
      </c>
      <c r="B915" t="s">
        <v>0</v>
      </c>
      <c r="C915" t="s">
        <v>90</v>
      </c>
      <c r="D915" t="s">
        <v>95</v>
      </c>
      <c r="E915" t="s">
        <v>656</v>
      </c>
      <c r="F915" s="1">
        <v>43495</v>
      </c>
      <c r="G915" t="s">
        <v>1</v>
      </c>
      <c r="H915" s="1"/>
      <c r="I915" s="2">
        <v>-19610.419999999998</v>
      </c>
      <c r="J915" s="2">
        <v>0</v>
      </c>
      <c r="K915" t="s">
        <v>474</v>
      </c>
      <c r="L915" t="s">
        <v>1</v>
      </c>
      <c r="M915" t="s">
        <v>375</v>
      </c>
      <c r="N915" s="2">
        <v>-19610.419999999998</v>
      </c>
      <c r="O915" t="str">
        <f>IFERROR(VLOOKUP($A915,Accounts!$A:$G,3,FALSE),"")</f>
        <v/>
      </c>
    </row>
    <row r="916" spans="1:15" outlineLevel="2" x14ac:dyDescent="0.2">
      <c r="A916" t="str">
        <f t="shared" si="14"/>
        <v>2900000030997129.89</v>
      </c>
      <c r="B916" t="s">
        <v>0</v>
      </c>
      <c r="C916" t="s">
        <v>90</v>
      </c>
      <c r="D916" t="s">
        <v>99</v>
      </c>
      <c r="E916" t="s">
        <v>1</v>
      </c>
      <c r="F916" s="1"/>
      <c r="G916" t="s">
        <v>1005</v>
      </c>
      <c r="H916" s="1">
        <v>43488</v>
      </c>
      <c r="I916" s="2">
        <v>0</v>
      </c>
      <c r="J916" s="2">
        <v>7129.89</v>
      </c>
      <c r="K916" t="s">
        <v>1</v>
      </c>
      <c r="L916" t="s">
        <v>474</v>
      </c>
      <c r="M916" t="s">
        <v>375</v>
      </c>
      <c r="N916" s="2">
        <v>7129.89</v>
      </c>
      <c r="O916" t="str">
        <f>IFERROR(VLOOKUP($A916,Accounts!$A:$G,3,FALSE),"")</f>
        <v/>
      </c>
    </row>
    <row r="917" spans="1:15" outlineLevel="2" x14ac:dyDescent="0.2">
      <c r="A917" t="str">
        <f t="shared" si="14"/>
        <v>29000000049975885.64</v>
      </c>
      <c r="B917" t="s">
        <v>0</v>
      </c>
      <c r="C917" t="s">
        <v>90</v>
      </c>
      <c r="D917" t="s">
        <v>99</v>
      </c>
      <c r="E917" t="s">
        <v>1</v>
      </c>
      <c r="F917" s="1"/>
      <c r="G917" t="s">
        <v>632</v>
      </c>
      <c r="H917" s="1">
        <v>43475</v>
      </c>
      <c r="I917" s="2">
        <v>0</v>
      </c>
      <c r="J917" s="2">
        <v>75885.64</v>
      </c>
      <c r="K917" t="s">
        <v>1</v>
      </c>
      <c r="L917" t="s">
        <v>474</v>
      </c>
      <c r="M917" t="s">
        <v>375</v>
      </c>
      <c r="N917" s="2">
        <v>75885.64</v>
      </c>
      <c r="O917" t="str">
        <f>IFERROR(VLOOKUP($A917,Accounts!$A:$G,3,FALSE),"")</f>
        <v/>
      </c>
    </row>
    <row r="918" spans="1:15" outlineLevel="2" x14ac:dyDescent="0.2">
      <c r="A918" t="str">
        <f t="shared" si="14"/>
        <v>6001599919610.42</v>
      </c>
      <c r="B918" t="s">
        <v>0</v>
      </c>
      <c r="C918" t="s">
        <v>90</v>
      </c>
      <c r="D918" t="s">
        <v>97</v>
      </c>
      <c r="E918" t="s">
        <v>1</v>
      </c>
      <c r="F918" s="1"/>
      <c r="G918" t="s">
        <v>641</v>
      </c>
      <c r="H918" s="1">
        <v>43495</v>
      </c>
      <c r="I918" s="2">
        <v>0</v>
      </c>
      <c r="J918" s="2">
        <v>19610.419999999998</v>
      </c>
      <c r="K918" t="s">
        <v>1</v>
      </c>
      <c r="L918" t="s">
        <v>474</v>
      </c>
      <c r="M918" t="s">
        <v>375</v>
      </c>
      <c r="N918" s="2">
        <v>19610.419999999998</v>
      </c>
      <c r="O918" t="str">
        <f>IFERROR(VLOOKUP($A918,Accounts!$A:$G,3,FALSE),"")</f>
        <v/>
      </c>
    </row>
    <row r="919" spans="1:15" outlineLevel="2" x14ac:dyDescent="0.2">
      <c r="A919" t="str">
        <f t="shared" si="14"/>
        <v>102625.95</v>
      </c>
      <c r="B919" s="3" t="s">
        <v>1</v>
      </c>
      <c r="C919" s="3" t="s">
        <v>90</v>
      </c>
      <c r="D919" s="3" t="s">
        <v>1</v>
      </c>
      <c r="E919" s="3" t="s">
        <v>1</v>
      </c>
      <c r="F919" s="4"/>
      <c r="G919" s="3" t="s">
        <v>1</v>
      </c>
      <c r="H919" s="4"/>
      <c r="I919" s="5">
        <v>-102625.95</v>
      </c>
      <c r="J919" s="5">
        <v>102625.95</v>
      </c>
      <c r="K919" s="3" t="s">
        <v>1</v>
      </c>
      <c r="L919" s="3" t="s">
        <v>1</v>
      </c>
      <c r="M919" s="3" t="s">
        <v>1</v>
      </c>
      <c r="N919" s="5">
        <v>0</v>
      </c>
      <c r="O919" t="str">
        <f>IFERROR(VLOOKUP($A919,Accounts!$A:$G,3,FALSE),"")</f>
        <v/>
      </c>
    </row>
    <row r="920" spans="1:15" outlineLevel="2" x14ac:dyDescent="0.2">
      <c r="A920" t="str">
        <f t="shared" si="14"/>
        <v>600004997424.04</v>
      </c>
      <c r="B920" t="s">
        <v>0</v>
      </c>
      <c r="C920" t="s">
        <v>384</v>
      </c>
      <c r="D920" t="s">
        <v>220</v>
      </c>
      <c r="E920" t="s">
        <v>1</v>
      </c>
      <c r="F920" s="1"/>
      <c r="G920" t="s">
        <v>385</v>
      </c>
      <c r="H920" s="1">
        <v>43312</v>
      </c>
      <c r="I920" s="2">
        <v>0</v>
      </c>
      <c r="J920" s="2">
        <v>7424.04</v>
      </c>
      <c r="K920" t="s">
        <v>1</v>
      </c>
      <c r="L920" t="s">
        <v>222</v>
      </c>
      <c r="M920" t="s">
        <v>386</v>
      </c>
      <c r="N920" s="2">
        <v>7424.04</v>
      </c>
      <c r="O920" t="str">
        <f>IFERROR(VLOOKUP($A920,Accounts!$A:$G,3,FALSE),"")</f>
        <v/>
      </c>
    </row>
    <row r="921" spans="1:15" outlineLevel="2" x14ac:dyDescent="0.2">
      <c r="A921" t="str">
        <f t="shared" si="14"/>
        <v>60000499-7424.04</v>
      </c>
      <c r="B921" t="s">
        <v>0</v>
      </c>
      <c r="C921" t="s">
        <v>384</v>
      </c>
      <c r="D921" t="s">
        <v>220</v>
      </c>
      <c r="E921" t="s">
        <v>1</v>
      </c>
      <c r="F921" s="1"/>
      <c r="G921" t="s">
        <v>385</v>
      </c>
      <c r="H921" s="1">
        <v>43312</v>
      </c>
      <c r="I921" s="2">
        <v>0</v>
      </c>
      <c r="J921" s="2">
        <v>-7424.04</v>
      </c>
      <c r="K921" t="s">
        <v>1</v>
      </c>
      <c r="L921" t="s">
        <v>222</v>
      </c>
      <c r="M921" t="s">
        <v>386</v>
      </c>
      <c r="N921" s="2">
        <v>-7424.04</v>
      </c>
      <c r="O921" t="str">
        <f>IFERROR(VLOOKUP($A921,Accounts!$A:$G,3,FALSE),"")</f>
        <v/>
      </c>
    </row>
    <row r="922" spans="1:15" outlineLevel="2" x14ac:dyDescent="0.2">
      <c r="A922" t="str">
        <f t="shared" si="14"/>
        <v>69020</v>
      </c>
      <c r="B922" s="3" t="s">
        <v>1</v>
      </c>
      <c r="C922" s="3" t="s">
        <v>384</v>
      </c>
      <c r="D922" s="3" t="s">
        <v>1</v>
      </c>
      <c r="E922" s="3" t="s">
        <v>1</v>
      </c>
      <c r="F922" s="4"/>
      <c r="G922" s="3" t="s">
        <v>1</v>
      </c>
      <c r="H922" s="4"/>
      <c r="I922" s="5">
        <v>0</v>
      </c>
      <c r="J922" s="5">
        <v>0</v>
      </c>
      <c r="K922" s="3" t="s">
        <v>1</v>
      </c>
      <c r="L922" s="3" t="s">
        <v>1</v>
      </c>
      <c r="M922" s="3" t="s">
        <v>1</v>
      </c>
      <c r="N922" s="5">
        <v>0</v>
      </c>
      <c r="O922" t="str">
        <f>IFERROR(VLOOKUP($A922,Accounts!$A:$G,3,FALSE),"")</f>
        <v/>
      </c>
    </row>
    <row r="923" spans="1:15" outlineLevel="2" x14ac:dyDescent="0.2">
      <c r="A923" t="str">
        <f t="shared" si="14"/>
        <v>14000000937032-42099.97</v>
      </c>
      <c r="B923" t="s">
        <v>0</v>
      </c>
      <c r="C923" t="s">
        <v>22</v>
      </c>
      <c r="D923" t="s">
        <v>100</v>
      </c>
      <c r="E923" t="s">
        <v>592</v>
      </c>
      <c r="F923" s="1">
        <v>43476</v>
      </c>
      <c r="G923" t="s">
        <v>1</v>
      </c>
      <c r="H923" s="1"/>
      <c r="I923" s="2">
        <v>-42099.97</v>
      </c>
      <c r="J923" s="2">
        <v>0</v>
      </c>
      <c r="K923" t="s">
        <v>474</v>
      </c>
      <c r="L923" t="s">
        <v>1</v>
      </c>
      <c r="M923" t="s">
        <v>376</v>
      </c>
      <c r="N923" s="2">
        <v>-42099.97</v>
      </c>
      <c r="O923" t="str">
        <f>IFERROR(VLOOKUP($A923,Accounts!$A:$G,3,FALSE),"")</f>
        <v/>
      </c>
    </row>
    <row r="924" spans="1:15" outlineLevel="2" x14ac:dyDescent="0.2">
      <c r="A924" t="str">
        <f t="shared" si="14"/>
        <v>60522970323524.39</v>
      </c>
      <c r="B924" t="s">
        <v>0</v>
      </c>
      <c r="C924" t="s">
        <v>22</v>
      </c>
      <c r="D924" t="s">
        <v>95</v>
      </c>
      <c r="E924" t="s">
        <v>103</v>
      </c>
      <c r="F924" s="1">
        <v>39380</v>
      </c>
      <c r="G924" t="s">
        <v>1</v>
      </c>
      <c r="H924" s="1"/>
      <c r="I924" s="2">
        <v>3524.39</v>
      </c>
      <c r="J924" s="2">
        <v>0</v>
      </c>
      <c r="K924" t="s">
        <v>177</v>
      </c>
      <c r="L924" t="s">
        <v>1</v>
      </c>
      <c r="M924" t="s">
        <v>376</v>
      </c>
      <c r="N924" s="2">
        <v>3524.39</v>
      </c>
      <c r="O924" t="str">
        <f>IFERROR(VLOOKUP($A924,Accounts!$A:$G,3,FALSE),"")</f>
        <v/>
      </c>
    </row>
    <row r="925" spans="1:15" outlineLevel="2" x14ac:dyDescent="0.2">
      <c r="A925" t="str">
        <f t="shared" si="14"/>
        <v>6003707032-15638.15</v>
      </c>
      <c r="B925" t="s">
        <v>0</v>
      </c>
      <c r="C925" t="s">
        <v>22</v>
      </c>
      <c r="D925" t="s">
        <v>95</v>
      </c>
      <c r="E925" t="s">
        <v>633</v>
      </c>
      <c r="F925" s="1">
        <v>43475</v>
      </c>
      <c r="G925" t="s">
        <v>1</v>
      </c>
      <c r="H925" s="1"/>
      <c r="I925" s="2">
        <v>-15638.15</v>
      </c>
      <c r="J925" s="2">
        <v>0</v>
      </c>
      <c r="K925" t="s">
        <v>474</v>
      </c>
      <c r="L925" t="s">
        <v>1</v>
      </c>
      <c r="M925" t="s">
        <v>376</v>
      </c>
      <c r="N925" s="2">
        <v>-15638.15</v>
      </c>
      <c r="O925" t="str">
        <f>IFERROR(VLOOKUP($A925,Accounts!$A:$G,3,FALSE),"")</f>
        <v/>
      </c>
    </row>
    <row r="926" spans="1:15" outlineLevel="2" x14ac:dyDescent="0.2">
      <c r="A926" t="str">
        <f t="shared" si="14"/>
        <v>29000000569942099.97</v>
      </c>
      <c r="B926" t="s">
        <v>0</v>
      </c>
      <c r="C926" t="s">
        <v>22</v>
      </c>
      <c r="D926" t="s">
        <v>99</v>
      </c>
      <c r="E926" t="s">
        <v>1</v>
      </c>
      <c r="F926" s="1"/>
      <c r="G926" t="s">
        <v>1006</v>
      </c>
      <c r="H926" s="1">
        <v>43476</v>
      </c>
      <c r="I926" s="2">
        <v>0</v>
      </c>
      <c r="J926" s="2">
        <v>42099.97</v>
      </c>
      <c r="K926" t="s">
        <v>1</v>
      </c>
      <c r="L926" t="s">
        <v>474</v>
      </c>
      <c r="M926" t="s">
        <v>376</v>
      </c>
      <c r="N926" s="2">
        <v>42099.97</v>
      </c>
      <c r="O926" t="str">
        <f>IFERROR(VLOOKUP($A926,Accounts!$A:$G,3,FALSE),"")</f>
        <v/>
      </c>
    </row>
    <row r="927" spans="1:15" outlineLevel="2" x14ac:dyDescent="0.2">
      <c r="A927" t="str">
        <f t="shared" si="14"/>
        <v>6001089915638.15</v>
      </c>
      <c r="B927" t="s">
        <v>0</v>
      </c>
      <c r="C927" t="s">
        <v>22</v>
      </c>
      <c r="D927" t="s">
        <v>97</v>
      </c>
      <c r="E927" t="s">
        <v>1</v>
      </c>
      <c r="F927" s="1"/>
      <c r="G927" t="s">
        <v>395</v>
      </c>
      <c r="H927" s="1">
        <v>43475</v>
      </c>
      <c r="I927" s="2">
        <v>0</v>
      </c>
      <c r="J927" s="2">
        <v>15638.15</v>
      </c>
      <c r="K927" t="s">
        <v>1</v>
      </c>
      <c r="L927" t="s">
        <v>474</v>
      </c>
      <c r="M927" t="s">
        <v>376</v>
      </c>
      <c r="N927" s="2">
        <v>15638.15</v>
      </c>
      <c r="O927" t="str">
        <f>IFERROR(VLOOKUP($A927,Accounts!$A:$G,3,FALSE),"")</f>
        <v/>
      </c>
    </row>
    <row r="928" spans="1:15" outlineLevel="2" x14ac:dyDescent="0.2">
      <c r="A928" t="str">
        <f t="shared" si="14"/>
        <v>57738.12</v>
      </c>
      <c r="B928" s="3" t="s">
        <v>1</v>
      </c>
      <c r="C928" s="3" t="s">
        <v>22</v>
      </c>
      <c r="D928" s="3" t="s">
        <v>1</v>
      </c>
      <c r="E928" s="3" t="s">
        <v>1</v>
      </c>
      <c r="F928" s="4"/>
      <c r="G928" s="3" t="s">
        <v>1</v>
      </c>
      <c r="H928" s="4"/>
      <c r="I928" s="5">
        <v>-54213.73</v>
      </c>
      <c r="J928" s="5">
        <v>57738.12</v>
      </c>
      <c r="K928" s="3" t="s">
        <v>1</v>
      </c>
      <c r="L928" s="3" t="s">
        <v>1</v>
      </c>
      <c r="M928" s="3" t="s">
        <v>1</v>
      </c>
      <c r="N928" s="5">
        <v>3524.39</v>
      </c>
      <c r="O928" t="str">
        <f>IFERROR(VLOOKUP($A928,Accounts!$A:$G,3,FALSE),"")</f>
        <v/>
      </c>
    </row>
    <row r="929" spans="1:15" outlineLevel="2" x14ac:dyDescent="0.2">
      <c r="A929" t="str">
        <f t="shared" si="14"/>
        <v>16000068738530-13731.25</v>
      </c>
      <c r="B929" t="s">
        <v>0</v>
      </c>
      <c r="C929" t="s">
        <v>24</v>
      </c>
      <c r="D929" t="s">
        <v>100</v>
      </c>
      <c r="E929" t="s">
        <v>401</v>
      </c>
      <c r="F929" s="1">
        <v>43430</v>
      </c>
      <c r="G929" t="s">
        <v>1</v>
      </c>
      <c r="H929" s="1"/>
      <c r="I929" s="2">
        <v>-13731.25</v>
      </c>
      <c r="J929" s="2">
        <v>0</v>
      </c>
      <c r="K929" t="s">
        <v>222</v>
      </c>
      <c r="L929" t="s">
        <v>1</v>
      </c>
      <c r="M929" t="s">
        <v>377</v>
      </c>
      <c r="N929" s="2">
        <v>-13731.25</v>
      </c>
      <c r="O929" t="str">
        <f>IFERROR(VLOOKUP($A929,Accounts!$A:$G,3,FALSE),"")</f>
        <v/>
      </c>
    </row>
    <row r="930" spans="1:15" outlineLevel="2" x14ac:dyDescent="0.2">
      <c r="A930" t="str">
        <f t="shared" si="14"/>
        <v>28028972109913731.25</v>
      </c>
      <c r="B930" t="s">
        <v>0</v>
      </c>
      <c r="C930" t="s">
        <v>24</v>
      </c>
      <c r="D930" t="s">
        <v>99</v>
      </c>
      <c r="E930" t="s">
        <v>1</v>
      </c>
      <c r="F930" s="1"/>
      <c r="G930" t="s">
        <v>1007</v>
      </c>
      <c r="H930" s="1">
        <v>43404</v>
      </c>
      <c r="I930" s="2">
        <v>0</v>
      </c>
      <c r="J930" s="2">
        <v>13731.25</v>
      </c>
      <c r="K930" t="s">
        <v>1</v>
      </c>
      <c r="L930" t="s">
        <v>222</v>
      </c>
      <c r="M930" t="s">
        <v>377</v>
      </c>
      <c r="N930" s="2">
        <v>13731.25</v>
      </c>
      <c r="O930" t="str">
        <f>IFERROR(VLOOKUP($A930,Accounts!$A:$G,3,FALSE),"")</f>
        <v/>
      </c>
    </row>
    <row r="931" spans="1:15" outlineLevel="2" x14ac:dyDescent="0.2">
      <c r="A931" t="str">
        <f t="shared" si="14"/>
        <v>13731.25</v>
      </c>
      <c r="B931" s="3" t="s">
        <v>1</v>
      </c>
      <c r="C931" s="3" t="s">
        <v>24</v>
      </c>
      <c r="D931" s="3" t="s">
        <v>1</v>
      </c>
      <c r="E931" s="3" t="s">
        <v>1</v>
      </c>
      <c r="F931" s="4"/>
      <c r="G931" s="3" t="s">
        <v>1</v>
      </c>
      <c r="H931" s="4"/>
      <c r="I931" s="5">
        <v>-13731.25</v>
      </c>
      <c r="J931" s="5">
        <v>13731.25</v>
      </c>
      <c r="K931" s="3" t="s">
        <v>1</v>
      </c>
      <c r="L931" s="3" t="s">
        <v>1</v>
      </c>
      <c r="M931" s="3" t="s">
        <v>1</v>
      </c>
      <c r="N931" s="5">
        <v>0</v>
      </c>
      <c r="O931" t="str">
        <f>IFERROR(VLOOKUP($A931,Accounts!$A:$G,3,FALSE),"")</f>
        <v/>
      </c>
    </row>
    <row r="932" spans="1:15" outlineLevel="2" x14ac:dyDescent="0.2">
      <c r="A932" t="str">
        <f t="shared" si="14"/>
        <v>6555588693-1506.96</v>
      </c>
      <c r="B932" t="s">
        <v>0</v>
      </c>
      <c r="C932" t="s">
        <v>378</v>
      </c>
      <c r="D932" t="s">
        <v>178</v>
      </c>
      <c r="E932" t="s">
        <v>170</v>
      </c>
      <c r="F932" s="1">
        <v>38223</v>
      </c>
      <c r="G932" t="s">
        <v>1</v>
      </c>
      <c r="H932" s="1"/>
      <c r="I932" s="2">
        <v>-1506.96</v>
      </c>
      <c r="J932" s="2">
        <v>0</v>
      </c>
      <c r="K932" t="s">
        <v>171</v>
      </c>
      <c r="L932" t="s">
        <v>1</v>
      </c>
      <c r="M932" t="s">
        <v>379</v>
      </c>
      <c r="N932" s="2">
        <v>-1506.96</v>
      </c>
      <c r="O932" t="str">
        <f>IFERROR(VLOOKUP($A932,Accounts!$A:$G,3,FALSE),"")</f>
        <v/>
      </c>
    </row>
    <row r="933" spans="1:15" outlineLevel="2" x14ac:dyDescent="0.2">
      <c r="A933" t="str">
        <f t="shared" si="14"/>
        <v>141008004086931506.96</v>
      </c>
      <c r="B933" t="s">
        <v>0</v>
      </c>
      <c r="C933" t="s">
        <v>378</v>
      </c>
      <c r="D933" t="s">
        <v>178</v>
      </c>
      <c r="E933" t="s">
        <v>1008</v>
      </c>
      <c r="F933" s="1">
        <v>38200</v>
      </c>
      <c r="G933" t="s">
        <v>1</v>
      </c>
      <c r="H933" s="1"/>
      <c r="I933" s="2">
        <v>1506.96</v>
      </c>
      <c r="J933" s="2">
        <v>0</v>
      </c>
      <c r="K933" t="s">
        <v>171</v>
      </c>
      <c r="L933" t="s">
        <v>1</v>
      </c>
      <c r="M933" t="s">
        <v>379</v>
      </c>
      <c r="N933" s="2">
        <v>1506.96</v>
      </c>
      <c r="O933" t="str">
        <f>IFERROR(VLOOKUP($A933,Accounts!$A:$G,3,FALSE),"")</f>
        <v/>
      </c>
    </row>
    <row r="934" spans="1:15" outlineLevel="2" x14ac:dyDescent="0.2">
      <c r="A934" t="str">
        <f t="shared" si="14"/>
        <v>86930</v>
      </c>
      <c r="B934" s="3" t="s">
        <v>1</v>
      </c>
      <c r="C934" s="3" t="s">
        <v>378</v>
      </c>
      <c r="D934" s="3" t="s">
        <v>1</v>
      </c>
      <c r="E934" s="3" t="s">
        <v>1</v>
      </c>
      <c r="F934" s="4"/>
      <c r="G934" s="3" t="s">
        <v>1</v>
      </c>
      <c r="H934" s="4"/>
      <c r="I934" s="5">
        <v>0</v>
      </c>
      <c r="J934" s="5">
        <v>0</v>
      </c>
      <c r="K934" s="3" t="s">
        <v>1</v>
      </c>
      <c r="L934" s="3" t="s">
        <v>1</v>
      </c>
      <c r="M934" s="3" t="s">
        <v>1</v>
      </c>
      <c r="N934" s="5">
        <v>0</v>
      </c>
      <c r="O934" t="str">
        <f>IFERROR(VLOOKUP($A934,Accounts!$A:$G,3,FALSE),"")</f>
        <v/>
      </c>
    </row>
    <row r="935" spans="1:15" outlineLevel="2" x14ac:dyDescent="0.2">
      <c r="A935" t="str">
        <f t="shared" si="14"/>
        <v>600002162891320744.75</v>
      </c>
      <c r="B935" t="s">
        <v>0</v>
      </c>
      <c r="C935" t="s">
        <v>25</v>
      </c>
      <c r="D935" t="s">
        <v>381</v>
      </c>
      <c r="E935" t="s">
        <v>1009</v>
      </c>
      <c r="F935" s="1">
        <v>43486</v>
      </c>
      <c r="G935" t="s">
        <v>1</v>
      </c>
      <c r="H935" s="1"/>
      <c r="I935" s="2">
        <v>20744.75</v>
      </c>
      <c r="J935" s="2">
        <v>0</v>
      </c>
      <c r="K935" t="s">
        <v>474</v>
      </c>
      <c r="L935" t="s">
        <v>1</v>
      </c>
      <c r="M935" t="s">
        <v>380</v>
      </c>
      <c r="N935" s="2">
        <v>20744.75</v>
      </c>
      <c r="O935" t="str">
        <f>IFERROR(VLOOKUP($A935,Accounts!$A:$G,3,FALSE),"")</f>
        <v/>
      </c>
    </row>
    <row r="936" spans="1:15" outlineLevel="2" x14ac:dyDescent="0.2">
      <c r="A936" t="str">
        <f t="shared" si="14"/>
        <v>6000022288913376034.06</v>
      </c>
      <c r="B936" t="s">
        <v>0</v>
      </c>
      <c r="C936" t="s">
        <v>25</v>
      </c>
      <c r="D936" t="s">
        <v>381</v>
      </c>
      <c r="E936" t="s">
        <v>1010</v>
      </c>
      <c r="F936" s="1">
        <v>43487</v>
      </c>
      <c r="G936" t="s">
        <v>1</v>
      </c>
      <c r="H936" s="1"/>
      <c r="I936" s="2">
        <v>376034.06</v>
      </c>
      <c r="J936" s="2">
        <v>0</v>
      </c>
      <c r="K936" t="s">
        <v>474</v>
      </c>
      <c r="L936" t="s">
        <v>1</v>
      </c>
      <c r="M936" t="s">
        <v>380</v>
      </c>
      <c r="N936" s="2">
        <v>376034.06</v>
      </c>
      <c r="O936" t="str">
        <f>IFERROR(VLOOKUP($A936,Accounts!$A:$G,3,FALSE),"")</f>
        <v/>
      </c>
    </row>
    <row r="937" spans="1:15" outlineLevel="2" x14ac:dyDescent="0.2">
      <c r="A937" t="str">
        <f t="shared" si="14"/>
        <v>60000232789132822.7</v>
      </c>
      <c r="B937" t="s">
        <v>0</v>
      </c>
      <c r="C937" t="s">
        <v>25</v>
      </c>
      <c r="D937" t="s">
        <v>381</v>
      </c>
      <c r="E937" t="s">
        <v>1011</v>
      </c>
      <c r="F937" s="1">
        <v>43488</v>
      </c>
      <c r="G937" t="s">
        <v>1</v>
      </c>
      <c r="H937" s="1"/>
      <c r="I937" s="2">
        <v>2822.7</v>
      </c>
      <c r="J937" s="2">
        <v>0</v>
      </c>
      <c r="K937" t="s">
        <v>474</v>
      </c>
      <c r="L937" t="s">
        <v>1</v>
      </c>
      <c r="M937" t="s">
        <v>380</v>
      </c>
      <c r="N937" s="2">
        <v>2822.7</v>
      </c>
      <c r="O937" t="str">
        <f>IFERROR(VLOOKUP($A937,Accounts!$A:$G,3,FALSE),"")</f>
        <v/>
      </c>
    </row>
    <row r="938" spans="1:15" outlineLevel="2" x14ac:dyDescent="0.2">
      <c r="A938" t="str">
        <f t="shared" si="14"/>
        <v>60000232689135808.47</v>
      </c>
      <c r="B938" t="s">
        <v>0</v>
      </c>
      <c r="C938" t="s">
        <v>25</v>
      </c>
      <c r="D938" t="s">
        <v>381</v>
      </c>
      <c r="E938" t="s">
        <v>1012</v>
      </c>
      <c r="F938" s="1">
        <v>43488</v>
      </c>
      <c r="G938" t="s">
        <v>1</v>
      </c>
      <c r="H938" s="1"/>
      <c r="I938" s="2">
        <v>5808.47</v>
      </c>
      <c r="J938" s="2">
        <v>0</v>
      </c>
      <c r="K938" t="s">
        <v>474</v>
      </c>
      <c r="L938" t="s">
        <v>1</v>
      </c>
      <c r="M938" t="s">
        <v>380</v>
      </c>
      <c r="N938" s="2">
        <v>5808.47</v>
      </c>
      <c r="O938" t="str">
        <f>IFERROR(VLOOKUP($A938,Accounts!$A:$G,3,FALSE),"")</f>
        <v/>
      </c>
    </row>
    <row r="939" spans="1:15" outlineLevel="2" x14ac:dyDescent="0.2">
      <c r="A939" t="str">
        <f t="shared" si="14"/>
        <v>6000023728913-1108958.72</v>
      </c>
      <c r="B939" t="s">
        <v>0</v>
      </c>
      <c r="C939" t="s">
        <v>25</v>
      </c>
      <c r="D939" t="s">
        <v>381</v>
      </c>
      <c r="E939" t="s">
        <v>1013</v>
      </c>
      <c r="F939" s="1">
        <v>43489</v>
      </c>
      <c r="G939" t="s">
        <v>1</v>
      </c>
      <c r="H939" s="1"/>
      <c r="I939" s="2">
        <v>-1108958.72</v>
      </c>
      <c r="J939" s="2">
        <v>0</v>
      </c>
      <c r="K939" t="s">
        <v>474</v>
      </c>
      <c r="L939" t="s">
        <v>1</v>
      </c>
      <c r="M939" t="s">
        <v>380</v>
      </c>
      <c r="N939" s="2">
        <v>-1108958.72</v>
      </c>
      <c r="O939" t="str">
        <f>IFERROR(VLOOKUP($A939,Accounts!$A:$G,3,FALSE),"")</f>
        <v/>
      </c>
    </row>
    <row r="940" spans="1:15" outlineLevel="2" x14ac:dyDescent="0.2">
      <c r="A940" t="str">
        <f t="shared" si="14"/>
        <v>60000287789131776.89</v>
      </c>
      <c r="B940" t="s">
        <v>0</v>
      </c>
      <c r="C940" t="s">
        <v>25</v>
      </c>
      <c r="D940" t="s">
        <v>381</v>
      </c>
      <c r="E940" t="s">
        <v>1014</v>
      </c>
      <c r="F940" s="1">
        <v>43490</v>
      </c>
      <c r="G940" t="s">
        <v>1</v>
      </c>
      <c r="H940" s="1"/>
      <c r="I940" s="2">
        <v>1776.89</v>
      </c>
      <c r="J940" s="2">
        <v>0</v>
      </c>
      <c r="K940" t="s">
        <v>474</v>
      </c>
      <c r="L940" t="s">
        <v>1</v>
      </c>
      <c r="M940" t="s">
        <v>380</v>
      </c>
      <c r="N940" s="2">
        <v>1776.89</v>
      </c>
      <c r="O940" t="str">
        <f>IFERROR(VLOOKUP($A940,Accounts!$A:$G,3,FALSE),"")</f>
        <v/>
      </c>
    </row>
    <row r="941" spans="1:15" outlineLevel="2" x14ac:dyDescent="0.2">
      <c r="A941" t="str">
        <f t="shared" si="14"/>
        <v>6000028328913-286453.21</v>
      </c>
      <c r="B941" t="s">
        <v>0</v>
      </c>
      <c r="C941" t="s">
        <v>25</v>
      </c>
      <c r="D941" t="s">
        <v>381</v>
      </c>
      <c r="E941" t="s">
        <v>1015</v>
      </c>
      <c r="F941" s="1">
        <v>43490</v>
      </c>
      <c r="G941" t="s">
        <v>1</v>
      </c>
      <c r="H941" s="1"/>
      <c r="I941" s="2">
        <v>-286453.21000000002</v>
      </c>
      <c r="J941" s="2">
        <v>0</v>
      </c>
      <c r="K941" t="s">
        <v>474</v>
      </c>
      <c r="L941" t="s">
        <v>1</v>
      </c>
      <c r="M941" t="s">
        <v>380</v>
      </c>
      <c r="N941" s="2">
        <v>-286453.21000000002</v>
      </c>
      <c r="O941" t="str">
        <f>IFERROR(VLOOKUP($A941,Accounts!$A:$G,3,FALSE),"")</f>
        <v/>
      </c>
    </row>
    <row r="942" spans="1:15" outlineLevel="2" x14ac:dyDescent="0.2">
      <c r="A942" t="str">
        <f t="shared" si="14"/>
        <v>6000029398913-109380.73</v>
      </c>
      <c r="B942" t="s">
        <v>0</v>
      </c>
      <c r="C942" t="s">
        <v>25</v>
      </c>
      <c r="D942" t="s">
        <v>381</v>
      </c>
      <c r="E942" t="s">
        <v>1016</v>
      </c>
      <c r="F942" s="1">
        <v>43493</v>
      </c>
      <c r="G942" t="s">
        <v>1</v>
      </c>
      <c r="H942" s="1"/>
      <c r="I942" s="2">
        <v>-109380.73</v>
      </c>
      <c r="J942" s="2">
        <v>0</v>
      </c>
      <c r="K942" t="s">
        <v>474</v>
      </c>
      <c r="L942" t="s">
        <v>1</v>
      </c>
      <c r="M942" t="s">
        <v>380</v>
      </c>
      <c r="N942" s="2">
        <v>-109380.73</v>
      </c>
      <c r="O942" t="str">
        <f>IFERROR(VLOOKUP($A942,Accounts!$A:$G,3,FALSE),"")</f>
        <v/>
      </c>
    </row>
    <row r="943" spans="1:15" outlineLevel="2" x14ac:dyDescent="0.2">
      <c r="A943" t="str">
        <f t="shared" si="14"/>
        <v>6000030038913142698.48</v>
      </c>
      <c r="B943" t="s">
        <v>0</v>
      </c>
      <c r="C943" t="s">
        <v>25</v>
      </c>
      <c r="D943" t="s">
        <v>381</v>
      </c>
      <c r="E943" t="s">
        <v>1017</v>
      </c>
      <c r="F943" s="1">
        <v>43494</v>
      </c>
      <c r="G943" t="s">
        <v>1</v>
      </c>
      <c r="H943" s="1"/>
      <c r="I943" s="2">
        <v>142698.48000000001</v>
      </c>
      <c r="J943" s="2">
        <v>0</v>
      </c>
      <c r="K943" t="s">
        <v>474</v>
      </c>
      <c r="L943" t="s">
        <v>1</v>
      </c>
      <c r="M943" t="s">
        <v>380</v>
      </c>
      <c r="N943" s="2">
        <v>142698.48000000001</v>
      </c>
      <c r="O943" t="str">
        <f>IFERROR(VLOOKUP($A943,Accounts!$A:$G,3,FALSE),"")</f>
        <v/>
      </c>
    </row>
    <row r="944" spans="1:15" outlineLevel="2" x14ac:dyDescent="0.2">
      <c r="A944" t="str">
        <f t="shared" si="14"/>
        <v>6000030028913116977.9</v>
      </c>
      <c r="B944" t="s">
        <v>0</v>
      </c>
      <c r="C944" t="s">
        <v>25</v>
      </c>
      <c r="D944" t="s">
        <v>381</v>
      </c>
      <c r="E944" t="s">
        <v>1018</v>
      </c>
      <c r="F944" s="1">
        <v>43494</v>
      </c>
      <c r="G944" t="s">
        <v>1</v>
      </c>
      <c r="H944" s="1"/>
      <c r="I944" s="2">
        <v>116977.9</v>
      </c>
      <c r="J944" s="2">
        <v>0</v>
      </c>
      <c r="K944" t="s">
        <v>474</v>
      </c>
      <c r="L944" t="s">
        <v>1</v>
      </c>
      <c r="M944" t="s">
        <v>380</v>
      </c>
      <c r="N944" s="2">
        <v>116977.9</v>
      </c>
      <c r="O944" t="str">
        <f>IFERROR(VLOOKUP($A944,Accounts!$A:$G,3,FALSE),"")</f>
        <v/>
      </c>
    </row>
    <row r="945" spans="1:15" outlineLevel="2" x14ac:dyDescent="0.2">
      <c r="A945" t="str">
        <f t="shared" si="14"/>
        <v>600003040891329852.79</v>
      </c>
      <c r="B945" t="s">
        <v>0</v>
      </c>
      <c r="C945" t="s">
        <v>25</v>
      </c>
      <c r="D945" t="s">
        <v>381</v>
      </c>
      <c r="E945" t="s">
        <v>1019</v>
      </c>
      <c r="F945" s="1">
        <v>43495</v>
      </c>
      <c r="G945" t="s">
        <v>1</v>
      </c>
      <c r="H945" s="1"/>
      <c r="I945" s="2">
        <v>29852.79</v>
      </c>
      <c r="J945" s="2">
        <v>0</v>
      </c>
      <c r="K945" t="s">
        <v>474</v>
      </c>
      <c r="L945" t="s">
        <v>1</v>
      </c>
      <c r="M945" t="s">
        <v>380</v>
      </c>
      <c r="N945" s="2">
        <v>29852.79</v>
      </c>
      <c r="O945" t="str">
        <f>IFERROR(VLOOKUP($A945,Accounts!$A:$G,3,FALSE),"")</f>
        <v/>
      </c>
    </row>
    <row r="946" spans="1:15" outlineLevel="2" x14ac:dyDescent="0.2">
      <c r="A946" t="str">
        <f t="shared" si="14"/>
        <v>6078318913-4477906.19</v>
      </c>
      <c r="B946" t="s">
        <v>0</v>
      </c>
      <c r="C946" t="s">
        <v>25</v>
      </c>
      <c r="D946" t="s">
        <v>381</v>
      </c>
      <c r="E946" t="s">
        <v>1020</v>
      </c>
      <c r="F946" s="1">
        <v>43465</v>
      </c>
      <c r="G946" t="s">
        <v>1</v>
      </c>
      <c r="H946" s="1"/>
      <c r="I946" s="2">
        <v>-4477906.1900000004</v>
      </c>
      <c r="J946" s="2">
        <v>0</v>
      </c>
      <c r="K946" t="s">
        <v>222</v>
      </c>
      <c r="L946" t="s">
        <v>1</v>
      </c>
      <c r="M946" t="s">
        <v>380</v>
      </c>
      <c r="N946" s="2">
        <v>-4477906.1900000004</v>
      </c>
      <c r="O946" t="str">
        <f>IFERROR(VLOOKUP($A946,Accounts!$A:$G,3,FALSE),"")</f>
        <v/>
      </c>
    </row>
    <row r="947" spans="1:15" outlineLevel="2" x14ac:dyDescent="0.2">
      <c r="A947" t="str">
        <f t="shared" si="14"/>
        <v>6000000398913280469.57</v>
      </c>
      <c r="B947" t="s">
        <v>0</v>
      </c>
      <c r="C947" t="s">
        <v>25</v>
      </c>
      <c r="D947" t="s">
        <v>381</v>
      </c>
      <c r="E947" t="s">
        <v>1021</v>
      </c>
      <c r="F947" s="1">
        <v>43467</v>
      </c>
      <c r="G947" t="s">
        <v>1</v>
      </c>
      <c r="H947" s="1"/>
      <c r="I947" s="2">
        <v>280469.57</v>
      </c>
      <c r="J947" s="2">
        <v>0</v>
      </c>
      <c r="K947" t="s">
        <v>474</v>
      </c>
      <c r="L947" t="s">
        <v>1</v>
      </c>
      <c r="M947" t="s">
        <v>380</v>
      </c>
      <c r="N947" s="2">
        <v>280469.57</v>
      </c>
      <c r="O947" t="str">
        <f>IFERROR(VLOOKUP($A947,Accounts!$A:$G,3,FALSE),"")</f>
        <v/>
      </c>
    </row>
    <row r="948" spans="1:15" outlineLevel="2" x14ac:dyDescent="0.2">
      <c r="A948" t="str">
        <f t="shared" si="14"/>
        <v>6000001768913299551.85</v>
      </c>
      <c r="B948" t="s">
        <v>0</v>
      </c>
      <c r="C948" t="s">
        <v>25</v>
      </c>
      <c r="D948" t="s">
        <v>381</v>
      </c>
      <c r="E948" t="s">
        <v>1022</v>
      </c>
      <c r="F948" s="1">
        <v>43468</v>
      </c>
      <c r="G948" t="s">
        <v>1</v>
      </c>
      <c r="H948" s="1"/>
      <c r="I948" s="2">
        <v>299551.84999999998</v>
      </c>
      <c r="J948" s="2">
        <v>0</v>
      </c>
      <c r="K948" t="s">
        <v>474</v>
      </c>
      <c r="L948" t="s">
        <v>1</v>
      </c>
      <c r="M948" t="s">
        <v>380</v>
      </c>
      <c r="N948" s="2">
        <v>299551.84999999998</v>
      </c>
      <c r="O948" t="str">
        <f>IFERROR(VLOOKUP($A948,Accounts!$A:$G,3,FALSE),"")</f>
        <v/>
      </c>
    </row>
    <row r="949" spans="1:15" outlineLevel="2" x14ac:dyDescent="0.2">
      <c r="A949" t="str">
        <f t="shared" si="14"/>
        <v>6000001758913-41.1</v>
      </c>
      <c r="B949" t="s">
        <v>0</v>
      </c>
      <c r="C949" t="s">
        <v>25</v>
      </c>
      <c r="D949" t="s">
        <v>381</v>
      </c>
      <c r="E949" t="s">
        <v>1023</v>
      </c>
      <c r="F949" s="1">
        <v>43468</v>
      </c>
      <c r="G949" t="s">
        <v>1</v>
      </c>
      <c r="H949" s="1"/>
      <c r="I949" s="2">
        <v>-41.1</v>
      </c>
      <c r="J949" s="2">
        <v>0</v>
      </c>
      <c r="K949" t="s">
        <v>474</v>
      </c>
      <c r="L949" t="s">
        <v>1</v>
      </c>
      <c r="M949" t="s">
        <v>380</v>
      </c>
      <c r="N949" s="2">
        <v>-41.1</v>
      </c>
      <c r="O949" t="str">
        <f>IFERROR(VLOOKUP($A949,Accounts!$A:$G,3,FALSE),"")</f>
        <v/>
      </c>
    </row>
    <row r="950" spans="1:15" outlineLevel="2" x14ac:dyDescent="0.2">
      <c r="A950" t="str">
        <f t="shared" si="14"/>
        <v>6000004878913-1485086.97</v>
      </c>
      <c r="B950" t="s">
        <v>0</v>
      </c>
      <c r="C950" t="s">
        <v>25</v>
      </c>
      <c r="D950" t="s">
        <v>381</v>
      </c>
      <c r="E950" t="s">
        <v>1024</v>
      </c>
      <c r="F950" s="1">
        <v>43469</v>
      </c>
      <c r="G950" t="s">
        <v>1</v>
      </c>
      <c r="H950" s="1"/>
      <c r="I950" s="2">
        <v>-1485086.97</v>
      </c>
      <c r="J950" s="2">
        <v>0</v>
      </c>
      <c r="K950" t="s">
        <v>474</v>
      </c>
      <c r="L950" t="s">
        <v>1</v>
      </c>
      <c r="M950" t="s">
        <v>380</v>
      </c>
      <c r="N950" s="2">
        <v>-1485086.97</v>
      </c>
      <c r="O950" t="str">
        <f>IFERROR(VLOOKUP($A950,Accounts!$A:$G,3,FALSE),"")</f>
        <v/>
      </c>
    </row>
    <row r="951" spans="1:15" outlineLevel="2" x14ac:dyDescent="0.2">
      <c r="A951" t="str">
        <f t="shared" si="14"/>
        <v>60000065689132688.37</v>
      </c>
      <c r="B951" t="s">
        <v>0</v>
      </c>
      <c r="C951" t="s">
        <v>25</v>
      </c>
      <c r="D951" t="s">
        <v>381</v>
      </c>
      <c r="E951" t="s">
        <v>1025</v>
      </c>
      <c r="F951" s="1">
        <v>43472</v>
      </c>
      <c r="G951" t="s">
        <v>1</v>
      </c>
      <c r="H951" s="1"/>
      <c r="I951" s="2">
        <v>2688.37</v>
      </c>
      <c r="J951" s="2">
        <v>0</v>
      </c>
      <c r="K951" t="s">
        <v>474</v>
      </c>
      <c r="L951" t="s">
        <v>1</v>
      </c>
      <c r="M951" t="s">
        <v>380</v>
      </c>
      <c r="N951" s="2">
        <v>2688.37</v>
      </c>
      <c r="O951" t="str">
        <f>IFERROR(VLOOKUP($A951,Accounts!$A:$G,3,FALSE),"")</f>
        <v/>
      </c>
    </row>
    <row r="952" spans="1:15" outlineLevel="2" x14ac:dyDescent="0.2">
      <c r="A952" t="str">
        <f t="shared" si="14"/>
        <v>600000655891342267.53</v>
      </c>
      <c r="B952" t="s">
        <v>0</v>
      </c>
      <c r="C952" t="s">
        <v>25</v>
      </c>
      <c r="D952" t="s">
        <v>381</v>
      </c>
      <c r="E952" t="s">
        <v>1026</v>
      </c>
      <c r="F952" s="1">
        <v>43472</v>
      </c>
      <c r="G952" t="s">
        <v>1</v>
      </c>
      <c r="H952" s="1"/>
      <c r="I952" s="2">
        <v>42267.53</v>
      </c>
      <c r="J952" s="2">
        <v>0</v>
      </c>
      <c r="K952" t="s">
        <v>474</v>
      </c>
      <c r="L952" t="s">
        <v>1</v>
      </c>
      <c r="M952" t="s">
        <v>380</v>
      </c>
      <c r="N952" s="2">
        <v>42267.53</v>
      </c>
      <c r="O952" t="str">
        <f>IFERROR(VLOOKUP($A952,Accounts!$A:$G,3,FALSE),"")</f>
        <v/>
      </c>
    </row>
    <row r="953" spans="1:15" outlineLevel="2" x14ac:dyDescent="0.2">
      <c r="A953" t="str">
        <f t="shared" si="14"/>
        <v>6000007118913-96155.79</v>
      </c>
      <c r="B953" t="s">
        <v>0</v>
      </c>
      <c r="C953" t="s">
        <v>25</v>
      </c>
      <c r="D953" t="s">
        <v>381</v>
      </c>
      <c r="E953" t="s">
        <v>1027</v>
      </c>
      <c r="F953" s="1">
        <v>43473</v>
      </c>
      <c r="G953" t="s">
        <v>1</v>
      </c>
      <c r="H953" s="1"/>
      <c r="I953" s="2">
        <v>-96155.79</v>
      </c>
      <c r="J953" s="2">
        <v>0</v>
      </c>
      <c r="K953" t="s">
        <v>474</v>
      </c>
      <c r="L953" t="s">
        <v>1</v>
      </c>
      <c r="M953" t="s">
        <v>380</v>
      </c>
      <c r="N953" s="2">
        <v>-96155.79</v>
      </c>
      <c r="O953" t="str">
        <f>IFERROR(VLOOKUP($A953,Accounts!$A:$G,3,FALSE),"")</f>
        <v/>
      </c>
    </row>
    <row r="954" spans="1:15" outlineLevel="2" x14ac:dyDescent="0.2">
      <c r="A954" t="str">
        <f t="shared" si="14"/>
        <v>6000007628913-10</v>
      </c>
      <c r="B954" t="s">
        <v>0</v>
      </c>
      <c r="C954" t="s">
        <v>25</v>
      </c>
      <c r="D954" t="s">
        <v>381</v>
      </c>
      <c r="E954" t="s">
        <v>1028</v>
      </c>
      <c r="F954" s="1">
        <v>43474</v>
      </c>
      <c r="G954" t="s">
        <v>1</v>
      </c>
      <c r="H954" s="1"/>
      <c r="I954" s="2">
        <v>-10</v>
      </c>
      <c r="J954" s="2">
        <v>0</v>
      </c>
      <c r="K954" t="s">
        <v>474</v>
      </c>
      <c r="L954" t="s">
        <v>1</v>
      </c>
      <c r="M954" t="s">
        <v>380</v>
      </c>
      <c r="N954" s="2">
        <v>-10</v>
      </c>
      <c r="O954" t="str">
        <f>IFERROR(VLOOKUP($A954,Accounts!$A:$G,3,FALSE),"")</f>
        <v/>
      </c>
    </row>
    <row r="955" spans="1:15" outlineLevel="2" x14ac:dyDescent="0.2">
      <c r="A955" t="str">
        <f t="shared" si="14"/>
        <v>600000773891340038.48</v>
      </c>
      <c r="B955" t="s">
        <v>0</v>
      </c>
      <c r="C955" t="s">
        <v>25</v>
      </c>
      <c r="D955" t="s">
        <v>381</v>
      </c>
      <c r="E955" t="s">
        <v>1029</v>
      </c>
      <c r="F955" s="1">
        <v>43474</v>
      </c>
      <c r="G955" t="s">
        <v>1</v>
      </c>
      <c r="H955" s="1"/>
      <c r="I955" s="2">
        <v>40038.480000000003</v>
      </c>
      <c r="J955" s="2">
        <v>0</v>
      </c>
      <c r="K955" t="s">
        <v>474</v>
      </c>
      <c r="L955" t="s">
        <v>1</v>
      </c>
      <c r="M955" t="s">
        <v>380</v>
      </c>
      <c r="N955" s="2">
        <v>40038.480000000003</v>
      </c>
      <c r="O955" t="str">
        <f>IFERROR(VLOOKUP($A955,Accounts!$A:$G,3,FALSE),"")</f>
        <v/>
      </c>
    </row>
    <row r="956" spans="1:15" outlineLevel="2" x14ac:dyDescent="0.2">
      <c r="A956" t="str">
        <f t="shared" si="14"/>
        <v>600000772891353.06</v>
      </c>
      <c r="B956" t="s">
        <v>0</v>
      </c>
      <c r="C956" t="s">
        <v>25</v>
      </c>
      <c r="D956" t="s">
        <v>381</v>
      </c>
      <c r="E956" t="s">
        <v>1030</v>
      </c>
      <c r="F956" s="1">
        <v>43474</v>
      </c>
      <c r="G956" t="s">
        <v>1</v>
      </c>
      <c r="H956" s="1"/>
      <c r="I956" s="2">
        <v>53.06</v>
      </c>
      <c r="J956" s="2">
        <v>0</v>
      </c>
      <c r="K956" t="s">
        <v>474</v>
      </c>
      <c r="L956" t="s">
        <v>1</v>
      </c>
      <c r="M956" t="s">
        <v>380</v>
      </c>
      <c r="N956" s="2">
        <v>53.06</v>
      </c>
      <c r="O956" t="str">
        <f>IFERROR(VLOOKUP($A956,Accounts!$A:$G,3,FALSE),"")</f>
        <v/>
      </c>
    </row>
    <row r="957" spans="1:15" outlineLevel="2" x14ac:dyDescent="0.2">
      <c r="A957" t="str">
        <f t="shared" si="14"/>
        <v>6000008428913786.24</v>
      </c>
      <c r="B957" t="s">
        <v>0</v>
      </c>
      <c r="C957" t="s">
        <v>25</v>
      </c>
      <c r="D957" t="s">
        <v>381</v>
      </c>
      <c r="E957" t="s">
        <v>1031</v>
      </c>
      <c r="F957" s="1">
        <v>43475</v>
      </c>
      <c r="G957" t="s">
        <v>1</v>
      </c>
      <c r="H957" s="1"/>
      <c r="I957" s="2">
        <v>786.24</v>
      </c>
      <c r="J957" s="2">
        <v>0</v>
      </c>
      <c r="K957" t="s">
        <v>474</v>
      </c>
      <c r="L957" t="s">
        <v>1</v>
      </c>
      <c r="M957" t="s">
        <v>380</v>
      </c>
      <c r="N957" s="2">
        <v>786.24</v>
      </c>
      <c r="O957" t="str">
        <f>IFERROR(VLOOKUP($A957,Accounts!$A:$G,3,FALSE),"")</f>
        <v/>
      </c>
    </row>
    <row r="958" spans="1:15" outlineLevel="2" x14ac:dyDescent="0.2">
      <c r="A958" t="str">
        <f t="shared" si="14"/>
        <v>6000008418913201274.1</v>
      </c>
      <c r="B958" t="s">
        <v>0</v>
      </c>
      <c r="C958" t="s">
        <v>25</v>
      </c>
      <c r="D958" t="s">
        <v>381</v>
      </c>
      <c r="E958" t="s">
        <v>1032</v>
      </c>
      <c r="F958" s="1">
        <v>43475</v>
      </c>
      <c r="G958" t="s">
        <v>1</v>
      </c>
      <c r="H958" s="1"/>
      <c r="I958" s="2">
        <v>201274.1</v>
      </c>
      <c r="J958" s="2">
        <v>0</v>
      </c>
      <c r="K958" t="s">
        <v>474</v>
      </c>
      <c r="L958" t="s">
        <v>1</v>
      </c>
      <c r="M958" t="s">
        <v>380</v>
      </c>
      <c r="N958" s="2">
        <v>201274.1</v>
      </c>
      <c r="O958" t="str">
        <f>IFERROR(VLOOKUP($A958,Accounts!$A:$G,3,FALSE),"")</f>
        <v/>
      </c>
    </row>
    <row r="959" spans="1:15" outlineLevel="2" x14ac:dyDescent="0.2">
      <c r="A959" t="str">
        <f t="shared" si="14"/>
        <v>6000014018913786.24</v>
      </c>
      <c r="B959" t="s">
        <v>0</v>
      </c>
      <c r="C959" t="s">
        <v>25</v>
      </c>
      <c r="D959" t="s">
        <v>381</v>
      </c>
      <c r="E959" t="s">
        <v>1033</v>
      </c>
      <c r="F959" s="1">
        <v>43476</v>
      </c>
      <c r="G959" t="s">
        <v>1</v>
      </c>
      <c r="H959" s="1"/>
      <c r="I959" s="2">
        <v>786.24</v>
      </c>
      <c r="J959" s="2">
        <v>0</v>
      </c>
      <c r="K959" t="s">
        <v>474</v>
      </c>
      <c r="L959" t="s">
        <v>1</v>
      </c>
      <c r="M959" t="s">
        <v>380</v>
      </c>
      <c r="N959" s="2">
        <v>786.24</v>
      </c>
      <c r="O959" t="str">
        <f>IFERROR(VLOOKUP($A959,Accounts!$A:$G,3,FALSE),"")</f>
        <v/>
      </c>
    </row>
    <row r="960" spans="1:15" outlineLevel="2" x14ac:dyDescent="0.2">
      <c r="A960" t="str">
        <f t="shared" si="14"/>
        <v>6000013658913-103372.68</v>
      </c>
      <c r="B960" t="s">
        <v>0</v>
      </c>
      <c r="C960" t="s">
        <v>25</v>
      </c>
      <c r="D960" t="s">
        <v>381</v>
      </c>
      <c r="E960" t="s">
        <v>1034</v>
      </c>
      <c r="F960" s="1">
        <v>43476</v>
      </c>
      <c r="G960" t="s">
        <v>1</v>
      </c>
      <c r="H960" s="1"/>
      <c r="I960" s="2">
        <v>-103372.68</v>
      </c>
      <c r="J960" s="2">
        <v>0</v>
      </c>
      <c r="K960" t="s">
        <v>474</v>
      </c>
      <c r="L960" t="s">
        <v>1</v>
      </c>
      <c r="M960" t="s">
        <v>380</v>
      </c>
      <c r="N960" s="2">
        <v>-103372.68</v>
      </c>
      <c r="O960" t="str">
        <f>IFERROR(VLOOKUP($A960,Accounts!$A:$G,3,FALSE),"")</f>
        <v/>
      </c>
    </row>
    <row r="961" spans="1:15" outlineLevel="2" x14ac:dyDescent="0.2">
      <c r="A961" t="str">
        <f t="shared" si="14"/>
        <v>6000014548913181722.72</v>
      </c>
      <c r="B961" t="s">
        <v>0</v>
      </c>
      <c r="C961" t="s">
        <v>25</v>
      </c>
      <c r="D961" t="s">
        <v>381</v>
      </c>
      <c r="E961" t="s">
        <v>1035</v>
      </c>
      <c r="F961" s="1">
        <v>43479</v>
      </c>
      <c r="G961" t="s">
        <v>1</v>
      </c>
      <c r="H961" s="1"/>
      <c r="I961" s="2">
        <v>181722.72</v>
      </c>
      <c r="J961" s="2">
        <v>0</v>
      </c>
      <c r="K961" t="s">
        <v>474</v>
      </c>
      <c r="L961" t="s">
        <v>1</v>
      </c>
      <c r="M961" t="s">
        <v>380</v>
      </c>
      <c r="N961" s="2">
        <v>181722.72</v>
      </c>
      <c r="O961" t="str">
        <f>IFERROR(VLOOKUP($A961,Accounts!$A:$G,3,FALSE),"")</f>
        <v/>
      </c>
    </row>
    <row r="962" spans="1:15" outlineLevel="2" x14ac:dyDescent="0.2">
      <c r="A962" t="str">
        <f t="shared" si="14"/>
        <v>6000014978913362095.08</v>
      </c>
      <c r="B962" t="s">
        <v>0</v>
      </c>
      <c r="C962" t="s">
        <v>25</v>
      </c>
      <c r="D962" t="s">
        <v>381</v>
      </c>
      <c r="E962" t="s">
        <v>1036</v>
      </c>
      <c r="F962" s="1">
        <v>43480</v>
      </c>
      <c r="G962" t="s">
        <v>1</v>
      </c>
      <c r="H962" s="1"/>
      <c r="I962" s="2">
        <v>362095.08</v>
      </c>
      <c r="J962" s="2">
        <v>0</v>
      </c>
      <c r="K962" t="s">
        <v>474</v>
      </c>
      <c r="L962" t="s">
        <v>1</v>
      </c>
      <c r="M962" t="s">
        <v>380</v>
      </c>
      <c r="N962" s="2">
        <v>362095.08</v>
      </c>
      <c r="O962" t="str">
        <f>IFERROR(VLOOKUP($A962,Accounts!$A:$G,3,FALSE),"")</f>
        <v/>
      </c>
    </row>
    <row r="963" spans="1:15" outlineLevel="2" x14ac:dyDescent="0.2">
      <c r="A963" t="str">
        <f t="shared" si="14"/>
        <v>6000015748913133797.21</v>
      </c>
      <c r="B963" t="s">
        <v>0</v>
      </c>
      <c r="C963" t="s">
        <v>25</v>
      </c>
      <c r="D963" t="s">
        <v>381</v>
      </c>
      <c r="E963" t="s">
        <v>1037</v>
      </c>
      <c r="F963" s="1">
        <v>43481</v>
      </c>
      <c r="G963" t="s">
        <v>1</v>
      </c>
      <c r="H963" s="1"/>
      <c r="I963" s="2">
        <v>133797.21</v>
      </c>
      <c r="J963" s="2">
        <v>0</v>
      </c>
      <c r="K963" t="s">
        <v>474</v>
      </c>
      <c r="L963" t="s">
        <v>1</v>
      </c>
      <c r="M963" t="s">
        <v>380</v>
      </c>
      <c r="N963" s="2">
        <v>133797.21</v>
      </c>
      <c r="O963" t="str">
        <f>IFERROR(VLOOKUP($A963,Accounts!$A:$G,3,FALSE),"")</f>
        <v/>
      </c>
    </row>
    <row r="964" spans="1:15" outlineLevel="2" x14ac:dyDescent="0.2">
      <c r="A964" t="str">
        <f t="shared" si="14"/>
        <v>60000165089132860.84</v>
      </c>
      <c r="B964" t="s">
        <v>0</v>
      </c>
      <c r="C964" t="s">
        <v>25</v>
      </c>
      <c r="D964" t="s">
        <v>381</v>
      </c>
      <c r="E964" t="s">
        <v>1038</v>
      </c>
      <c r="F964" s="1">
        <v>43482</v>
      </c>
      <c r="G964" t="s">
        <v>1</v>
      </c>
      <c r="H964" s="1"/>
      <c r="I964" s="2">
        <v>2860.84</v>
      </c>
      <c r="J964" s="2">
        <v>0</v>
      </c>
      <c r="K964" t="s">
        <v>474</v>
      </c>
      <c r="L964" t="s">
        <v>1</v>
      </c>
      <c r="M964" t="s">
        <v>380</v>
      </c>
      <c r="N964" s="2">
        <v>2860.84</v>
      </c>
      <c r="O964" t="str">
        <f>IFERROR(VLOOKUP($A964,Accounts!$A:$G,3,FALSE),"")</f>
        <v/>
      </c>
    </row>
    <row r="965" spans="1:15" outlineLevel="2" x14ac:dyDescent="0.2">
      <c r="A965" t="str">
        <f t="shared" si="14"/>
        <v>600001649891341175.21</v>
      </c>
      <c r="B965" t="s">
        <v>0</v>
      </c>
      <c r="C965" t="s">
        <v>25</v>
      </c>
      <c r="D965" t="s">
        <v>381</v>
      </c>
      <c r="E965" t="s">
        <v>1039</v>
      </c>
      <c r="F965" s="1">
        <v>43482</v>
      </c>
      <c r="G965" t="s">
        <v>1</v>
      </c>
      <c r="H965" s="1"/>
      <c r="I965" s="2">
        <v>41175.21</v>
      </c>
      <c r="J965" s="2">
        <v>0</v>
      </c>
      <c r="K965" t="s">
        <v>474</v>
      </c>
      <c r="L965" t="s">
        <v>1</v>
      </c>
      <c r="M965" t="s">
        <v>380</v>
      </c>
      <c r="N965" s="2">
        <v>41175.21</v>
      </c>
      <c r="O965" t="str">
        <f>IFERROR(VLOOKUP($A965,Accounts!$A:$G,3,FALSE),"")</f>
        <v/>
      </c>
    </row>
    <row r="966" spans="1:15" outlineLevel="2" x14ac:dyDescent="0.2">
      <c r="A966" t="str">
        <f t="shared" si="14"/>
        <v>6000020558913-378694.55</v>
      </c>
      <c r="B966" t="s">
        <v>0</v>
      </c>
      <c r="C966" t="s">
        <v>25</v>
      </c>
      <c r="D966" t="s">
        <v>381</v>
      </c>
      <c r="E966" t="s">
        <v>1040</v>
      </c>
      <c r="F966" s="1">
        <v>43483</v>
      </c>
      <c r="G966" t="s">
        <v>1</v>
      </c>
      <c r="H966" s="1"/>
      <c r="I966" s="2">
        <v>-378694.55</v>
      </c>
      <c r="J966" s="2">
        <v>0</v>
      </c>
      <c r="K966" t="s">
        <v>474</v>
      </c>
      <c r="L966" t="s">
        <v>1</v>
      </c>
      <c r="M966" t="s">
        <v>380</v>
      </c>
      <c r="N966" s="2">
        <v>-378694.55</v>
      </c>
      <c r="O966" t="str">
        <f>IFERROR(VLOOKUP($A966,Accounts!$A:$G,3,FALSE),"")</f>
        <v/>
      </c>
    </row>
    <row r="967" spans="1:15" outlineLevel="2" x14ac:dyDescent="0.2">
      <c r="A967" t="str">
        <f t="shared" si="14"/>
        <v>6000021618913362033.72</v>
      </c>
      <c r="B967" t="s">
        <v>0</v>
      </c>
      <c r="C967" t="s">
        <v>25</v>
      </c>
      <c r="D967" t="s">
        <v>381</v>
      </c>
      <c r="E967" t="s">
        <v>1041</v>
      </c>
      <c r="F967" s="1">
        <v>43486</v>
      </c>
      <c r="G967" t="s">
        <v>1</v>
      </c>
      <c r="H967" s="1"/>
      <c r="I967" s="2">
        <v>362033.72</v>
      </c>
      <c r="J967" s="2">
        <v>0</v>
      </c>
      <c r="K967" t="s">
        <v>474</v>
      </c>
      <c r="L967" t="s">
        <v>1</v>
      </c>
      <c r="M967" t="s">
        <v>380</v>
      </c>
      <c r="N967" s="2">
        <v>362033.72</v>
      </c>
      <c r="O967" t="str">
        <f>IFERROR(VLOOKUP($A967,Accounts!$A:$G,3,FALSE),"")</f>
        <v/>
      </c>
    </row>
    <row r="968" spans="1:15" outlineLevel="2" x14ac:dyDescent="0.2">
      <c r="A968" t="str">
        <f t="shared" si="14"/>
        <v>602847994477906.19</v>
      </c>
      <c r="B968" t="s">
        <v>0</v>
      </c>
      <c r="C968" t="s">
        <v>25</v>
      </c>
      <c r="D968" t="s">
        <v>381</v>
      </c>
      <c r="E968" t="s">
        <v>1</v>
      </c>
      <c r="F968" s="1"/>
      <c r="G968" t="s">
        <v>1042</v>
      </c>
      <c r="H968" s="1">
        <v>43465</v>
      </c>
      <c r="I968" s="2">
        <v>0</v>
      </c>
      <c r="J968" s="2">
        <v>4477906.1900000004</v>
      </c>
      <c r="K968" t="s">
        <v>1</v>
      </c>
      <c r="L968" t="s">
        <v>222</v>
      </c>
      <c r="M968" t="s">
        <v>380</v>
      </c>
      <c r="N968" s="2">
        <v>4477906.1900000004</v>
      </c>
      <c r="O968" t="str">
        <f>IFERROR(VLOOKUP($A968,Accounts!$A:$G,3,FALSE),"")</f>
        <v/>
      </c>
    </row>
    <row r="969" spans="1:15" outlineLevel="2" x14ac:dyDescent="0.2">
      <c r="A969" t="str">
        <f t="shared" si="14"/>
        <v>60000001699-280469.57</v>
      </c>
      <c r="B969" t="s">
        <v>0</v>
      </c>
      <c r="C969" t="s">
        <v>25</v>
      </c>
      <c r="D969" t="s">
        <v>381</v>
      </c>
      <c r="E969" t="s">
        <v>1</v>
      </c>
      <c r="F969" s="1"/>
      <c r="G969" t="s">
        <v>635</v>
      </c>
      <c r="H969" s="1">
        <v>43467</v>
      </c>
      <c r="I969" s="2">
        <v>0</v>
      </c>
      <c r="J969" s="2">
        <v>-280469.57</v>
      </c>
      <c r="K969" t="s">
        <v>1</v>
      </c>
      <c r="L969" t="s">
        <v>474</v>
      </c>
      <c r="M969" t="s">
        <v>380</v>
      </c>
      <c r="N969" s="2">
        <v>-280469.57</v>
      </c>
      <c r="O969" t="str">
        <f>IFERROR(VLOOKUP($A969,Accounts!$A:$G,3,FALSE),"")</f>
        <v/>
      </c>
    </row>
    <row r="970" spans="1:15" outlineLevel="2" x14ac:dyDescent="0.2">
      <c r="A970" t="str">
        <f t="shared" ref="A970:A1033" si="15">IFERROR(IF(J970=0,E970&amp;C970&amp;I970,G970&amp;B970&amp;J970),"")</f>
        <v>6000001259941.1</v>
      </c>
      <c r="B970" t="s">
        <v>0</v>
      </c>
      <c r="C970" t="s">
        <v>25</v>
      </c>
      <c r="D970" t="s">
        <v>381</v>
      </c>
      <c r="E970" t="s">
        <v>1</v>
      </c>
      <c r="F970" s="1"/>
      <c r="G970" t="s">
        <v>1043</v>
      </c>
      <c r="H970" s="1">
        <v>43468</v>
      </c>
      <c r="I970" s="2">
        <v>0</v>
      </c>
      <c r="J970" s="2">
        <v>41.1</v>
      </c>
      <c r="K970" t="s">
        <v>1</v>
      </c>
      <c r="L970" t="s">
        <v>474</v>
      </c>
      <c r="M970" t="s">
        <v>380</v>
      </c>
      <c r="N970" s="2">
        <v>41.1</v>
      </c>
      <c r="O970" t="str">
        <f>IFERROR(VLOOKUP($A970,Accounts!$A:$G,3,FALSE),"")</f>
        <v/>
      </c>
    </row>
    <row r="971" spans="1:15" outlineLevel="2" x14ac:dyDescent="0.2">
      <c r="A971" t="str">
        <f t="shared" si="15"/>
        <v>60000010199-299551.85</v>
      </c>
      <c r="B971" t="s">
        <v>0</v>
      </c>
      <c r="C971" t="s">
        <v>25</v>
      </c>
      <c r="D971" t="s">
        <v>381</v>
      </c>
      <c r="E971" t="s">
        <v>1</v>
      </c>
      <c r="F971" s="1"/>
      <c r="G971" t="s">
        <v>1044</v>
      </c>
      <c r="H971" s="1">
        <v>43468</v>
      </c>
      <c r="I971" s="2">
        <v>0</v>
      </c>
      <c r="J971" s="2">
        <v>-299551.84999999998</v>
      </c>
      <c r="K971" t="s">
        <v>1</v>
      </c>
      <c r="L971" t="s">
        <v>474</v>
      </c>
      <c r="M971" t="s">
        <v>380</v>
      </c>
      <c r="N971" s="2">
        <v>-299551.84999999998</v>
      </c>
      <c r="O971" t="str">
        <f>IFERROR(VLOOKUP($A971,Accounts!$A:$G,3,FALSE),"")</f>
        <v/>
      </c>
    </row>
    <row r="972" spans="1:15" outlineLevel="2" x14ac:dyDescent="0.2">
      <c r="A972" t="str">
        <f t="shared" si="15"/>
        <v>600000200991485086.97</v>
      </c>
      <c r="B972" t="s">
        <v>0</v>
      </c>
      <c r="C972" t="s">
        <v>25</v>
      </c>
      <c r="D972" t="s">
        <v>381</v>
      </c>
      <c r="E972" t="s">
        <v>1</v>
      </c>
      <c r="F972" s="1"/>
      <c r="G972" t="s">
        <v>1045</v>
      </c>
      <c r="H972" s="1">
        <v>43469</v>
      </c>
      <c r="I972" s="2">
        <v>0</v>
      </c>
      <c r="J972" s="2">
        <v>1485086.97</v>
      </c>
      <c r="K972" t="s">
        <v>1</v>
      </c>
      <c r="L972" t="s">
        <v>474</v>
      </c>
      <c r="M972" t="s">
        <v>380</v>
      </c>
      <c r="N972" s="2">
        <v>1485086.97</v>
      </c>
      <c r="O972" t="str">
        <f>IFERROR(VLOOKUP($A972,Accounts!$A:$G,3,FALSE),"")</f>
        <v/>
      </c>
    </row>
    <row r="973" spans="1:15" outlineLevel="2" x14ac:dyDescent="0.2">
      <c r="A973" t="str">
        <f t="shared" si="15"/>
        <v>60000024899-42267.53</v>
      </c>
      <c r="B973" t="s">
        <v>0</v>
      </c>
      <c r="C973" t="s">
        <v>25</v>
      </c>
      <c r="D973" t="s">
        <v>381</v>
      </c>
      <c r="E973" t="s">
        <v>1</v>
      </c>
      <c r="F973" s="1"/>
      <c r="G973" t="s">
        <v>1046</v>
      </c>
      <c r="H973" s="1">
        <v>43472</v>
      </c>
      <c r="I973" s="2">
        <v>0</v>
      </c>
      <c r="J973" s="2">
        <v>-42267.53</v>
      </c>
      <c r="K973" t="s">
        <v>1</v>
      </c>
      <c r="L973" t="s">
        <v>474</v>
      </c>
      <c r="M973" t="s">
        <v>380</v>
      </c>
      <c r="N973" s="2">
        <v>-42267.53</v>
      </c>
      <c r="O973" t="str">
        <f>IFERROR(VLOOKUP($A973,Accounts!$A:$G,3,FALSE),"")</f>
        <v/>
      </c>
    </row>
    <row r="974" spans="1:15" outlineLevel="2" x14ac:dyDescent="0.2">
      <c r="A974" t="str">
        <f t="shared" si="15"/>
        <v>60000025299-2688.37</v>
      </c>
      <c r="B974" t="s">
        <v>0</v>
      </c>
      <c r="C974" t="s">
        <v>25</v>
      </c>
      <c r="D974" t="s">
        <v>381</v>
      </c>
      <c r="E974" t="s">
        <v>1</v>
      </c>
      <c r="F974" s="1"/>
      <c r="G974" t="s">
        <v>1047</v>
      </c>
      <c r="H974" s="1">
        <v>43472</v>
      </c>
      <c r="I974" s="2">
        <v>0</v>
      </c>
      <c r="J974" s="2">
        <v>-2688.37</v>
      </c>
      <c r="K974" t="s">
        <v>1</v>
      </c>
      <c r="L974" t="s">
        <v>474</v>
      </c>
      <c r="M974" t="s">
        <v>380</v>
      </c>
      <c r="N974" s="2">
        <v>-2688.37</v>
      </c>
      <c r="O974" t="str">
        <f>IFERROR(VLOOKUP($A974,Accounts!$A:$G,3,FALSE),"")</f>
        <v/>
      </c>
    </row>
    <row r="975" spans="1:15" outlineLevel="2" x14ac:dyDescent="0.2">
      <c r="A975" t="str">
        <f t="shared" si="15"/>
        <v>6000003059996155.79</v>
      </c>
      <c r="B975" t="s">
        <v>0</v>
      </c>
      <c r="C975" t="s">
        <v>25</v>
      </c>
      <c r="D975" t="s">
        <v>381</v>
      </c>
      <c r="E975" t="s">
        <v>1</v>
      </c>
      <c r="F975" s="1"/>
      <c r="G975" t="s">
        <v>1048</v>
      </c>
      <c r="H975" s="1">
        <v>43473</v>
      </c>
      <c r="I975" s="2">
        <v>0</v>
      </c>
      <c r="J975" s="2">
        <v>96155.79</v>
      </c>
      <c r="K975" t="s">
        <v>1</v>
      </c>
      <c r="L975" t="s">
        <v>474</v>
      </c>
      <c r="M975" t="s">
        <v>380</v>
      </c>
      <c r="N975" s="2">
        <v>96155.79</v>
      </c>
      <c r="O975" t="str">
        <f>IFERROR(VLOOKUP($A975,Accounts!$A:$G,3,FALSE),"")</f>
        <v/>
      </c>
    </row>
    <row r="976" spans="1:15" outlineLevel="2" x14ac:dyDescent="0.2">
      <c r="A976" t="str">
        <f t="shared" si="15"/>
        <v>60000126699-142698.48</v>
      </c>
      <c r="B976" t="s">
        <v>0</v>
      </c>
      <c r="C976" t="s">
        <v>25</v>
      </c>
      <c r="D976" t="s">
        <v>381</v>
      </c>
      <c r="E976" t="s">
        <v>1</v>
      </c>
      <c r="F976" s="1"/>
      <c r="G976" t="s">
        <v>1049</v>
      </c>
      <c r="H976" s="1">
        <v>43494</v>
      </c>
      <c r="I976" s="2">
        <v>0</v>
      </c>
      <c r="J976" s="2">
        <v>-142698.48000000001</v>
      </c>
      <c r="K976" t="s">
        <v>1</v>
      </c>
      <c r="L976" t="s">
        <v>474</v>
      </c>
      <c r="M976" t="s">
        <v>380</v>
      </c>
      <c r="N976" s="2">
        <v>-142698.48000000001</v>
      </c>
      <c r="O976" t="str">
        <f>IFERROR(VLOOKUP($A976,Accounts!$A:$G,3,FALSE),"")</f>
        <v/>
      </c>
    </row>
    <row r="977" spans="1:15" outlineLevel="2" x14ac:dyDescent="0.2">
      <c r="A977" t="str">
        <f t="shared" si="15"/>
        <v>60000126799-116977.9</v>
      </c>
      <c r="B977" t="s">
        <v>0</v>
      </c>
      <c r="C977" t="s">
        <v>25</v>
      </c>
      <c r="D977" t="s">
        <v>381</v>
      </c>
      <c r="E977" t="s">
        <v>1</v>
      </c>
      <c r="F977" s="1"/>
      <c r="G977" t="s">
        <v>1050</v>
      </c>
      <c r="H977" s="1">
        <v>43494</v>
      </c>
      <c r="I977" s="2">
        <v>0</v>
      </c>
      <c r="J977" s="2">
        <v>-116977.9</v>
      </c>
      <c r="K977" t="s">
        <v>1</v>
      </c>
      <c r="L977" t="s">
        <v>474</v>
      </c>
      <c r="M977" t="s">
        <v>380</v>
      </c>
      <c r="N977" s="2">
        <v>-116977.9</v>
      </c>
      <c r="O977" t="str">
        <f>IFERROR(VLOOKUP($A977,Accounts!$A:$G,3,FALSE),"")</f>
        <v/>
      </c>
    </row>
    <row r="978" spans="1:15" outlineLevel="2" x14ac:dyDescent="0.2">
      <c r="A978" t="str">
        <f t="shared" si="15"/>
        <v>60000122899109380.73</v>
      </c>
      <c r="B978" t="s">
        <v>0</v>
      </c>
      <c r="C978" t="s">
        <v>25</v>
      </c>
      <c r="D978" t="s">
        <v>381</v>
      </c>
      <c r="E978" t="s">
        <v>1</v>
      </c>
      <c r="F978" s="1"/>
      <c r="G978" t="s">
        <v>1051</v>
      </c>
      <c r="H978" s="1">
        <v>43493</v>
      </c>
      <c r="I978" s="2">
        <v>0</v>
      </c>
      <c r="J978" s="2">
        <v>109380.73</v>
      </c>
      <c r="K978" t="s">
        <v>1</v>
      </c>
      <c r="L978" t="s">
        <v>474</v>
      </c>
      <c r="M978" t="s">
        <v>380</v>
      </c>
      <c r="N978" s="2">
        <v>109380.73</v>
      </c>
      <c r="O978" t="str">
        <f>IFERROR(VLOOKUP($A978,Accounts!$A:$G,3,FALSE),"")</f>
        <v/>
      </c>
    </row>
    <row r="979" spans="1:15" outlineLevel="2" x14ac:dyDescent="0.2">
      <c r="A979" t="str">
        <f t="shared" si="15"/>
        <v>60000112699-1776.89</v>
      </c>
      <c r="B979" t="s">
        <v>0</v>
      </c>
      <c r="C979" t="s">
        <v>25</v>
      </c>
      <c r="D979" t="s">
        <v>381</v>
      </c>
      <c r="E979" t="s">
        <v>1</v>
      </c>
      <c r="F979" s="1"/>
      <c r="G979" t="s">
        <v>1052</v>
      </c>
      <c r="H979" s="1">
        <v>43490</v>
      </c>
      <c r="I979" s="2">
        <v>0</v>
      </c>
      <c r="J979" s="2">
        <v>-1776.89</v>
      </c>
      <c r="K979" t="s">
        <v>1</v>
      </c>
      <c r="L979" t="s">
        <v>474</v>
      </c>
      <c r="M979" t="s">
        <v>380</v>
      </c>
      <c r="N979" s="2">
        <v>-1776.89</v>
      </c>
      <c r="O979" t="str">
        <f>IFERROR(VLOOKUP($A979,Accounts!$A:$G,3,FALSE),"")</f>
        <v/>
      </c>
    </row>
    <row r="980" spans="1:15" outlineLevel="2" x14ac:dyDescent="0.2">
      <c r="A980" t="str">
        <f t="shared" si="15"/>
        <v>60000114199286453.21</v>
      </c>
      <c r="B980" t="s">
        <v>0</v>
      </c>
      <c r="C980" t="s">
        <v>25</v>
      </c>
      <c r="D980" t="s">
        <v>381</v>
      </c>
      <c r="E980" t="s">
        <v>1</v>
      </c>
      <c r="F980" s="1"/>
      <c r="G980" t="s">
        <v>1053</v>
      </c>
      <c r="H980" s="1">
        <v>43490</v>
      </c>
      <c r="I980" s="2">
        <v>0</v>
      </c>
      <c r="J980" s="2">
        <v>286453.21000000002</v>
      </c>
      <c r="K980" t="s">
        <v>1</v>
      </c>
      <c r="L980" t="s">
        <v>474</v>
      </c>
      <c r="M980" t="s">
        <v>380</v>
      </c>
      <c r="N980" s="2">
        <v>286453.21000000002</v>
      </c>
      <c r="O980" t="str">
        <f>IFERROR(VLOOKUP($A980,Accounts!$A:$G,3,FALSE),"")</f>
        <v/>
      </c>
    </row>
    <row r="981" spans="1:15" outlineLevel="2" x14ac:dyDescent="0.2">
      <c r="A981" t="str">
        <f t="shared" si="15"/>
        <v>600001046991108958.72</v>
      </c>
      <c r="B981" t="s">
        <v>0</v>
      </c>
      <c r="C981" t="s">
        <v>25</v>
      </c>
      <c r="D981" t="s">
        <v>381</v>
      </c>
      <c r="E981" t="s">
        <v>1</v>
      </c>
      <c r="F981" s="1"/>
      <c r="G981" t="s">
        <v>1054</v>
      </c>
      <c r="H981" s="1">
        <v>43489</v>
      </c>
      <c r="I981" s="2">
        <v>0</v>
      </c>
      <c r="J981" s="2">
        <v>1108958.72</v>
      </c>
      <c r="K981" t="s">
        <v>1</v>
      </c>
      <c r="L981" t="s">
        <v>474</v>
      </c>
      <c r="M981" t="s">
        <v>380</v>
      </c>
      <c r="N981" s="2">
        <v>1108958.72</v>
      </c>
      <c r="O981" t="str">
        <f>IFERROR(VLOOKUP($A981,Accounts!$A:$G,3,FALSE),"")</f>
        <v/>
      </c>
    </row>
    <row r="982" spans="1:15" outlineLevel="2" x14ac:dyDescent="0.2">
      <c r="A982" t="str">
        <f t="shared" si="15"/>
        <v>60000090599-5808.47</v>
      </c>
      <c r="B982" t="s">
        <v>0</v>
      </c>
      <c r="C982" t="s">
        <v>25</v>
      </c>
      <c r="D982" t="s">
        <v>381</v>
      </c>
      <c r="E982" t="s">
        <v>1</v>
      </c>
      <c r="F982" s="1"/>
      <c r="G982" t="s">
        <v>1055</v>
      </c>
      <c r="H982" s="1">
        <v>43488</v>
      </c>
      <c r="I982" s="2">
        <v>0</v>
      </c>
      <c r="J982" s="2">
        <v>-5808.47</v>
      </c>
      <c r="K982" t="s">
        <v>1</v>
      </c>
      <c r="L982" t="s">
        <v>474</v>
      </c>
      <c r="M982" t="s">
        <v>380</v>
      </c>
      <c r="N982" s="2">
        <v>-5808.47</v>
      </c>
      <c r="O982" t="str">
        <f>IFERROR(VLOOKUP($A982,Accounts!$A:$G,3,FALSE),"")</f>
        <v/>
      </c>
    </row>
    <row r="983" spans="1:15" outlineLevel="2" x14ac:dyDescent="0.2">
      <c r="A983" t="str">
        <f t="shared" si="15"/>
        <v>60000090699-2822.7</v>
      </c>
      <c r="B983" t="s">
        <v>0</v>
      </c>
      <c r="C983" t="s">
        <v>25</v>
      </c>
      <c r="D983" t="s">
        <v>381</v>
      </c>
      <c r="E983" t="s">
        <v>1</v>
      </c>
      <c r="F983" s="1"/>
      <c r="G983" t="s">
        <v>1056</v>
      </c>
      <c r="H983" s="1">
        <v>43488</v>
      </c>
      <c r="I983" s="2">
        <v>0</v>
      </c>
      <c r="J983" s="2">
        <v>-2822.7</v>
      </c>
      <c r="K983" t="s">
        <v>1</v>
      </c>
      <c r="L983" t="s">
        <v>474</v>
      </c>
      <c r="M983" t="s">
        <v>380</v>
      </c>
      <c r="N983" s="2">
        <v>-2822.7</v>
      </c>
      <c r="O983" t="str">
        <f>IFERROR(VLOOKUP($A983,Accounts!$A:$G,3,FALSE),"")</f>
        <v/>
      </c>
    </row>
    <row r="984" spans="1:15" outlineLevel="2" x14ac:dyDescent="0.2">
      <c r="A984" t="str">
        <f t="shared" si="15"/>
        <v>60000082999-376034.06</v>
      </c>
      <c r="B984" t="s">
        <v>0</v>
      </c>
      <c r="C984" t="s">
        <v>25</v>
      </c>
      <c r="D984" t="s">
        <v>381</v>
      </c>
      <c r="E984" t="s">
        <v>1</v>
      </c>
      <c r="F984" s="1"/>
      <c r="G984" t="s">
        <v>1057</v>
      </c>
      <c r="H984" s="1">
        <v>43487</v>
      </c>
      <c r="I984" s="2">
        <v>0</v>
      </c>
      <c r="J984" s="2">
        <v>-376034.06</v>
      </c>
      <c r="K984" t="s">
        <v>1</v>
      </c>
      <c r="L984" t="s">
        <v>474</v>
      </c>
      <c r="M984" t="s">
        <v>380</v>
      </c>
      <c r="N984" s="2">
        <v>-376034.06</v>
      </c>
      <c r="O984" t="s">
        <v>166</v>
      </c>
    </row>
    <row r="985" spans="1:15" outlineLevel="2" x14ac:dyDescent="0.2">
      <c r="A985" t="str">
        <f t="shared" si="15"/>
        <v>60000077699-362033.72</v>
      </c>
      <c r="B985" t="s">
        <v>0</v>
      </c>
      <c r="C985" t="s">
        <v>25</v>
      </c>
      <c r="D985" t="s">
        <v>381</v>
      </c>
      <c r="E985" t="s">
        <v>1</v>
      </c>
      <c r="F985" s="1"/>
      <c r="G985" t="s">
        <v>1058</v>
      </c>
      <c r="H985" s="1">
        <v>43486</v>
      </c>
      <c r="I985" s="2">
        <v>0</v>
      </c>
      <c r="J985" s="2">
        <v>-362033.72</v>
      </c>
      <c r="K985" t="s">
        <v>1</v>
      </c>
      <c r="L985" t="s">
        <v>474</v>
      </c>
      <c r="M985" t="s">
        <v>380</v>
      </c>
      <c r="N985" s="2">
        <v>-362033.72</v>
      </c>
      <c r="O985" t="s">
        <v>167</v>
      </c>
    </row>
    <row r="986" spans="1:15" outlineLevel="2" x14ac:dyDescent="0.2">
      <c r="A986" t="str">
        <f t="shared" si="15"/>
        <v>60000078399-20744.75</v>
      </c>
      <c r="B986" t="s">
        <v>0</v>
      </c>
      <c r="C986" t="s">
        <v>25</v>
      </c>
      <c r="D986" t="s">
        <v>381</v>
      </c>
      <c r="E986" t="s">
        <v>1</v>
      </c>
      <c r="F986" s="1"/>
      <c r="G986" t="s">
        <v>1059</v>
      </c>
      <c r="H986" s="1">
        <v>43486</v>
      </c>
      <c r="I986" s="2">
        <v>0</v>
      </c>
      <c r="J986" s="2">
        <v>-20744.75</v>
      </c>
      <c r="K986" t="s">
        <v>1</v>
      </c>
      <c r="L986" t="s">
        <v>474</v>
      </c>
      <c r="M986" t="s">
        <v>380</v>
      </c>
      <c r="N986" s="2">
        <v>-20744.75</v>
      </c>
      <c r="O986" t="str">
        <f>IFERROR(VLOOKUP($A986,Accounts!$A:$G,3,FALSE),"")</f>
        <v/>
      </c>
    </row>
    <row r="987" spans="1:15" outlineLevel="2" x14ac:dyDescent="0.2">
      <c r="A987" t="str">
        <f t="shared" si="15"/>
        <v>60000075099378694.55</v>
      </c>
      <c r="B987" t="s">
        <v>0</v>
      </c>
      <c r="C987" t="s">
        <v>25</v>
      </c>
      <c r="D987" t="s">
        <v>381</v>
      </c>
      <c r="E987" t="s">
        <v>1</v>
      </c>
      <c r="F987" s="1"/>
      <c r="G987" t="s">
        <v>1060</v>
      </c>
      <c r="H987" s="1">
        <v>43483</v>
      </c>
      <c r="I987" s="2">
        <v>0</v>
      </c>
      <c r="J987" s="2">
        <v>378694.55</v>
      </c>
      <c r="K987" t="s">
        <v>1</v>
      </c>
      <c r="L987" t="s">
        <v>474</v>
      </c>
      <c r="M987" t="s">
        <v>380</v>
      </c>
      <c r="N987" s="2">
        <v>378694.55</v>
      </c>
      <c r="O987" t="str">
        <f>IFERROR(VLOOKUP($A987,Accounts!$A:$G,3,FALSE),"")</f>
        <v/>
      </c>
    </row>
    <row r="988" spans="1:15" outlineLevel="2" x14ac:dyDescent="0.2">
      <c r="A988" t="str">
        <f t="shared" si="15"/>
        <v>60000067999-2860.84</v>
      </c>
      <c r="B988" t="s">
        <v>0</v>
      </c>
      <c r="C988" t="s">
        <v>25</v>
      </c>
      <c r="D988" t="s">
        <v>381</v>
      </c>
      <c r="E988" t="s">
        <v>1</v>
      </c>
      <c r="F988" s="1"/>
      <c r="G988" t="s">
        <v>1061</v>
      </c>
      <c r="H988" s="1">
        <v>43482</v>
      </c>
      <c r="I988" s="2">
        <v>0</v>
      </c>
      <c r="J988" s="2">
        <v>-2860.84</v>
      </c>
      <c r="K988" t="s">
        <v>1</v>
      </c>
      <c r="L988" t="s">
        <v>474</v>
      </c>
      <c r="M988" t="s">
        <v>380</v>
      </c>
      <c r="N988" s="2">
        <v>-2860.84</v>
      </c>
      <c r="O988" t="str">
        <f>IFERROR(VLOOKUP($A988,Accounts!$A:$G,3,FALSE),"")</f>
        <v/>
      </c>
    </row>
    <row r="989" spans="1:15" outlineLevel="2" x14ac:dyDescent="0.2">
      <c r="A989" t="str">
        <f t="shared" si="15"/>
        <v>60000067799-41175.21</v>
      </c>
      <c r="B989" t="s">
        <v>0</v>
      </c>
      <c r="C989" t="s">
        <v>25</v>
      </c>
      <c r="D989" t="s">
        <v>381</v>
      </c>
      <c r="E989" t="s">
        <v>1</v>
      </c>
      <c r="F989" s="1"/>
      <c r="G989" t="s">
        <v>1062</v>
      </c>
      <c r="H989" s="1">
        <v>43482</v>
      </c>
      <c r="I989" s="2">
        <v>0</v>
      </c>
      <c r="J989" s="2">
        <v>-41175.21</v>
      </c>
      <c r="K989" t="s">
        <v>1</v>
      </c>
      <c r="L989" t="s">
        <v>474</v>
      </c>
      <c r="M989" t="s">
        <v>380</v>
      </c>
      <c r="N989" s="2">
        <v>-41175.21</v>
      </c>
      <c r="O989" t="str">
        <f>IFERROR(VLOOKUP($A989,Accounts!$A:$G,3,FALSE),"")</f>
        <v/>
      </c>
    </row>
    <row r="990" spans="1:15" outlineLevel="2" x14ac:dyDescent="0.2">
      <c r="A990" t="str">
        <f t="shared" si="15"/>
        <v>60000062599-133797.21</v>
      </c>
      <c r="B990" t="s">
        <v>0</v>
      </c>
      <c r="C990" t="s">
        <v>25</v>
      </c>
      <c r="D990" t="s">
        <v>381</v>
      </c>
      <c r="E990" t="s">
        <v>1</v>
      </c>
      <c r="F990" s="1"/>
      <c r="G990" t="s">
        <v>1063</v>
      </c>
      <c r="H990" s="1">
        <v>43481</v>
      </c>
      <c r="I990" s="2">
        <v>0</v>
      </c>
      <c r="J990" s="2">
        <v>-133797.21</v>
      </c>
      <c r="K990" t="s">
        <v>1</v>
      </c>
      <c r="L990" t="s">
        <v>474</v>
      </c>
      <c r="M990" t="s">
        <v>380</v>
      </c>
      <c r="N990" s="2">
        <v>-133797.21</v>
      </c>
      <c r="O990" t="str">
        <f>IFERROR(VLOOKUP($A990,Accounts!$A:$G,3,FALSE),"")</f>
        <v/>
      </c>
    </row>
    <row r="991" spans="1:15" outlineLevel="2" x14ac:dyDescent="0.2">
      <c r="A991" t="str">
        <f t="shared" si="15"/>
        <v>60000056499-362095.08</v>
      </c>
      <c r="B991" t="s">
        <v>0</v>
      </c>
      <c r="C991" t="s">
        <v>25</v>
      </c>
      <c r="D991" t="s">
        <v>381</v>
      </c>
      <c r="E991" t="s">
        <v>1</v>
      </c>
      <c r="F991" s="1"/>
      <c r="G991" t="s">
        <v>1064</v>
      </c>
      <c r="H991" s="1">
        <v>43480</v>
      </c>
      <c r="I991" s="2">
        <v>0</v>
      </c>
      <c r="J991" s="2">
        <v>-362095.08</v>
      </c>
      <c r="K991" t="s">
        <v>1</v>
      </c>
      <c r="L991" t="s">
        <v>474</v>
      </c>
      <c r="M991" t="s">
        <v>380</v>
      </c>
      <c r="N991" s="2">
        <v>-362095.08</v>
      </c>
      <c r="O991" t="str">
        <f>IFERROR(VLOOKUP($A991,Accounts!$A:$G,3,FALSE),"")</f>
        <v/>
      </c>
    </row>
    <row r="992" spans="1:15" outlineLevel="2" x14ac:dyDescent="0.2">
      <c r="A992" t="str">
        <f t="shared" si="15"/>
        <v>60000051699-181722.72</v>
      </c>
      <c r="B992" t="s">
        <v>0</v>
      </c>
      <c r="C992" t="s">
        <v>25</v>
      </c>
      <c r="D992" t="s">
        <v>381</v>
      </c>
      <c r="E992" t="s">
        <v>1</v>
      </c>
      <c r="F992" s="1"/>
      <c r="G992" t="s">
        <v>1065</v>
      </c>
      <c r="H992" s="1">
        <v>43479</v>
      </c>
      <c r="I992" s="2">
        <v>0</v>
      </c>
      <c r="J992" s="2">
        <v>-181722.72</v>
      </c>
      <c r="K992" t="s">
        <v>1</v>
      </c>
      <c r="L992" t="s">
        <v>474</v>
      </c>
      <c r="M992" t="s">
        <v>380</v>
      </c>
      <c r="N992" s="2">
        <v>-181722.72</v>
      </c>
      <c r="O992" t="str">
        <f>IFERROR(VLOOKUP($A992,Accounts!$A:$G,3,FALSE),"")</f>
        <v/>
      </c>
    </row>
    <row r="993" spans="1:15" outlineLevel="2" x14ac:dyDescent="0.2">
      <c r="A993" t="str">
        <f t="shared" si="15"/>
        <v>60000048299-786.24</v>
      </c>
      <c r="B993" t="s">
        <v>0</v>
      </c>
      <c r="C993" t="s">
        <v>25</v>
      </c>
      <c r="D993" t="s">
        <v>381</v>
      </c>
      <c r="E993" t="s">
        <v>1</v>
      </c>
      <c r="F993" s="1"/>
      <c r="G993" t="s">
        <v>1066</v>
      </c>
      <c r="H993" s="1">
        <v>43476</v>
      </c>
      <c r="I993" s="2">
        <v>0</v>
      </c>
      <c r="J993" s="2">
        <v>-786.24</v>
      </c>
      <c r="K993" t="s">
        <v>1</v>
      </c>
      <c r="L993" t="s">
        <v>474</v>
      </c>
      <c r="M993" t="s">
        <v>380</v>
      </c>
      <c r="N993" s="2">
        <v>-786.24</v>
      </c>
      <c r="O993" t="str">
        <f>IFERROR(VLOOKUP($A993,Accounts!$A:$G,3,FALSE),"")</f>
        <v/>
      </c>
    </row>
    <row r="994" spans="1:15" outlineLevel="2" x14ac:dyDescent="0.2">
      <c r="A994" t="str">
        <f t="shared" si="15"/>
        <v>60000049199103372.68</v>
      </c>
      <c r="B994" t="s">
        <v>0</v>
      </c>
      <c r="C994" t="s">
        <v>25</v>
      </c>
      <c r="D994" t="s">
        <v>381</v>
      </c>
      <c r="E994" t="s">
        <v>1</v>
      </c>
      <c r="F994" s="1"/>
      <c r="G994" t="s">
        <v>1067</v>
      </c>
      <c r="H994" s="1">
        <v>43476</v>
      </c>
      <c r="I994" s="2">
        <v>0</v>
      </c>
      <c r="J994" s="2">
        <v>103372.68</v>
      </c>
      <c r="K994" t="s">
        <v>1</v>
      </c>
      <c r="L994" t="s">
        <v>474</v>
      </c>
      <c r="M994" t="s">
        <v>380</v>
      </c>
      <c r="N994" s="2">
        <v>103372.68</v>
      </c>
      <c r="O994" t="str">
        <f>IFERROR(VLOOKUP($A994,Accounts!$A:$G,3,FALSE),"")</f>
        <v/>
      </c>
    </row>
    <row r="995" spans="1:15" outlineLevel="2" x14ac:dyDescent="0.2">
      <c r="A995" t="str">
        <f t="shared" si="15"/>
        <v>60000042399-786.24</v>
      </c>
      <c r="B995" t="s">
        <v>0</v>
      </c>
      <c r="C995" t="s">
        <v>25</v>
      </c>
      <c r="D995" t="s">
        <v>381</v>
      </c>
      <c r="E995" t="s">
        <v>1</v>
      </c>
      <c r="F995" s="1"/>
      <c r="G995" t="s">
        <v>1068</v>
      </c>
      <c r="H995" s="1">
        <v>43475</v>
      </c>
      <c r="I995" s="2">
        <v>0</v>
      </c>
      <c r="J995" s="2">
        <v>-786.24</v>
      </c>
      <c r="K995" t="s">
        <v>1</v>
      </c>
      <c r="L995" t="s">
        <v>474</v>
      </c>
      <c r="M995" t="s">
        <v>380</v>
      </c>
      <c r="N995" s="2">
        <v>-786.24</v>
      </c>
      <c r="O995" t="str">
        <f>IFERROR(VLOOKUP($A995,Accounts!$A:$G,3,FALSE),"")</f>
        <v/>
      </c>
    </row>
    <row r="996" spans="1:15" outlineLevel="2" x14ac:dyDescent="0.2">
      <c r="A996" t="str">
        <f t="shared" si="15"/>
        <v>60000041899-201274.1</v>
      </c>
      <c r="B996" t="s">
        <v>0</v>
      </c>
      <c r="C996" t="s">
        <v>25</v>
      </c>
      <c r="D996" t="s">
        <v>381</v>
      </c>
      <c r="E996" t="s">
        <v>1</v>
      </c>
      <c r="F996" s="1"/>
      <c r="G996" t="s">
        <v>1069</v>
      </c>
      <c r="H996" s="1">
        <v>43475</v>
      </c>
      <c r="I996" s="2">
        <v>0</v>
      </c>
      <c r="J996" s="2">
        <v>-201274.1</v>
      </c>
      <c r="K996" t="s">
        <v>1</v>
      </c>
      <c r="L996" t="s">
        <v>474</v>
      </c>
      <c r="M996" t="s">
        <v>380</v>
      </c>
      <c r="N996" s="2">
        <v>-201274.1</v>
      </c>
      <c r="O996" t="str">
        <f>IFERROR(VLOOKUP($A996,Accounts!$A:$G,3,FALSE),"")</f>
        <v/>
      </c>
    </row>
    <row r="997" spans="1:15" outlineLevel="2" x14ac:dyDescent="0.2">
      <c r="A997" t="str">
        <f t="shared" si="15"/>
        <v>6000003519910</v>
      </c>
      <c r="B997" t="s">
        <v>0</v>
      </c>
      <c r="C997" t="s">
        <v>25</v>
      </c>
      <c r="D997" t="s">
        <v>381</v>
      </c>
      <c r="E997" t="s">
        <v>1</v>
      </c>
      <c r="F997" s="1"/>
      <c r="G997" t="s">
        <v>1070</v>
      </c>
      <c r="H997" s="1">
        <v>43474</v>
      </c>
      <c r="I997" s="2">
        <v>0</v>
      </c>
      <c r="J997" s="2">
        <v>10</v>
      </c>
      <c r="K997" t="s">
        <v>1</v>
      </c>
      <c r="L997" t="s">
        <v>474</v>
      </c>
      <c r="M997" t="s">
        <v>380</v>
      </c>
      <c r="N997" s="2">
        <v>10</v>
      </c>
      <c r="O997" t="str">
        <f>IFERROR(VLOOKUP($A997,Accounts!$A:$G,3,FALSE),"")</f>
        <v/>
      </c>
    </row>
    <row r="998" spans="1:15" outlineLevel="2" x14ac:dyDescent="0.2">
      <c r="A998" t="str">
        <f t="shared" si="15"/>
        <v>60000034299-40038.48</v>
      </c>
      <c r="B998" t="s">
        <v>0</v>
      </c>
      <c r="C998" t="s">
        <v>25</v>
      </c>
      <c r="D998" t="s">
        <v>381</v>
      </c>
      <c r="E998" t="s">
        <v>1</v>
      </c>
      <c r="F998" s="1"/>
      <c r="G998" t="s">
        <v>1071</v>
      </c>
      <c r="H998" s="1">
        <v>43474</v>
      </c>
      <c r="I998" s="2">
        <v>0</v>
      </c>
      <c r="J998" s="2">
        <v>-40038.480000000003</v>
      </c>
      <c r="K998" t="s">
        <v>1</v>
      </c>
      <c r="L998" t="s">
        <v>474</v>
      </c>
      <c r="M998" t="s">
        <v>380</v>
      </c>
      <c r="N998" s="2">
        <v>-40038.480000000003</v>
      </c>
      <c r="O998" t="str">
        <f>IFERROR(VLOOKUP($A998,Accounts!$A:$G,3,FALSE),"")</f>
        <v/>
      </c>
    </row>
    <row r="999" spans="1:15" outlineLevel="2" x14ac:dyDescent="0.2">
      <c r="A999" t="str">
        <f t="shared" si="15"/>
        <v>60000040699-53.06</v>
      </c>
      <c r="B999" t="s">
        <v>0</v>
      </c>
      <c r="C999" t="s">
        <v>25</v>
      </c>
      <c r="D999" t="s">
        <v>381</v>
      </c>
      <c r="E999" t="s">
        <v>1</v>
      </c>
      <c r="F999" s="1"/>
      <c r="G999" t="s">
        <v>1072</v>
      </c>
      <c r="H999" s="1">
        <v>43474</v>
      </c>
      <c r="I999" s="2">
        <v>0</v>
      </c>
      <c r="J999" s="2">
        <v>-53.06</v>
      </c>
      <c r="K999" t="s">
        <v>1</v>
      </c>
      <c r="L999" t="s">
        <v>474</v>
      </c>
      <c r="M999" t="s">
        <v>380</v>
      </c>
      <c r="N999" s="2">
        <v>-53.06</v>
      </c>
      <c r="O999" t="str">
        <f>IFERROR(VLOOKUP($A999,Accounts!$A:$G,3,FALSE),"")</f>
        <v/>
      </c>
    </row>
    <row r="1000" spans="1:15" outlineLevel="1" x14ac:dyDescent="0.2">
      <c r="A1000" t="str">
        <f t="shared" si="15"/>
        <v>5427596.47</v>
      </c>
      <c r="B1000" s="3" t="s">
        <v>1</v>
      </c>
      <c r="C1000" s="3" t="s">
        <v>25</v>
      </c>
      <c r="D1000" s="3" t="s">
        <v>1</v>
      </c>
      <c r="E1000" s="3" t="s">
        <v>1</v>
      </c>
      <c r="F1000" s="4"/>
      <c r="G1000" s="3" t="s">
        <v>1</v>
      </c>
      <c r="H1000" s="4"/>
      <c r="I1000" s="5">
        <v>-5397743.6799999997</v>
      </c>
      <c r="J1000" s="5">
        <v>5427596.4699999997</v>
      </c>
      <c r="K1000" s="3" t="s">
        <v>1</v>
      </c>
      <c r="L1000" s="3" t="s">
        <v>1</v>
      </c>
      <c r="M1000" s="3" t="s">
        <v>1</v>
      </c>
      <c r="N1000" s="5">
        <v>29852.79</v>
      </c>
      <c r="O1000" t="str">
        <f>IFERROR(VLOOKUP($A1000,Accounts!$A:$G,3,FALSE),"")</f>
        <v/>
      </c>
    </row>
    <row r="1001" spans="1:15" outlineLevel="2" x14ac:dyDescent="0.2">
      <c r="A1001" t="str">
        <f t="shared" si="15"/>
        <v>4996481.23</v>
      </c>
      <c r="B1001" s="6" t="s">
        <v>1</v>
      </c>
      <c r="C1001" s="6" t="s">
        <v>1</v>
      </c>
      <c r="D1001" s="6" t="s">
        <v>1</v>
      </c>
      <c r="E1001" s="6" t="s">
        <v>1</v>
      </c>
      <c r="F1001" s="7"/>
      <c r="G1001" s="6" t="s">
        <v>1</v>
      </c>
      <c r="H1001" s="7"/>
      <c r="I1001" s="8">
        <v>-4836924.0199999996</v>
      </c>
      <c r="J1001" s="8">
        <v>4996481.2300000004</v>
      </c>
      <c r="K1001" s="6" t="s">
        <v>1</v>
      </c>
      <c r="L1001" s="6" t="s">
        <v>1</v>
      </c>
      <c r="M1001" s="6" t="s">
        <v>1</v>
      </c>
      <c r="N1001" s="8">
        <v>159557.21</v>
      </c>
      <c r="O1001" t="str">
        <f>IFERROR(VLOOKUP($A1001,Accounts!$A:$G,3,FALSE),"")</f>
        <v/>
      </c>
    </row>
    <row r="1002" spans="1:15" outlineLevel="2" x14ac:dyDescent="0.2">
      <c r="A1002" t="str">
        <f t="shared" si="15"/>
        <v>1369.76</v>
      </c>
      <c r="B1002" s="6" t="s">
        <v>1</v>
      </c>
      <c r="C1002" s="6" t="s">
        <v>1</v>
      </c>
      <c r="D1002" s="6" t="s">
        <v>1</v>
      </c>
      <c r="E1002" s="6" t="s">
        <v>1</v>
      </c>
      <c r="F1002" s="7"/>
      <c r="G1002" s="6" t="s">
        <v>1</v>
      </c>
      <c r="H1002" s="7"/>
      <c r="I1002" s="8">
        <v>0</v>
      </c>
      <c r="J1002" s="8">
        <v>1369.76</v>
      </c>
      <c r="K1002" s="6" t="s">
        <v>1</v>
      </c>
      <c r="L1002" s="6" t="s">
        <v>1</v>
      </c>
      <c r="M1002" s="6" t="s">
        <v>1</v>
      </c>
      <c r="N1002" s="8">
        <v>1369.76</v>
      </c>
      <c r="O1002" t="str">
        <f>IFERROR(VLOOKUP($A1002,Accounts!$A:$G,3,FALSE),"")</f>
        <v/>
      </c>
    </row>
    <row r="1003" spans="1:15" outlineLevel="2" x14ac:dyDescent="0.2">
      <c r="A1003" t="str">
        <f t="shared" si="15"/>
        <v/>
      </c>
      <c r="F1003" s="1"/>
      <c r="H1003" s="1"/>
      <c r="I1003" s="2"/>
      <c r="J1003" s="2"/>
      <c r="N1003" s="2"/>
      <c r="O1003">
        <f>IFERROR(VLOOKUP($A1003,Accounts!$A:$G,3,FALSE),"")</f>
        <v>0</v>
      </c>
    </row>
    <row r="1004" spans="1:15" outlineLevel="2" x14ac:dyDescent="0.2">
      <c r="A1004" t="str">
        <f t="shared" si="15"/>
        <v/>
      </c>
      <c r="F1004" s="1"/>
      <c r="H1004" s="1"/>
      <c r="I1004" s="2"/>
      <c r="J1004" s="2"/>
      <c r="N1004" s="2"/>
      <c r="O1004">
        <f>IFERROR(VLOOKUP($A1004,Accounts!$A:$G,3,FALSE),"")</f>
        <v>0</v>
      </c>
    </row>
    <row r="1005" spans="1:15" outlineLevel="2" x14ac:dyDescent="0.2">
      <c r="A1005" t="str">
        <f t="shared" si="15"/>
        <v/>
      </c>
      <c r="F1005" s="1"/>
      <c r="H1005" s="1"/>
      <c r="I1005" s="2"/>
      <c r="J1005" s="2"/>
      <c r="N1005" s="2"/>
      <c r="O1005">
        <f>IFERROR(VLOOKUP($A1005,Accounts!$A:$G,3,FALSE),"")</f>
        <v>0</v>
      </c>
    </row>
    <row r="1006" spans="1:15" outlineLevel="2" x14ac:dyDescent="0.2">
      <c r="A1006" t="str">
        <f t="shared" si="15"/>
        <v/>
      </c>
      <c r="F1006" s="1"/>
      <c r="H1006" s="1"/>
      <c r="I1006" s="2"/>
      <c r="J1006" s="2"/>
      <c r="N1006" s="2"/>
      <c r="O1006">
        <f>IFERROR(VLOOKUP($A1006,Accounts!$A:$G,3,FALSE),"")</f>
        <v>0</v>
      </c>
    </row>
    <row r="1007" spans="1:15" outlineLevel="2" x14ac:dyDescent="0.2">
      <c r="A1007" t="str">
        <f t="shared" si="15"/>
        <v/>
      </c>
      <c r="F1007" s="1"/>
      <c r="H1007" s="1"/>
      <c r="I1007" s="2"/>
      <c r="J1007" s="2"/>
      <c r="N1007" s="2"/>
      <c r="O1007">
        <f>IFERROR(VLOOKUP($A1007,Accounts!$A:$G,3,FALSE),"")</f>
        <v>0</v>
      </c>
    </row>
    <row r="1008" spans="1:15" outlineLevel="2" x14ac:dyDescent="0.2">
      <c r="A1008" t="str">
        <f t="shared" si="15"/>
        <v/>
      </c>
      <c r="F1008" s="1"/>
      <c r="H1008" s="1"/>
      <c r="I1008" s="2"/>
      <c r="J1008" s="2"/>
      <c r="N1008" s="2"/>
      <c r="O1008">
        <f>IFERROR(VLOOKUP($A1008,Accounts!$A:$G,3,FALSE),"")</f>
        <v>0</v>
      </c>
    </row>
    <row r="1009" spans="1:15" outlineLevel="2" x14ac:dyDescent="0.2">
      <c r="A1009" t="str">
        <f t="shared" si="15"/>
        <v/>
      </c>
      <c r="F1009" s="1"/>
      <c r="H1009" s="1"/>
      <c r="I1009" s="2"/>
      <c r="J1009" s="2"/>
      <c r="N1009" s="2"/>
      <c r="O1009">
        <f>IFERROR(VLOOKUP($A1009,Accounts!$A:$G,3,FALSE),"")</f>
        <v>0</v>
      </c>
    </row>
    <row r="1010" spans="1:15" outlineLevel="2" x14ac:dyDescent="0.2">
      <c r="A1010" t="str">
        <f t="shared" si="15"/>
        <v/>
      </c>
      <c r="F1010" s="1"/>
      <c r="H1010" s="1"/>
      <c r="I1010" s="2"/>
      <c r="J1010" s="2"/>
      <c r="N1010" s="2"/>
      <c r="O1010">
        <f>IFERROR(VLOOKUP($A1010,Accounts!$A:$G,3,FALSE),"")</f>
        <v>0</v>
      </c>
    </row>
    <row r="1011" spans="1:15" outlineLevel="2" x14ac:dyDescent="0.2">
      <c r="A1011" t="str">
        <f t="shared" si="15"/>
        <v/>
      </c>
      <c r="F1011" s="1"/>
      <c r="H1011" s="1"/>
      <c r="I1011" s="2"/>
      <c r="J1011" s="2"/>
      <c r="N1011" s="2"/>
      <c r="O1011">
        <f>IFERROR(VLOOKUP($A1011,Accounts!$A:$G,3,FALSE),"")</f>
        <v>0</v>
      </c>
    </row>
    <row r="1012" spans="1:15" outlineLevel="2" x14ac:dyDescent="0.2">
      <c r="A1012" t="str">
        <f t="shared" si="15"/>
        <v/>
      </c>
      <c r="F1012" s="1"/>
      <c r="H1012" s="1"/>
      <c r="I1012" s="2"/>
      <c r="J1012" s="2"/>
      <c r="N1012" s="2"/>
      <c r="O1012">
        <f>IFERROR(VLOOKUP($A1012,Accounts!$A:$G,3,FALSE),"")</f>
        <v>0</v>
      </c>
    </row>
    <row r="1013" spans="1:15" outlineLevel="2" x14ac:dyDescent="0.2">
      <c r="A1013" t="str">
        <f t="shared" si="15"/>
        <v/>
      </c>
      <c r="F1013" s="1"/>
      <c r="H1013" s="1"/>
      <c r="I1013" s="2"/>
      <c r="J1013" s="2"/>
      <c r="N1013" s="2"/>
      <c r="O1013">
        <f>IFERROR(VLOOKUP($A1013,Accounts!$A:$G,3,FALSE),"")</f>
        <v>0</v>
      </c>
    </row>
    <row r="1014" spans="1:15" outlineLevel="2" x14ac:dyDescent="0.2">
      <c r="A1014" t="str">
        <f t="shared" si="15"/>
        <v/>
      </c>
      <c r="F1014" s="1"/>
      <c r="H1014" s="1"/>
      <c r="I1014" s="2"/>
      <c r="J1014" s="2"/>
      <c r="N1014" s="2"/>
      <c r="O1014">
        <f>IFERROR(VLOOKUP($A1014,Accounts!$A:$G,3,FALSE),"")</f>
        <v>0</v>
      </c>
    </row>
    <row r="1015" spans="1:15" outlineLevel="2" x14ac:dyDescent="0.2">
      <c r="A1015" t="str">
        <f t="shared" si="15"/>
        <v/>
      </c>
      <c r="F1015" s="1"/>
      <c r="H1015" s="1"/>
      <c r="I1015" s="2"/>
      <c r="J1015" s="2"/>
      <c r="N1015" s="2"/>
      <c r="O1015">
        <f>IFERROR(VLOOKUP($A1015,Accounts!$A:$G,3,FALSE),"")</f>
        <v>0</v>
      </c>
    </row>
    <row r="1016" spans="1:15" outlineLevel="2" x14ac:dyDescent="0.2">
      <c r="A1016" t="str">
        <f t="shared" si="15"/>
        <v/>
      </c>
      <c r="F1016" s="1"/>
      <c r="H1016" s="1"/>
      <c r="I1016" s="2"/>
      <c r="J1016" s="2"/>
      <c r="N1016" s="2"/>
      <c r="O1016">
        <f>IFERROR(VLOOKUP($A1016,Accounts!$A:$G,3,FALSE),"")</f>
        <v>0</v>
      </c>
    </row>
    <row r="1017" spans="1:15" outlineLevel="2" x14ac:dyDescent="0.2">
      <c r="A1017" t="str">
        <f t="shared" si="15"/>
        <v/>
      </c>
      <c r="F1017" s="1"/>
      <c r="H1017" s="1"/>
      <c r="I1017" s="2"/>
      <c r="J1017" s="2"/>
      <c r="N1017" s="2"/>
      <c r="O1017">
        <f>IFERROR(VLOOKUP($A1017,Accounts!$A:$G,3,FALSE),"")</f>
        <v>0</v>
      </c>
    </row>
    <row r="1018" spans="1:15" outlineLevel="2" x14ac:dyDescent="0.2">
      <c r="A1018" t="str">
        <f t="shared" si="15"/>
        <v/>
      </c>
      <c r="F1018" s="1"/>
      <c r="H1018" s="1"/>
      <c r="I1018" s="2"/>
      <c r="J1018" s="2"/>
      <c r="N1018" s="2"/>
      <c r="O1018">
        <f>IFERROR(VLOOKUP($A1018,Accounts!$A:$G,3,FALSE),"")</f>
        <v>0</v>
      </c>
    </row>
    <row r="1019" spans="1:15" outlineLevel="2" x14ac:dyDescent="0.2">
      <c r="A1019" t="str">
        <f t="shared" si="15"/>
        <v/>
      </c>
      <c r="F1019" s="1"/>
      <c r="H1019" s="1"/>
      <c r="I1019" s="2"/>
      <c r="J1019" s="2"/>
      <c r="N1019" s="2"/>
      <c r="O1019">
        <f>IFERROR(VLOOKUP($A1019,Accounts!$A:$G,3,FALSE),"")</f>
        <v>0</v>
      </c>
    </row>
    <row r="1020" spans="1:15" outlineLevel="2" x14ac:dyDescent="0.2">
      <c r="A1020" t="str">
        <f t="shared" si="15"/>
        <v/>
      </c>
      <c r="F1020" s="1"/>
      <c r="H1020" s="1"/>
      <c r="I1020" s="2"/>
      <c r="J1020" s="2"/>
      <c r="N1020" s="2"/>
      <c r="O1020">
        <f>IFERROR(VLOOKUP($A1020,Accounts!$A:$G,3,FALSE),"")</f>
        <v>0</v>
      </c>
    </row>
    <row r="1021" spans="1:15" outlineLevel="2" x14ac:dyDescent="0.2">
      <c r="A1021" t="str">
        <f t="shared" si="15"/>
        <v/>
      </c>
      <c r="F1021" s="1"/>
      <c r="H1021" s="1"/>
      <c r="I1021" s="2"/>
      <c r="J1021" s="2"/>
      <c r="N1021" s="2"/>
      <c r="O1021">
        <f>IFERROR(VLOOKUP($A1021,Accounts!$A:$G,3,FALSE),"")</f>
        <v>0</v>
      </c>
    </row>
    <row r="1022" spans="1:15" outlineLevel="2" x14ac:dyDescent="0.2">
      <c r="A1022" t="str">
        <f t="shared" si="15"/>
        <v/>
      </c>
      <c r="F1022" s="1"/>
      <c r="H1022" s="1"/>
      <c r="I1022" s="2"/>
      <c r="J1022" s="2"/>
      <c r="N1022" s="2"/>
      <c r="O1022">
        <f>IFERROR(VLOOKUP($A1022,Accounts!$A:$G,3,FALSE),"")</f>
        <v>0</v>
      </c>
    </row>
    <row r="1023" spans="1:15" outlineLevel="2" x14ac:dyDescent="0.2">
      <c r="A1023" t="str">
        <f t="shared" si="15"/>
        <v/>
      </c>
      <c r="F1023" s="1"/>
      <c r="H1023" s="1"/>
      <c r="I1023" s="2"/>
      <c r="J1023" s="2"/>
      <c r="N1023" s="2"/>
      <c r="O1023">
        <f>IFERROR(VLOOKUP($A1023,Accounts!$A:$G,3,FALSE),"")</f>
        <v>0</v>
      </c>
    </row>
    <row r="1024" spans="1:15" outlineLevel="2" x14ac:dyDescent="0.2">
      <c r="A1024" t="str">
        <f t="shared" si="15"/>
        <v/>
      </c>
      <c r="F1024" s="1"/>
      <c r="H1024" s="1"/>
      <c r="I1024" s="2"/>
      <c r="J1024" s="2"/>
      <c r="N1024" s="2"/>
      <c r="O1024">
        <f>IFERROR(VLOOKUP($A1024,Accounts!$A:$G,3,FALSE),"")</f>
        <v>0</v>
      </c>
    </row>
    <row r="1025" spans="1:15" outlineLevel="2" x14ac:dyDescent="0.2">
      <c r="A1025" t="str">
        <f t="shared" si="15"/>
        <v/>
      </c>
      <c r="F1025" s="1"/>
      <c r="H1025" s="1"/>
      <c r="I1025" s="2"/>
      <c r="J1025" s="2"/>
      <c r="N1025" s="2"/>
      <c r="O1025">
        <f>IFERROR(VLOOKUP($A1025,Accounts!$A:$G,3,FALSE),"")</f>
        <v>0</v>
      </c>
    </row>
    <row r="1026" spans="1:15" outlineLevel="2" x14ac:dyDescent="0.2">
      <c r="A1026" t="str">
        <f t="shared" si="15"/>
        <v/>
      </c>
      <c r="F1026" s="1"/>
      <c r="H1026" s="1"/>
      <c r="I1026" s="2"/>
      <c r="J1026" s="2"/>
      <c r="N1026" s="2"/>
      <c r="O1026">
        <f>IFERROR(VLOOKUP($A1026,Accounts!$A:$G,3,FALSE),"")</f>
        <v>0</v>
      </c>
    </row>
    <row r="1027" spans="1:15" outlineLevel="2" x14ac:dyDescent="0.2">
      <c r="A1027" t="str">
        <f t="shared" si="15"/>
        <v/>
      </c>
      <c r="F1027" s="1"/>
      <c r="H1027" s="1"/>
      <c r="I1027" s="2"/>
      <c r="J1027" s="2"/>
      <c r="N1027" s="2"/>
      <c r="O1027">
        <f>IFERROR(VLOOKUP($A1027,Accounts!$A:$G,3,FALSE),"")</f>
        <v>0</v>
      </c>
    </row>
    <row r="1028" spans="1:15" outlineLevel="2" x14ac:dyDescent="0.2">
      <c r="A1028" t="str">
        <f t="shared" si="15"/>
        <v/>
      </c>
      <c r="F1028" s="1"/>
      <c r="H1028" s="1"/>
      <c r="I1028" s="2"/>
      <c r="J1028" s="2"/>
      <c r="N1028" s="2"/>
      <c r="O1028">
        <f>IFERROR(VLOOKUP($A1028,Accounts!$A:$G,3,FALSE),"")</f>
        <v>0</v>
      </c>
    </row>
    <row r="1029" spans="1:15" outlineLevel="2" x14ac:dyDescent="0.2">
      <c r="A1029" t="str">
        <f t="shared" si="15"/>
        <v/>
      </c>
      <c r="F1029" s="1"/>
      <c r="H1029" s="1"/>
      <c r="I1029" s="2"/>
      <c r="J1029" s="2"/>
      <c r="N1029" s="2"/>
      <c r="O1029">
        <f>IFERROR(VLOOKUP($A1029,Accounts!$A:$G,3,FALSE),"")</f>
        <v>0</v>
      </c>
    </row>
    <row r="1030" spans="1:15" outlineLevel="2" x14ac:dyDescent="0.2">
      <c r="A1030" t="str">
        <f t="shared" si="15"/>
        <v/>
      </c>
      <c r="F1030" s="1"/>
      <c r="H1030" s="1"/>
      <c r="I1030" s="2"/>
      <c r="J1030" s="2"/>
      <c r="N1030" s="2"/>
      <c r="O1030">
        <f>IFERROR(VLOOKUP($A1030,Accounts!$A:$G,3,FALSE),"")</f>
        <v>0</v>
      </c>
    </row>
    <row r="1031" spans="1:15" outlineLevel="2" x14ac:dyDescent="0.2">
      <c r="A1031" t="str">
        <f t="shared" si="15"/>
        <v/>
      </c>
      <c r="F1031" s="1"/>
      <c r="H1031" s="1"/>
      <c r="I1031" s="2"/>
      <c r="J1031" s="2"/>
      <c r="N1031" s="2"/>
      <c r="O1031">
        <f>IFERROR(VLOOKUP($A1031,Accounts!$A:$G,3,FALSE),"")</f>
        <v>0</v>
      </c>
    </row>
    <row r="1032" spans="1:15" outlineLevel="2" x14ac:dyDescent="0.2">
      <c r="A1032" t="str">
        <f t="shared" si="15"/>
        <v/>
      </c>
      <c r="F1032" s="1"/>
      <c r="H1032" s="1"/>
      <c r="I1032" s="2"/>
      <c r="J1032" s="2"/>
      <c r="N1032" s="2"/>
      <c r="O1032">
        <f>IFERROR(VLOOKUP($A1032,Accounts!$A:$G,3,FALSE),"")</f>
        <v>0</v>
      </c>
    </row>
    <row r="1033" spans="1:15" outlineLevel="2" x14ac:dyDescent="0.2">
      <c r="A1033" t="str">
        <f t="shared" si="15"/>
        <v/>
      </c>
      <c r="F1033" s="1"/>
      <c r="H1033" s="1"/>
      <c r="I1033" s="2"/>
      <c r="J1033" s="2"/>
      <c r="N1033" s="2"/>
      <c r="O1033">
        <f>IFERROR(VLOOKUP($A1033,Accounts!$A:$G,3,FALSE),"")</f>
        <v>0</v>
      </c>
    </row>
    <row r="1034" spans="1:15" outlineLevel="2" x14ac:dyDescent="0.2">
      <c r="A1034" t="str">
        <f t="shared" ref="A1034:A1097" si="16">IFERROR(IF(J1034=0,E1034&amp;C1034&amp;I1034,G1034&amp;B1034&amp;J1034),"")</f>
        <v/>
      </c>
      <c r="B1034" s="3"/>
      <c r="C1034" s="3"/>
      <c r="D1034" s="3"/>
      <c r="E1034" s="3"/>
      <c r="F1034" s="4"/>
      <c r="G1034" s="3"/>
      <c r="H1034" s="4"/>
      <c r="I1034" s="5"/>
      <c r="J1034" s="5"/>
      <c r="K1034" s="3"/>
      <c r="L1034" s="3"/>
      <c r="M1034" s="3"/>
      <c r="N1034" s="5"/>
      <c r="O1034">
        <f>IFERROR(VLOOKUP($A1034,Accounts!$A:$G,3,FALSE),"")</f>
        <v>0</v>
      </c>
    </row>
    <row r="1035" spans="1:15" outlineLevel="2" x14ac:dyDescent="0.2">
      <c r="A1035" t="str">
        <f t="shared" si="16"/>
        <v/>
      </c>
      <c r="F1035" s="1"/>
      <c r="H1035" s="1"/>
      <c r="I1035" s="2"/>
      <c r="J1035" s="2"/>
      <c r="N1035" s="2"/>
      <c r="O1035">
        <f>IFERROR(VLOOKUP($A1035,Accounts!$A:$G,3,FALSE),"")</f>
        <v>0</v>
      </c>
    </row>
    <row r="1036" spans="1:15" outlineLevel="2" x14ac:dyDescent="0.2">
      <c r="A1036" t="str">
        <f t="shared" si="16"/>
        <v/>
      </c>
      <c r="F1036" s="1"/>
      <c r="H1036" s="1"/>
      <c r="I1036" s="2"/>
      <c r="J1036" s="2"/>
      <c r="N1036" s="2"/>
      <c r="O1036">
        <f>IFERROR(VLOOKUP($A1036,Accounts!$A:$G,3,FALSE),"")</f>
        <v>0</v>
      </c>
    </row>
    <row r="1037" spans="1:15" outlineLevel="2" x14ac:dyDescent="0.2">
      <c r="A1037" t="str">
        <f t="shared" si="16"/>
        <v/>
      </c>
      <c r="B1037" s="3"/>
      <c r="C1037" s="3"/>
      <c r="D1037" s="3"/>
      <c r="E1037" s="3"/>
      <c r="F1037" s="4"/>
      <c r="G1037" s="3"/>
      <c r="H1037" s="4"/>
      <c r="I1037" s="5"/>
      <c r="J1037" s="5"/>
      <c r="K1037" s="3"/>
      <c r="L1037" s="3"/>
      <c r="M1037" s="3"/>
      <c r="N1037" s="5"/>
      <c r="O1037">
        <f>IFERROR(VLOOKUP($A1037,Accounts!$A:$G,3,FALSE),"")</f>
        <v>0</v>
      </c>
    </row>
    <row r="1038" spans="1:15" outlineLevel="2" x14ac:dyDescent="0.2">
      <c r="A1038" t="str">
        <f t="shared" si="16"/>
        <v/>
      </c>
      <c r="F1038" s="1"/>
      <c r="H1038" s="1"/>
      <c r="I1038" s="2"/>
      <c r="J1038" s="2"/>
      <c r="N1038" s="2"/>
      <c r="O1038">
        <f>IFERROR(VLOOKUP($A1038,Accounts!$A:$G,3,FALSE),"")</f>
        <v>0</v>
      </c>
    </row>
    <row r="1039" spans="1:15" outlineLevel="2" x14ac:dyDescent="0.2">
      <c r="A1039" t="str">
        <f t="shared" si="16"/>
        <v/>
      </c>
      <c r="F1039" s="1"/>
      <c r="H1039" s="1"/>
      <c r="I1039" s="2"/>
      <c r="J1039" s="2"/>
      <c r="N1039" s="2"/>
      <c r="O1039">
        <f>IFERROR(VLOOKUP($A1039,Accounts!$A:$G,3,FALSE),"")</f>
        <v>0</v>
      </c>
    </row>
    <row r="1040" spans="1:15" outlineLevel="2" x14ac:dyDescent="0.2">
      <c r="A1040" t="str">
        <f t="shared" si="16"/>
        <v/>
      </c>
      <c r="F1040" s="1"/>
      <c r="H1040" s="1"/>
      <c r="I1040" s="2"/>
      <c r="J1040" s="2"/>
      <c r="N1040" s="2"/>
      <c r="O1040">
        <f>IFERROR(VLOOKUP($A1040,Accounts!$A:$G,3,FALSE),"")</f>
        <v>0</v>
      </c>
    </row>
    <row r="1041" spans="1:15" outlineLevel="2" x14ac:dyDescent="0.2">
      <c r="A1041" t="str">
        <f t="shared" si="16"/>
        <v/>
      </c>
      <c r="F1041" s="1"/>
      <c r="H1041" s="1"/>
      <c r="I1041" s="2"/>
      <c r="J1041" s="2"/>
      <c r="N1041" s="2"/>
      <c r="O1041">
        <f>IFERROR(VLOOKUP($A1041,Accounts!$A:$G,3,FALSE),"")</f>
        <v>0</v>
      </c>
    </row>
    <row r="1042" spans="1:15" outlineLevel="2" x14ac:dyDescent="0.2">
      <c r="A1042" t="str">
        <f t="shared" si="16"/>
        <v/>
      </c>
      <c r="F1042" s="1"/>
      <c r="H1042" s="1"/>
      <c r="I1042" s="2"/>
      <c r="J1042" s="2"/>
      <c r="N1042" s="2"/>
      <c r="O1042">
        <f>IFERROR(VLOOKUP($A1042,Accounts!$A:$G,3,FALSE),"")</f>
        <v>0</v>
      </c>
    </row>
    <row r="1043" spans="1:15" outlineLevel="2" x14ac:dyDescent="0.2">
      <c r="A1043" t="str">
        <f t="shared" si="16"/>
        <v/>
      </c>
      <c r="F1043" s="1"/>
      <c r="H1043" s="1"/>
      <c r="I1043" s="2"/>
      <c r="J1043" s="2"/>
      <c r="N1043" s="2"/>
      <c r="O1043">
        <f>IFERROR(VLOOKUP($A1043,Accounts!$A:$G,3,FALSE),"")</f>
        <v>0</v>
      </c>
    </row>
    <row r="1044" spans="1:15" outlineLevel="2" x14ac:dyDescent="0.2">
      <c r="A1044" t="str">
        <f t="shared" si="16"/>
        <v/>
      </c>
      <c r="F1044" s="1"/>
      <c r="H1044" s="1"/>
      <c r="I1044" s="2"/>
      <c r="J1044" s="2"/>
      <c r="N1044" s="2"/>
      <c r="O1044">
        <f>IFERROR(VLOOKUP($A1044,Accounts!$A:$G,3,FALSE),"")</f>
        <v>0</v>
      </c>
    </row>
    <row r="1045" spans="1:15" outlineLevel="2" x14ac:dyDescent="0.2">
      <c r="A1045" t="str">
        <f t="shared" si="16"/>
        <v/>
      </c>
      <c r="F1045" s="1"/>
      <c r="H1045" s="1"/>
      <c r="I1045" s="2"/>
      <c r="J1045" s="2"/>
      <c r="N1045" s="2"/>
      <c r="O1045">
        <f>IFERROR(VLOOKUP($A1045,Accounts!$A:$G,3,FALSE),"")</f>
        <v>0</v>
      </c>
    </row>
    <row r="1046" spans="1:15" outlineLevel="2" x14ac:dyDescent="0.2">
      <c r="A1046" t="str">
        <f t="shared" si="16"/>
        <v/>
      </c>
      <c r="B1046" s="3"/>
      <c r="C1046" s="3"/>
      <c r="D1046" s="3"/>
      <c r="E1046" s="3"/>
      <c r="F1046" s="4"/>
      <c r="G1046" s="3"/>
      <c r="H1046" s="4"/>
      <c r="I1046" s="5"/>
      <c r="J1046" s="5"/>
      <c r="K1046" s="3"/>
      <c r="L1046" s="3"/>
      <c r="M1046" s="3"/>
      <c r="N1046" s="5"/>
      <c r="O1046">
        <f>IFERROR(VLOOKUP($A1046,Accounts!$A:$G,3,FALSE),"")</f>
        <v>0</v>
      </c>
    </row>
    <row r="1047" spans="1:15" outlineLevel="2" x14ac:dyDescent="0.2">
      <c r="A1047" t="str">
        <f t="shared" si="16"/>
        <v/>
      </c>
      <c r="F1047" s="1"/>
      <c r="H1047" s="1"/>
      <c r="I1047" s="2"/>
      <c r="J1047" s="2"/>
      <c r="N1047" s="2"/>
      <c r="O1047">
        <f>IFERROR(VLOOKUP($A1047,Accounts!$A:$G,3,FALSE),"")</f>
        <v>0</v>
      </c>
    </row>
    <row r="1048" spans="1:15" outlineLevel="2" x14ac:dyDescent="0.2">
      <c r="A1048" t="str">
        <f t="shared" si="16"/>
        <v/>
      </c>
      <c r="F1048" s="1"/>
      <c r="H1048" s="1"/>
      <c r="I1048" s="2"/>
      <c r="J1048" s="2"/>
      <c r="N1048" s="2"/>
      <c r="O1048">
        <f>IFERROR(VLOOKUP($A1048,Accounts!$A:$G,3,FALSE),"")</f>
        <v>0</v>
      </c>
    </row>
    <row r="1049" spans="1:15" outlineLevel="2" x14ac:dyDescent="0.2">
      <c r="A1049" t="str">
        <f t="shared" si="16"/>
        <v/>
      </c>
      <c r="F1049" s="1"/>
      <c r="H1049" s="1"/>
      <c r="I1049" s="2"/>
      <c r="J1049" s="2"/>
      <c r="N1049" s="2"/>
      <c r="O1049">
        <f>IFERROR(VLOOKUP($A1049,Accounts!$A:$G,3,FALSE),"")</f>
        <v>0</v>
      </c>
    </row>
    <row r="1050" spans="1:15" outlineLevel="2" x14ac:dyDescent="0.2">
      <c r="A1050" t="str">
        <f t="shared" si="16"/>
        <v/>
      </c>
      <c r="F1050" s="1"/>
      <c r="H1050" s="1"/>
      <c r="I1050" s="2"/>
      <c r="J1050" s="2"/>
      <c r="N1050" s="2"/>
      <c r="O1050">
        <f>IFERROR(VLOOKUP($A1050,Accounts!$A:$G,3,FALSE),"")</f>
        <v>0</v>
      </c>
    </row>
    <row r="1051" spans="1:15" outlineLevel="2" x14ac:dyDescent="0.2">
      <c r="A1051" t="str">
        <f t="shared" si="16"/>
        <v/>
      </c>
      <c r="F1051" s="1"/>
      <c r="H1051" s="1"/>
      <c r="I1051" s="2"/>
      <c r="J1051" s="2"/>
      <c r="N1051" s="2"/>
      <c r="O1051">
        <f>IFERROR(VLOOKUP($A1051,Accounts!$A:$G,3,FALSE),"")</f>
        <v>0</v>
      </c>
    </row>
    <row r="1052" spans="1:15" outlineLevel="2" x14ac:dyDescent="0.2">
      <c r="A1052" t="str">
        <f t="shared" si="16"/>
        <v/>
      </c>
      <c r="F1052" s="1"/>
      <c r="H1052" s="1"/>
      <c r="I1052" s="2"/>
      <c r="J1052" s="2"/>
      <c r="N1052" s="2"/>
      <c r="O1052">
        <f>IFERROR(VLOOKUP($A1052,Accounts!$A:$G,3,FALSE),"")</f>
        <v>0</v>
      </c>
    </row>
    <row r="1053" spans="1:15" outlineLevel="2" x14ac:dyDescent="0.2">
      <c r="A1053" t="str">
        <f t="shared" si="16"/>
        <v/>
      </c>
      <c r="F1053" s="1"/>
      <c r="H1053" s="1"/>
      <c r="I1053" s="2"/>
      <c r="J1053" s="2"/>
      <c r="N1053" s="2"/>
      <c r="O1053">
        <f>IFERROR(VLOOKUP($A1053,Accounts!$A:$G,3,FALSE),"")</f>
        <v>0</v>
      </c>
    </row>
    <row r="1054" spans="1:15" outlineLevel="2" x14ac:dyDescent="0.2">
      <c r="A1054" t="str">
        <f t="shared" si="16"/>
        <v/>
      </c>
      <c r="F1054" s="1"/>
      <c r="H1054" s="1"/>
      <c r="I1054" s="2"/>
      <c r="J1054" s="2"/>
      <c r="N1054" s="2"/>
      <c r="O1054">
        <f>IFERROR(VLOOKUP($A1054,Accounts!$A:$G,3,FALSE),"")</f>
        <v>0</v>
      </c>
    </row>
    <row r="1055" spans="1:15" outlineLevel="2" x14ac:dyDescent="0.2">
      <c r="A1055" t="str">
        <f t="shared" si="16"/>
        <v/>
      </c>
      <c r="F1055" s="1"/>
      <c r="H1055" s="1"/>
      <c r="I1055" s="2"/>
      <c r="J1055" s="2"/>
      <c r="N1055" s="2"/>
      <c r="O1055">
        <f>IFERROR(VLOOKUP($A1055,Accounts!$A:$G,3,FALSE),"")</f>
        <v>0</v>
      </c>
    </row>
    <row r="1056" spans="1:15" outlineLevel="2" x14ac:dyDescent="0.2">
      <c r="A1056" t="str">
        <f t="shared" si="16"/>
        <v/>
      </c>
      <c r="F1056" s="1"/>
      <c r="H1056" s="1"/>
      <c r="I1056" s="2"/>
      <c r="J1056" s="2"/>
      <c r="N1056" s="2"/>
      <c r="O1056">
        <f>IFERROR(VLOOKUP($A1056,Accounts!$A:$G,3,FALSE),"")</f>
        <v>0</v>
      </c>
    </row>
    <row r="1057" spans="1:15" outlineLevel="2" x14ac:dyDescent="0.2">
      <c r="A1057" t="str">
        <f t="shared" si="16"/>
        <v/>
      </c>
      <c r="F1057" s="1"/>
      <c r="H1057" s="1"/>
      <c r="I1057" s="2"/>
      <c r="J1057" s="2"/>
      <c r="N1057" s="2"/>
      <c r="O1057">
        <f>IFERROR(VLOOKUP($A1057,Accounts!$A:$G,3,FALSE),"")</f>
        <v>0</v>
      </c>
    </row>
    <row r="1058" spans="1:15" outlineLevel="2" x14ac:dyDescent="0.2">
      <c r="A1058" t="str">
        <f t="shared" si="16"/>
        <v/>
      </c>
      <c r="F1058" s="1"/>
      <c r="H1058" s="1"/>
      <c r="I1058" s="2"/>
      <c r="J1058" s="2"/>
      <c r="N1058" s="2"/>
      <c r="O1058">
        <f>IFERROR(VLOOKUP($A1058,Accounts!$A:$G,3,FALSE),"")</f>
        <v>0</v>
      </c>
    </row>
    <row r="1059" spans="1:15" outlineLevel="2" x14ac:dyDescent="0.2">
      <c r="A1059" t="str">
        <f t="shared" si="16"/>
        <v/>
      </c>
      <c r="F1059" s="1"/>
      <c r="H1059" s="1"/>
      <c r="I1059" s="2"/>
      <c r="J1059" s="2"/>
      <c r="N1059" s="2"/>
      <c r="O1059">
        <f>IFERROR(VLOOKUP($A1059,Accounts!$A:$G,3,FALSE),"")</f>
        <v>0</v>
      </c>
    </row>
    <row r="1060" spans="1:15" outlineLevel="2" x14ac:dyDescent="0.2">
      <c r="A1060" t="str">
        <f t="shared" si="16"/>
        <v/>
      </c>
      <c r="F1060" s="1"/>
      <c r="H1060" s="1"/>
      <c r="I1060" s="2"/>
      <c r="J1060" s="2"/>
      <c r="N1060" s="2"/>
      <c r="O1060">
        <f>IFERROR(VLOOKUP($A1060,Accounts!$A:$G,3,FALSE),"")</f>
        <v>0</v>
      </c>
    </row>
    <row r="1061" spans="1:15" outlineLevel="2" x14ac:dyDescent="0.2">
      <c r="A1061" t="str">
        <f t="shared" si="16"/>
        <v/>
      </c>
      <c r="F1061" s="1"/>
      <c r="H1061" s="1"/>
      <c r="I1061" s="2"/>
      <c r="J1061" s="2"/>
      <c r="N1061" s="2"/>
      <c r="O1061">
        <f>IFERROR(VLOOKUP($A1061,Accounts!$A:$G,3,FALSE),"")</f>
        <v>0</v>
      </c>
    </row>
    <row r="1062" spans="1:15" outlineLevel="2" x14ac:dyDescent="0.2">
      <c r="A1062" t="str">
        <f t="shared" si="16"/>
        <v/>
      </c>
      <c r="F1062" s="1"/>
      <c r="H1062" s="1"/>
      <c r="I1062" s="2"/>
      <c r="J1062" s="2"/>
      <c r="N1062" s="2"/>
      <c r="O1062">
        <f>IFERROR(VLOOKUP($A1062,Accounts!$A:$G,3,FALSE),"")</f>
        <v>0</v>
      </c>
    </row>
    <row r="1063" spans="1:15" outlineLevel="2" x14ac:dyDescent="0.2">
      <c r="A1063" t="str">
        <f t="shared" si="16"/>
        <v/>
      </c>
      <c r="F1063" s="1"/>
      <c r="H1063" s="1"/>
      <c r="I1063" s="2"/>
      <c r="J1063" s="2"/>
      <c r="N1063" s="2"/>
      <c r="O1063">
        <f>IFERROR(VLOOKUP($A1063,Accounts!$A:$G,3,FALSE),"")</f>
        <v>0</v>
      </c>
    </row>
    <row r="1064" spans="1:15" outlineLevel="2" x14ac:dyDescent="0.2">
      <c r="A1064" t="str">
        <f t="shared" si="16"/>
        <v/>
      </c>
      <c r="F1064" s="1"/>
      <c r="H1064" s="1"/>
      <c r="I1064" s="2"/>
      <c r="J1064" s="2"/>
      <c r="N1064" s="2"/>
      <c r="O1064">
        <f>IFERROR(VLOOKUP($A1064,Accounts!$A:$G,3,FALSE),"")</f>
        <v>0</v>
      </c>
    </row>
    <row r="1065" spans="1:15" outlineLevel="2" x14ac:dyDescent="0.2">
      <c r="A1065" t="str">
        <f t="shared" si="16"/>
        <v/>
      </c>
      <c r="F1065" s="1"/>
      <c r="H1065" s="1"/>
      <c r="I1065" s="2"/>
      <c r="J1065" s="2"/>
      <c r="N1065" s="2"/>
      <c r="O1065">
        <f>IFERROR(VLOOKUP($A1065,Accounts!$A:$G,3,FALSE),"")</f>
        <v>0</v>
      </c>
    </row>
    <row r="1066" spans="1:15" outlineLevel="2" x14ac:dyDescent="0.2">
      <c r="A1066" t="str">
        <f t="shared" si="16"/>
        <v/>
      </c>
      <c r="F1066" s="1"/>
      <c r="H1066" s="1"/>
      <c r="I1066" s="2"/>
      <c r="J1066" s="2"/>
      <c r="N1066" s="2"/>
      <c r="O1066">
        <f>IFERROR(VLOOKUP($A1066,Accounts!$A:$G,3,FALSE),"")</f>
        <v>0</v>
      </c>
    </row>
    <row r="1067" spans="1:15" outlineLevel="2" x14ac:dyDescent="0.2">
      <c r="A1067" t="str">
        <f t="shared" si="16"/>
        <v/>
      </c>
      <c r="F1067" s="1"/>
      <c r="H1067" s="1"/>
      <c r="I1067" s="2"/>
      <c r="J1067" s="2"/>
      <c r="N1067" s="2"/>
      <c r="O1067">
        <f>IFERROR(VLOOKUP($A1067,Accounts!$A:$G,3,FALSE),"")</f>
        <v>0</v>
      </c>
    </row>
    <row r="1068" spans="1:15" outlineLevel="2" x14ac:dyDescent="0.2">
      <c r="A1068" t="str">
        <f t="shared" si="16"/>
        <v/>
      </c>
      <c r="B1068" s="3"/>
      <c r="C1068" s="3"/>
      <c r="D1068" s="3"/>
      <c r="E1068" s="3"/>
      <c r="F1068" s="4"/>
      <c r="G1068" s="3"/>
      <c r="H1068" s="4"/>
      <c r="I1068" s="5"/>
      <c r="J1068" s="5"/>
      <c r="K1068" s="3"/>
      <c r="L1068" s="3"/>
      <c r="M1068" s="3"/>
      <c r="N1068" s="5"/>
      <c r="O1068">
        <f>IFERROR(VLOOKUP($A1068,Accounts!$A:$G,3,FALSE),"")</f>
        <v>0</v>
      </c>
    </row>
    <row r="1069" spans="1:15" outlineLevel="2" x14ac:dyDescent="0.2">
      <c r="A1069" t="str">
        <f t="shared" si="16"/>
        <v/>
      </c>
      <c r="F1069" s="1"/>
      <c r="H1069" s="1"/>
      <c r="I1069" s="2"/>
      <c r="J1069" s="2"/>
      <c r="N1069" s="2"/>
      <c r="O1069">
        <f>IFERROR(VLOOKUP($A1069,Accounts!$A:$G,3,FALSE),"")</f>
        <v>0</v>
      </c>
    </row>
    <row r="1070" spans="1:15" outlineLevel="2" x14ac:dyDescent="0.2">
      <c r="A1070" t="str">
        <f t="shared" si="16"/>
        <v/>
      </c>
      <c r="F1070" s="1"/>
      <c r="H1070" s="1"/>
      <c r="I1070" s="2"/>
      <c r="J1070" s="2"/>
      <c r="N1070" s="2"/>
      <c r="O1070">
        <f>IFERROR(VLOOKUP($A1070,Accounts!$A:$G,3,FALSE),"")</f>
        <v>0</v>
      </c>
    </row>
    <row r="1071" spans="1:15" outlineLevel="2" x14ac:dyDescent="0.2">
      <c r="A1071" t="str">
        <f t="shared" si="16"/>
        <v/>
      </c>
      <c r="F1071" s="1"/>
      <c r="H1071" s="1"/>
      <c r="I1071" s="2"/>
      <c r="J1071" s="2"/>
      <c r="N1071" s="2"/>
      <c r="O1071">
        <f>IFERROR(VLOOKUP($A1071,Accounts!$A:$G,3,FALSE),"")</f>
        <v>0</v>
      </c>
    </row>
    <row r="1072" spans="1:15" outlineLevel="2" x14ac:dyDescent="0.2">
      <c r="A1072" t="str">
        <f t="shared" si="16"/>
        <v/>
      </c>
      <c r="F1072" s="1"/>
      <c r="H1072" s="1"/>
      <c r="I1072" s="2"/>
      <c r="J1072" s="2"/>
      <c r="N1072" s="2"/>
      <c r="O1072">
        <f>IFERROR(VLOOKUP($A1072,Accounts!$A:$G,3,FALSE),"")</f>
        <v>0</v>
      </c>
    </row>
    <row r="1073" spans="1:15" outlineLevel="2" x14ac:dyDescent="0.2">
      <c r="A1073" t="str">
        <f t="shared" si="16"/>
        <v/>
      </c>
      <c r="F1073" s="1"/>
      <c r="H1073" s="1"/>
      <c r="I1073" s="2"/>
      <c r="J1073" s="2"/>
      <c r="N1073" s="2"/>
      <c r="O1073">
        <f>IFERROR(VLOOKUP($A1073,Accounts!$A:$G,3,FALSE),"")</f>
        <v>0</v>
      </c>
    </row>
    <row r="1074" spans="1:15" outlineLevel="2" x14ac:dyDescent="0.2">
      <c r="A1074" t="str">
        <f t="shared" si="16"/>
        <v/>
      </c>
      <c r="F1074" s="1"/>
      <c r="H1074" s="1"/>
      <c r="I1074" s="2"/>
      <c r="J1074" s="2"/>
      <c r="N1074" s="2"/>
      <c r="O1074">
        <f>IFERROR(VLOOKUP($A1074,Accounts!$A:$G,3,FALSE),"")</f>
        <v>0</v>
      </c>
    </row>
    <row r="1075" spans="1:15" outlineLevel="2" x14ac:dyDescent="0.2">
      <c r="A1075" t="str">
        <f t="shared" si="16"/>
        <v/>
      </c>
      <c r="F1075" s="1"/>
      <c r="H1075" s="1"/>
      <c r="I1075" s="2"/>
      <c r="J1075" s="2"/>
      <c r="N1075" s="2"/>
      <c r="O1075">
        <f>IFERROR(VLOOKUP($A1075,Accounts!$A:$G,3,FALSE),"")</f>
        <v>0</v>
      </c>
    </row>
    <row r="1076" spans="1:15" outlineLevel="2" x14ac:dyDescent="0.2">
      <c r="A1076" t="str">
        <f t="shared" si="16"/>
        <v/>
      </c>
      <c r="F1076" s="1"/>
      <c r="H1076" s="1"/>
      <c r="I1076" s="2"/>
      <c r="J1076" s="2"/>
      <c r="N1076" s="2"/>
      <c r="O1076">
        <f>IFERROR(VLOOKUP($A1076,Accounts!$A:$G,3,FALSE),"")</f>
        <v>0</v>
      </c>
    </row>
    <row r="1077" spans="1:15" outlineLevel="2" x14ac:dyDescent="0.2">
      <c r="A1077" t="str">
        <f t="shared" si="16"/>
        <v/>
      </c>
      <c r="F1077" s="1"/>
      <c r="H1077" s="1"/>
      <c r="I1077" s="2"/>
      <c r="J1077" s="2"/>
      <c r="N1077" s="2"/>
      <c r="O1077">
        <f>IFERROR(VLOOKUP($A1077,Accounts!$A:$G,3,FALSE),"")</f>
        <v>0</v>
      </c>
    </row>
    <row r="1078" spans="1:15" outlineLevel="2" x14ac:dyDescent="0.2">
      <c r="A1078" t="str">
        <f t="shared" si="16"/>
        <v/>
      </c>
      <c r="F1078" s="1"/>
      <c r="H1078" s="1"/>
      <c r="I1078" s="2"/>
      <c r="J1078" s="2"/>
      <c r="N1078" s="2"/>
      <c r="O1078">
        <f>IFERROR(VLOOKUP($A1078,Accounts!$A:$G,3,FALSE),"")</f>
        <v>0</v>
      </c>
    </row>
    <row r="1079" spans="1:15" outlineLevel="2" x14ac:dyDescent="0.2">
      <c r="A1079" t="str">
        <f t="shared" si="16"/>
        <v/>
      </c>
      <c r="F1079" s="1"/>
      <c r="H1079" s="1"/>
      <c r="I1079" s="2"/>
      <c r="J1079" s="2"/>
      <c r="N1079" s="2"/>
      <c r="O1079">
        <f>IFERROR(VLOOKUP($A1079,Accounts!$A:$G,3,FALSE),"")</f>
        <v>0</v>
      </c>
    </row>
    <row r="1080" spans="1:15" outlineLevel="2" x14ac:dyDescent="0.2">
      <c r="A1080" t="str">
        <f t="shared" si="16"/>
        <v/>
      </c>
      <c r="F1080" s="1"/>
      <c r="H1080" s="1"/>
      <c r="I1080" s="2"/>
      <c r="J1080" s="2"/>
      <c r="N1080" s="2"/>
      <c r="O1080">
        <f>IFERROR(VLOOKUP($A1080,Accounts!$A:$G,3,FALSE),"")</f>
        <v>0</v>
      </c>
    </row>
    <row r="1081" spans="1:15" outlineLevel="2" x14ac:dyDescent="0.2">
      <c r="A1081" t="str">
        <f t="shared" si="16"/>
        <v/>
      </c>
      <c r="F1081" s="1"/>
      <c r="H1081" s="1"/>
      <c r="I1081" s="2"/>
      <c r="J1081" s="2"/>
      <c r="N1081" s="2"/>
      <c r="O1081">
        <f>IFERROR(VLOOKUP($A1081,Accounts!$A:$G,3,FALSE),"")</f>
        <v>0</v>
      </c>
    </row>
    <row r="1082" spans="1:15" outlineLevel="2" x14ac:dyDescent="0.2">
      <c r="A1082" t="str">
        <f t="shared" si="16"/>
        <v/>
      </c>
      <c r="F1082" s="1"/>
      <c r="H1082" s="1"/>
      <c r="I1082" s="2"/>
      <c r="J1082" s="2"/>
      <c r="N1082" s="2"/>
      <c r="O1082">
        <f>IFERROR(VLOOKUP($A1082,Accounts!$A:$G,3,FALSE),"")</f>
        <v>0</v>
      </c>
    </row>
    <row r="1083" spans="1:15" outlineLevel="2" x14ac:dyDescent="0.2">
      <c r="A1083" t="str">
        <f t="shared" si="16"/>
        <v/>
      </c>
      <c r="F1083" s="1"/>
      <c r="H1083" s="1"/>
      <c r="I1083" s="2"/>
      <c r="J1083" s="2"/>
      <c r="N1083" s="2"/>
      <c r="O1083">
        <f>IFERROR(VLOOKUP($A1083,Accounts!$A:$G,3,FALSE),"")</f>
        <v>0</v>
      </c>
    </row>
    <row r="1084" spans="1:15" outlineLevel="2" x14ac:dyDescent="0.2">
      <c r="A1084" t="str">
        <f t="shared" si="16"/>
        <v/>
      </c>
      <c r="F1084" s="1"/>
      <c r="H1084" s="1"/>
      <c r="I1084" s="2"/>
      <c r="J1084" s="2"/>
      <c r="N1084" s="2"/>
      <c r="O1084">
        <f>IFERROR(VLOOKUP($A1084,Accounts!$A:$G,3,FALSE),"")</f>
        <v>0</v>
      </c>
    </row>
    <row r="1085" spans="1:15" outlineLevel="2" x14ac:dyDescent="0.2">
      <c r="A1085" t="str">
        <f t="shared" si="16"/>
        <v/>
      </c>
      <c r="F1085" s="1"/>
      <c r="H1085" s="1"/>
      <c r="I1085" s="2"/>
      <c r="J1085" s="2"/>
      <c r="N1085" s="2"/>
      <c r="O1085">
        <f>IFERROR(VLOOKUP($A1085,Accounts!$A:$G,3,FALSE),"")</f>
        <v>0</v>
      </c>
    </row>
    <row r="1086" spans="1:15" outlineLevel="2" x14ac:dyDescent="0.2">
      <c r="A1086" t="str">
        <f t="shared" si="16"/>
        <v/>
      </c>
      <c r="F1086" s="1"/>
      <c r="H1086" s="1"/>
      <c r="I1086" s="2"/>
      <c r="J1086" s="2"/>
      <c r="N1086" s="2"/>
      <c r="O1086">
        <f>IFERROR(VLOOKUP($A1086,Accounts!$A:$G,3,FALSE),"")</f>
        <v>0</v>
      </c>
    </row>
    <row r="1087" spans="1:15" outlineLevel="2" x14ac:dyDescent="0.2">
      <c r="A1087" t="str">
        <f t="shared" si="16"/>
        <v/>
      </c>
      <c r="F1087" s="1"/>
      <c r="H1087" s="1"/>
      <c r="I1087" s="2"/>
      <c r="J1087" s="2"/>
      <c r="N1087" s="2"/>
      <c r="O1087">
        <f>IFERROR(VLOOKUP($A1087,Accounts!$A:$G,3,FALSE),"")</f>
        <v>0</v>
      </c>
    </row>
    <row r="1088" spans="1:15" outlineLevel="2" x14ac:dyDescent="0.2">
      <c r="A1088" t="str">
        <f t="shared" si="16"/>
        <v/>
      </c>
      <c r="F1088" s="1"/>
      <c r="H1088" s="1"/>
      <c r="I1088" s="2"/>
      <c r="J1088" s="2"/>
      <c r="N1088" s="2"/>
      <c r="O1088">
        <f>IFERROR(VLOOKUP($A1088,Accounts!$A:$G,3,FALSE),"")</f>
        <v>0</v>
      </c>
    </row>
    <row r="1089" spans="1:15" outlineLevel="2" x14ac:dyDescent="0.2">
      <c r="A1089" t="str">
        <f t="shared" si="16"/>
        <v/>
      </c>
      <c r="F1089" s="1"/>
      <c r="H1089" s="1"/>
      <c r="I1089" s="2"/>
      <c r="J1089" s="2"/>
      <c r="N1089" s="2"/>
      <c r="O1089">
        <f>IFERROR(VLOOKUP($A1089,Accounts!$A:$G,3,FALSE),"")</f>
        <v>0</v>
      </c>
    </row>
    <row r="1090" spans="1:15" outlineLevel="2" x14ac:dyDescent="0.2">
      <c r="A1090" t="str">
        <f t="shared" si="16"/>
        <v/>
      </c>
      <c r="F1090" s="1"/>
      <c r="H1090" s="1"/>
      <c r="I1090" s="2"/>
      <c r="J1090" s="2"/>
      <c r="N1090" s="2"/>
      <c r="O1090">
        <f>IFERROR(VLOOKUP($A1090,Accounts!$A:$G,3,FALSE),"")</f>
        <v>0</v>
      </c>
    </row>
    <row r="1091" spans="1:15" outlineLevel="2" x14ac:dyDescent="0.2">
      <c r="A1091" t="str">
        <f t="shared" si="16"/>
        <v/>
      </c>
      <c r="F1091" s="1"/>
      <c r="H1091" s="1"/>
      <c r="I1091" s="2"/>
      <c r="J1091" s="2"/>
      <c r="N1091" s="2"/>
      <c r="O1091">
        <f>IFERROR(VLOOKUP($A1091,Accounts!$A:$G,3,FALSE),"")</f>
        <v>0</v>
      </c>
    </row>
    <row r="1092" spans="1:15" outlineLevel="2" x14ac:dyDescent="0.2">
      <c r="A1092" t="str">
        <f t="shared" si="16"/>
        <v/>
      </c>
      <c r="F1092" s="1"/>
      <c r="H1092" s="1"/>
      <c r="I1092" s="2"/>
      <c r="J1092" s="2"/>
      <c r="N1092" s="2"/>
      <c r="O1092">
        <f>IFERROR(VLOOKUP($A1092,Accounts!$A:$G,3,FALSE),"")</f>
        <v>0</v>
      </c>
    </row>
    <row r="1093" spans="1:15" outlineLevel="2" x14ac:dyDescent="0.2">
      <c r="A1093" t="str">
        <f t="shared" si="16"/>
        <v/>
      </c>
      <c r="F1093" s="1"/>
      <c r="H1093" s="1"/>
      <c r="I1093" s="2"/>
      <c r="J1093" s="2"/>
      <c r="N1093" s="2"/>
      <c r="O1093">
        <f>IFERROR(VLOOKUP($A1093,Accounts!$A:$G,3,FALSE),"")</f>
        <v>0</v>
      </c>
    </row>
    <row r="1094" spans="1:15" outlineLevel="2" x14ac:dyDescent="0.2">
      <c r="A1094" t="str">
        <f t="shared" si="16"/>
        <v/>
      </c>
      <c r="F1094" s="1"/>
      <c r="H1094" s="1"/>
      <c r="I1094" s="2"/>
      <c r="J1094" s="2"/>
      <c r="N1094" s="2"/>
      <c r="O1094">
        <f>IFERROR(VLOOKUP($A1094,Accounts!$A:$G,3,FALSE),"")</f>
        <v>0</v>
      </c>
    </row>
    <row r="1095" spans="1:15" outlineLevel="2" x14ac:dyDescent="0.2">
      <c r="A1095" t="str">
        <f t="shared" si="16"/>
        <v/>
      </c>
      <c r="F1095" s="1"/>
      <c r="H1095" s="1"/>
      <c r="I1095" s="2"/>
      <c r="J1095" s="2"/>
      <c r="N1095" s="2"/>
      <c r="O1095">
        <f>IFERROR(VLOOKUP($A1095,Accounts!$A:$G,3,FALSE),"")</f>
        <v>0</v>
      </c>
    </row>
    <row r="1096" spans="1:15" outlineLevel="2" x14ac:dyDescent="0.2">
      <c r="A1096" t="str">
        <f t="shared" si="16"/>
        <v/>
      </c>
      <c r="F1096" s="1"/>
      <c r="H1096" s="1"/>
      <c r="I1096" s="2"/>
      <c r="J1096" s="2"/>
      <c r="N1096" s="2"/>
      <c r="O1096">
        <f>IFERROR(VLOOKUP($A1096,Accounts!$A:$G,3,FALSE),"")</f>
        <v>0</v>
      </c>
    </row>
    <row r="1097" spans="1:15" outlineLevel="2" x14ac:dyDescent="0.2">
      <c r="A1097" t="str">
        <f t="shared" si="16"/>
        <v/>
      </c>
      <c r="F1097" s="1"/>
      <c r="H1097" s="1"/>
      <c r="I1097" s="2"/>
      <c r="J1097" s="2"/>
      <c r="N1097" s="2"/>
      <c r="O1097">
        <f>IFERROR(VLOOKUP($A1097,Accounts!$A:$G,3,FALSE),"")</f>
        <v>0</v>
      </c>
    </row>
    <row r="1098" spans="1:15" outlineLevel="2" x14ac:dyDescent="0.2">
      <c r="A1098" t="str">
        <f t="shared" ref="A1098:A1161" si="17">IFERROR(IF(J1098=0,E1098&amp;C1098&amp;I1098,G1098&amp;B1098&amp;J1098),"")</f>
        <v/>
      </c>
      <c r="F1098" s="1"/>
      <c r="H1098" s="1"/>
      <c r="I1098" s="2"/>
      <c r="J1098" s="2"/>
      <c r="N1098" s="2"/>
      <c r="O1098">
        <f>IFERROR(VLOOKUP($A1098,Accounts!$A:$G,3,FALSE),"")</f>
        <v>0</v>
      </c>
    </row>
    <row r="1099" spans="1:15" outlineLevel="2" x14ac:dyDescent="0.2">
      <c r="A1099" t="str">
        <f t="shared" si="17"/>
        <v/>
      </c>
      <c r="F1099" s="1"/>
      <c r="H1099" s="1"/>
      <c r="I1099" s="2"/>
      <c r="J1099" s="2"/>
      <c r="N1099" s="2"/>
      <c r="O1099">
        <f>IFERROR(VLOOKUP($A1099,Accounts!$A:$G,3,FALSE),"")</f>
        <v>0</v>
      </c>
    </row>
    <row r="1100" spans="1:15" outlineLevel="2" x14ac:dyDescent="0.2">
      <c r="A1100" t="str">
        <f t="shared" si="17"/>
        <v/>
      </c>
      <c r="F1100" s="1"/>
      <c r="H1100" s="1"/>
      <c r="I1100" s="2"/>
      <c r="J1100" s="2"/>
      <c r="N1100" s="2"/>
      <c r="O1100">
        <f>IFERROR(VLOOKUP($A1100,Accounts!$A:$G,3,FALSE),"")</f>
        <v>0</v>
      </c>
    </row>
    <row r="1101" spans="1:15" outlineLevel="2" x14ac:dyDescent="0.2">
      <c r="A1101" t="str">
        <f t="shared" si="17"/>
        <v/>
      </c>
      <c r="F1101" s="1"/>
      <c r="H1101" s="1"/>
      <c r="I1101" s="2"/>
      <c r="J1101" s="2"/>
      <c r="N1101" s="2"/>
      <c r="O1101">
        <f>IFERROR(VLOOKUP($A1101,Accounts!$A:$G,3,FALSE),"")</f>
        <v>0</v>
      </c>
    </row>
    <row r="1102" spans="1:15" outlineLevel="2" x14ac:dyDescent="0.2">
      <c r="A1102" t="str">
        <f t="shared" si="17"/>
        <v/>
      </c>
      <c r="F1102" s="1"/>
      <c r="H1102" s="1"/>
      <c r="I1102" s="2"/>
      <c r="J1102" s="2"/>
      <c r="N1102" s="2"/>
      <c r="O1102">
        <f>IFERROR(VLOOKUP($A1102,Accounts!$A:$G,3,FALSE),"")</f>
        <v>0</v>
      </c>
    </row>
    <row r="1103" spans="1:15" outlineLevel="2" x14ac:dyDescent="0.2">
      <c r="A1103" t="str">
        <f t="shared" si="17"/>
        <v/>
      </c>
      <c r="F1103" s="1"/>
      <c r="H1103" s="1"/>
      <c r="I1103" s="2"/>
      <c r="J1103" s="2"/>
      <c r="N1103" s="2"/>
      <c r="O1103">
        <f>IFERROR(VLOOKUP($A1103,Accounts!$A:$G,3,FALSE),"")</f>
        <v>0</v>
      </c>
    </row>
    <row r="1104" spans="1:15" outlineLevel="2" x14ac:dyDescent="0.2">
      <c r="A1104" t="str">
        <f t="shared" si="17"/>
        <v/>
      </c>
      <c r="F1104" s="1"/>
      <c r="H1104" s="1"/>
      <c r="I1104" s="2"/>
      <c r="J1104" s="2"/>
      <c r="N1104" s="2"/>
      <c r="O1104">
        <f>IFERROR(VLOOKUP($A1104,Accounts!$A:$G,3,FALSE),"")</f>
        <v>0</v>
      </c>
    </row>
    <row r="1105" spans="1:15" outlineLevel="2" x14ac:dyDescent="0.2">
      <c r="A1105" t="str">
        <f t="shared" si="17"/>
        <v/>
      </c>
      <c r="F1105" s="1"/>
      <c r="H1105" s="1"/>
      <c r="I1105" s="2"/>
      <c r="J1105" s="2"/>
      <c r="N1105" s="2"/>
      <c r="O1105">
        <f>IFERROR(VLOOKUP($A1105,Accounts!$A:$G,3,FALSE),"")</f>
        <v>0</v>
      </c>
    </row>
    <row r="1106" spans="1:15" outlineLevel="2" x14ac:dyDescent="0.2">
      <c r="A1106" t="str">
        <f t="shared" si="17"/>
        <v/>
      </c>
      <c r="F1106" s="1"/>
      <c r="H1106" s="1"/>
      <c r="I1106" s="2"/>
      <c r="J1106" s="2"/>
      <c r="N1106" s="2"/>
      <c r="O1106">
        <f>IFERROR(VLOOKUP($A1106,Accounts!$A:$G,3,FALSE),"")</f>
        <v>0</v>
      </c>
    </row>
    <row r="1107" spans="1:15" outlineLevel="2" x14ac:dyDescent="0.2">
      <c r="A1107" t="str">
        <f t="shared" si="17"/>
        <v/>
      </c>
      <c r="F1107" s="1"/>
      <c r="H1107" s="1"/>
      <c r="I1107" s="2"/>
      <c r="J1107" s="2"/>
      <c r="N1107" s="2"/>
      <c r="O1107">
        <f>IFERROR(VLOOKUP($A1107,Accounts!$A:$G,3,FALSE),"")</f>
        <v>0</v>
      </c>
    </row>
    <row r="1108" spans="1:15" outlineLevel="2" x14ac:dyDescent="0.2">
      <c r="A1108" t="str">
        <f t="shared" si="17"/>
        <v/>
      </c>
      <c r="F1108" s="1"/>
      <c r="H1108" s="1"/>
      <c r="I1108" s="2"/>
      <c r="J1108" s="2"/>
      <c r="N1108" s="2"/>
      <c r="O1108">
        <f>IFERROR(VLOOKUP($A1108,Accounts!$A:$G,3,FALSE),"")</f>
        <v>0</v>
      </c>
    </row>
    <row r="1109" spans="1:15" outlineLevel="2" x14ac:dyDescent="0.2">
      <c r="A1109" t="str">
        <f t="shared" si="17"/>
        <v/>
      </c>
      <c r="F1109" s="1"/>
      <c r="H1109" s="1"/>
      <c r="I1109" s="2"/>
      <c r="J1109" s="2"/>
      <c r="N1109" s="2"/>
      <c r="O1109">
        <f>IFERROR(VLOOKUP($A1109,Accounts!$A:$G,3,FALSE),"")</f>
        <v>0</v>
      </c>
    </row>
    <row r="1110" spans="1:15" outlineLevel="2" x14ac:dyDescent="0.2">
      <c r="A1110" t="str">
        <f t="shared" si="17"/>
        <v/>
      </c>
      <c r="F1110" s="1"/>
      <c r="H1110" s="1"/>
      <c r="I1110" s="2"/>
      <c r="J1110" s="2"/>
      <c r="N1110" s="2"/>
      <c r="O1110">
        <f>IFERROR(VLOOKUP($A1110,Accounts!$A:$G,3,FALSE),"")</f>
        <v>0</v>
      </c>
    </row>
    <row r="1111" spans="1:15" outlineLevel="2" x14ac:dyDescent="0.2">
      <c r="A1111" t="str">
        <f t="shared" si="17"/>
        <v/>
      </c>
      <c r="F1111" s="1"/>
      <c r="H1111" s="1"/>
      <c r="I1111" s="2"/>
      <c r="J1111" s="2"/>
      <c r="N1111" s="2"/>
      <c r="O1111">
        <f>IFERROR(VLOOKUP($A1111,Accounts!$A:$G,3,FALSE),"")</f>
        <v>0</v>
      </c>
    </row>
    <row r="1112" spans="1:15" outlineLevel="2" x14ac:dyDescent="0.2">
      <c r="A1112" t="str">
        <f t="shared" si="17"/>
        <v/>
      </c>
      <c r="F1112" s="1"/>
      <c r="H1112" s="1"/>
      <c r="I1112" s="2"/>
      <c r="J1112" s="2"/>
      <c r="N1112" s="2"/>
      <c r="O1112">
        <f>IFERROR(VLOOKUP($A1112,Accounts!$A:$G,3,FALSE),"")</f>
        <v>0</v>
      </c>
    </row>
    <row r="1113" spans="1:15" outlineLevel="2" x14ac:dyDescent="0.2">
      <c r="A1113" t="str">
        <f t="shared" si="17"/>
        <v/>
      </c>
      <c r="F1113" s="1"/>
      <c r="H1113" s="1"/>
      <c r="I1113" s="2"/>
      <c r="J1113" s="2"/>
      <c r="N1113" s="2"/>
      <c r="O1113">
        <f>IFERROR(VLOOKUP($A1113,Accounts!$A:$G,3,FALSE),"")</f>
        <v>0</v>
      </c>
    </row>
    <row r="1114" spans="1:15" outlineLevel="2" x14ac:dyDescent="0.2">
      <c r="A1114" t="str">
        <f t="shared" si="17"/>
        <v/>
      </c>
      <c r="F1114" s="1"/>
      <c r="H1114" s="1"/>
      <c r="I1114" s="2"/>
      <c r="J1114" s="2"/>
      <c r="N1114" s="2"/>
      <c r="O1114">
        <f>IFERROR(VLOOKUP($A1114,Accounts!$A:$G,3,FALSE),"")</f>
        <v>0</v>
      </c>
    </row>
    <row r="1115" spans="1:15" outlineLevel="2" x14ac:dyDescent="0.2">
      <c r="A1115" t="str">
        <f t="shared" si="17"/>
        <v/>
      </c>
      <c r="F1115" s="1"/>
      <c r="H1115" s="1"/>
      <c r="I1115" s="2"/>
      <c r="J1115" s="2"/>
      <c r="N1115" s="2"/>
      <c r="O1115">
        <f>IFERROR(VLOOKUP($A1115,Accounts!$A:$G,3,FALSE),"")</f>
        <v>0</v>
      </c>
    </row>
    <row r="1116" spans="1:15" outlineLevel="2" x14ac:dyDescent="0.2">
      <c r="A1116" t="str">
        <f t="shared" si="17"/>
        <v/>
      </c>
      <c r="F1116" s="1"/>
      <c r="H1116" s="1"/>
      <c r="I1116" s="2"/>
      <c r="J1116" s="2"/>
      <c r="N1116" s="2"/>
      <c r="O1116">
        <f>IFERROR(VLOOKUP($A1116,Accounts!$A:$G,3,FALSE),"")</f>
        <v>0</v>
      </c>
    </row>
    <row r="1117" spans="1:15" outlineLevel="2" x14ac:dyDescent="0.2">
      <c r="A1117" t="str">
        <f t="shared" si="17"/>
        <v/>
      </c>
      <c r="F1117" s="1"/>
      <c r="H1117" s="1"/>
      <c r="I1117" s="2"/>
      <c r="J1117" s="2"/>
      <c r="N1117" s="2"/>
      <c r="O1117">
        <f>IFERROR(VLOOKUP($A1117,Accounts!$A:$G,3,FALSE),"")</f>
        <v>0</v>
      </c>
    </row>
    <row r="1118" spans="1:15" outlineLevel="2" x14ac:dyDescent="0.2">
      <c r="A1118" t="str">
        <f t="shared" si="17"/>
        <v/>
      </c>
      <c r="F1118" s="1"/>
      <c r="H1118" s="1"/>
      <c r="I1118" s="2"/>
      <c r="J1118" s="2"/>
      <c r="N1118" s="2"/>
      <c r="O1118">
        <f>IFERROR(VLOOKUP($A1118,Accounts!$A:$G,3,FALSE),"")</f>
        <v>0</v>
      </c>
    </row>
    <row r="1119" spans="1:15" outlineLevel="2" x14ac:dyDescent="0.2">
      <c r="A1119" t="str">
        <f t="shared" si="17"/>
        <v/>
      </c>
      <c r="F1119" s="1"/>
      <c r="H1119" s="1"/>
      <c r="I1119" s="2"/>
      <c r="J1119" s="2"/>
      <c r="N1119" s="2"/>
      <c r="O1119">
        <f>IFERROR(VLOOKUP($A1119,Accounts!$A:$G,3,FALSE),"")</f>
        <v>0</v>
      </c>
    </row>
    <row r="1120" spans="1:15" outlineLevel="2" x14ac:dyDescent="0.2">
      <c r="A1120" t="str">
        <f t="shared" si="17"/>
        <v/>
      </c>
      <c r="F1120" s="1"/>
      <c r="H1120" s="1"/>
      <c r="I1120" s="2"/>
      <c r="J1120" s="2"/>
      <c r="N1120" s="2"/>
      <c r="O1120">
        <f>IFERROR(VLOOKUP($A1120,Accounts!$A:$G,3,FALSE),"")</f>
        <v>0</v>
      </c>
    </row>
    <row r="1121" spans="1:15" outlineLevel="2" x14ac:dyDescent="0.2">
      <c r="A1121" t="str">
        <f t="shared" si="17"/>
        <v/>
      </c>
      <c r="F1121" s="1"/>
      <c r="H1121" s="1"/>
      <c r="I1121" s="2"/>
      <c r="J1121" s="2"/>
      <c r="N1121" s="2"/>
      <c r="O1121">
        <f>IFERROR(VLOOKUP($A1121,Accounts!$A:$G,3,FALSE),"")</f>
        <v>0</v>
      </c>
    </row>
    <row r="1122" spans="1:15" outlineLevel="2" x14ac:dyDescent="0.2">
      <c r="A1122" t="str">
        <f t="shared" si="17"/>
        <v/>
      </c>
      <c r="F1122" s="1"/>
      <c r="H1122" s="1"/>
      <c r="I1122" s="2"/>
      <c r="J1122" s="2"/>
      <c r="N1122" s="2"/>
      <c r="O1122">
        <f>IFERROR(VLOOKUP($A1122,Accounts!$A:$G,3,FALSE),"")</f>
        <v>0</v>
      </c>
    </row>
    <row r="1123" spans="1:15" outlineLevel="2" x14ac:dyDescent="0.2">
      <c r="A1123" t="str">
        <f t="shared" si="17"/>
        <v/>
      </c>
      <c r="F1123" s="1"/>
      <c r="H1123" s="1"/>
      <c r="I1123" s="2"/>
      <c r="J1123" s="2"/>
      <c r="N1123" s="2"/>
      <c r="O1123">
        <f>IFERROR(VLOOKUP($A1123,Accounts!$A:$G,3,FALSE),"")</f>
        <v>0</v>
      </c>
    </row>
    <row r="1124" spans="1:15" outlineLevel="2" x14ac:dyDescent="0.2">
      <c r="A1124" t="str">
        <f t="shared" si="17"/>
        <v/>
      </c>
      <c r="F1124" s="1"/>
      <c r="H1124" s="1"/>
      <c r="I1124" s="2"/>
      <c r="J1124" s="2"/>
      <c r="N1124" s="2"/>
      <c r="O1124">
        <f>IFERROR(VLOOKUP($A1124,Accounts!$A:$G,3,FALSE),"")</f>
        <v>0</v>
      </c>
    </row>
    <row r="1125" spans="1:15" outlineLevel="2" x14ac:dyDescent="0.2">
      <c r="A1125" t="str">
        <f t="shared" si="17"/>
        <v/>
      </c>
      <c r="F1125" s="1"/>
      <c r="H1125" s="1"/>
      <c r="I1125" s="2"/>
      <c r="J1125" s="2"/>
      <c r="N1125" s="2"/>
      <c r="O1125">
        <f>IFERROR(VLOOKUP($A1125,Accounts!$A:$G,3,FALSE),"")</f>
        <v>0</v>
      </c>
    </row>
    <row r="1126" spans="1:15" outlineLevel="2" x14ac:dyDescent="0.2">
      <c r="A1126" t="str">
        <f t="shared" si="17"/>
        <v/>
      </c>
      <c r="F1126" s="1"/>
      <c r="H1126" s="1"/>
      <c r="I1126" s="2"/>
      <c r="J1126" s="2"/>
      <c r="N1126" s="2"/>
      <c r="O1126">
        <f>IFERROR(VLOOKUP($A1126,Accounts!$A:$G,3,FALSE),"")</f>
        <v>0</v>
      </c>
    </row>
    <row r="1127" spans="1:15" outlineLevel="2" x14ac:dyDescent="0.2">
      <c r="A1127" t="str">
        <f t="shared" si="17"/>
        <v/>
      </c>
      <c r="F1127" s="1"/>
      <c r="H1127" s="1"/>
      <c r="I1127" s="2"/>
      <c r="J1127" s="2"/>
      <c r="N1127" s="2"/>
      <c r="O1127">
        <f>IFERROR(VLOOKUP($A1127,Accounts!$A:$G,3,FALSE),"")</f>
        <v>0</v>
      </c>
    </row>
    <row r="1128" spans="1:15" outlineLevel="2" x14ac:dyDescent="0.2">
      <c r="A1128" t="str">
        <f t="shared" si="17"/>
        <v/>
      </c>
      <c r="F1128" s="1"/>
      <c r="H1128" s="1"/>
      <c r="I1128" s="2"/>
      <c r="J1128" s="2"/>
      <c r="N1128" s="2"/>
      <c r="O1128">
        <f>IFERROR(VLOOKUP($A1128,Accounts!$A:$G,3,FALSE),"")</f>
        <v>0</v>
      </c>
    </row>
    <row r="1129" spans="1:15" outlineLevel="2" x14ac:dyDescent="0.2">
      <c r="A1129" t="str">
        <f t="shared" si="17"/>
        <v/>
      </c>
      <c r="F1129" s="1"/>
      <c r="H1129" s="1"/>
      <c r="I1129" s="2"/>
      <c r="J1129" s="2"/>
      <c r="N1129" s="2"/>
      <c r="O1129">
        <f>IFERROR(VLOOKUP($A1129,Accounts!$A:$G,3,FALSE),"")</f>
        <v>0</v>
      </c>
    </row>
    <row r="1130" spans="1:15" outlineLevel="2" x14ac:dyDescent="0.2">
      <c r="A1130" t="str">
        <f t="shared" si="17"/>
        <v/>
      </c>
      <c r="F1130" s="1"/>
      <c r="H1130" s="1"/>
      <c r="I1130" s="2"/>
      <c r="J1130" s="2"/>
      <c r="N1130" s="2"/>
      <c r="O1130">
        <f>IFERROR(VLOOKUP($A1130,Accounts!$A:$G,3,FALSE),"")</f>
        <v>0</v>
      </c>
    </row>
    <row r="1131" spans="1:15" outlineLevel="2" x14ac:dyDescent="0.2">
      <c r="A1131" t="str">
        <f t="shared" si="17"/>
        <v/>
      </c>
      <c r="F1131" s="1"/>
      <c r="H1131" s="1"/>
      <c r="I1131" s="2"/>
      <c r="J1131" s="2"/>
      <c r="N1131" s="2"/>
      <c r="O1131">
        <f>IFERROR(VLOOKUP($A1131,Accounts!$A:$G,3,FALSE),"")</f>
        <v>0</v>
      </c>
    </row>
    <row r="1132" spans="1:15" outlineLevel="2" x14ac:dyDescent="0.2">
      <c r="A1132" t="str">
        <f t="shared" si="17"/>
        <v/>
      </c>
      <c r="F1132" s="1"/>
      <c r="H1132" s="1"/>
      <c r="I1132" s="2"/>
      <c r="J1132" s="2"/>
      <c r="N1132" s="2"/>
      <c r="O1132">
        <f>IFERROR(VLOOKUP($A1132,Accounts!$A:$G,3,FALSE),"")</f>
        <v>0</v>
      </c>
    </row>
    <row r="1133" spans="1:15" outlineLevel="2" x14ac:dyDescent="0.2">
      <c r="A1133" t="str">
        <f t="shared" si="17"/>
        <v/>
      </c>
      <c r="F1133" s="1"/>
      <c r="H1133" s="1"/>
      <c r="I1133" s="2"/>
      <c r="J1133" s="2"/>
      <c r="N1133" s="2"/>
      <c r="O1133">
        <f>IFERROR(VLOOKUP($A1133,Accounts!$A:$G,3,FALSE),"")</f>
        <v>0</v>
      </c>
    </row>
    <row r="1134" spans="1:15" outlineLevel="2" x14ac:dyDescent="0.2">
      <c r="A1134" t="str">
        <f t="shared" si="17"/>
        <v/>
      </c>
      <c r="F1134" s="1"/>
      <c r="H1134" s="1"/>
      <c r="I1134" s="2"/>
      <c r="J1134" s="2"/>
      <c r="N1134" s="2"/>
      <c r="O1134">
        <f>IFERROR(VLOOKUP($A1134,Accounts!$A:$G,3,FALSE),"")</f>
        <v>0</v>
      </c>
    </row>
    <row r="1135" spans="1:15" outlineLevel="2" x14ac:dyDescent="0.2">
      <c r="A1135" t="str">
        <f t="shared" si="17"/>
        <v/>
      </c>
      <c r="F1135" s="1"/>
      <c r="H1135" s="1"/>
      <c r="I1135" s="2"/>
      <c r="J1135" s="2"/>
      <c r="N1135" s="2"/>
      <c r="O1135">
        <f>IFERROR(VLOOKUP($A1135,Accounts!$A:$G,3,FALSE),"")</f>
        <v>0</v>
      </c>
    </row>
    <row r="1136" spans="1:15" outlineLevel="2" x14ac:dyDescent="0.2">
      <c r="A1136" t="str">
        <f t="shared" si="17"/>
        <v/>
      </c>
      <c r="F1136" s="1"/>
      <c r="H1136" s="1"/>
      <c r="I1136" s="2"/>
      <c r="J1136" s="2"/>
      <c r="N1136" s="2"/>
      <c r="O1136">
        <f>IFERROR(VLOOKUP($A1136,Accounts!$A:$G,3,FALSE),"")</f>
        <v>0</v>
      </c>
    </row>
    <row r="1137" spans="1:15" outlineLevel="2" x14ac:dyDescent="0.2">
      <c r="A1137" t="str">
        <f t="shared" si="17"/>
        <v/>
      </c>
      <c r="F1137" s="1"/>
      <c r="H1137" s="1"/>
      <c r="I1137" s="2"/>
      <c r="J1137" s="2"/>
      <c r="N1137" s="2"/>
      <c r="O1137">
        <f>IFERROR(VLOOKUP($A1137,Accounts!$A:$G,3,FALSE),"")</f>
        <v>0</v>
      </c>
    </row>
    <row r="1138" spans="1:15" outlineLevel="2" x14ac:dyDescent="0.2">
      <c r="A1138" t="str">
        <f t="shared" si="17"/>
        <v/>
      </c>
      <c r="F1138" s="1"/>
      <c r="H1138" s="1"/>
      <c r="I1138" s="2"/>
      <c r="J1138" s="2"/>
      <c r="N1138" s="2"/>
      <c r="O1138">
        <f>IFERROR(VLOOKUP($A1138,Accounts!$A:$G,3,FALSE),"")</f>
        <v>0</v>
      </c>
    </row>
    <row r="1139" spans="1:15" outlineLevel="2" x14ac:dyDescent="0.2">
      <c r="A1139" t="str">
        <f t="shared" si="17"/>
        <v/>
      </c>
      <c r="F1139" s="1"/>
      <c r="H1139" s="1"/>
      <c r="I1139" s="2"/>
      <c r="J1139" s="2"/>
      <c r="N1139" s="2"/>
      <c r="O1139">
        <f>IFERROR(VLOOKUP($A1139,Accounts!$A:$G,3,FALSE),"")</f>
        <v>0</v>
      </c>
    </row>
    <row r="1140" spans="1:15" outlineLevel="2" x14ac:dyDescent="0.2">
      <c r="A1140" t="str">
        <f t="shared" si="17"/>
        <v/>
      </c>
      <c r="F1140" s="1"/>
      <c r="H1140" s="1"/>
      <c r="I1140" s="2"/>
      <c r="J1140" s="2"/>
      <c r="N1140" s="2"/>
      <c r="O1140">
        <f>IFERROR(VLOOKUP($A1140,Accounts!$A:$G,3,FALSE),"")</f>
        <v>0</v>
      </c>
    </row>
    <row r="1141" spans="1:15" outlineLevel="2" x14ac:dyDescent="0.2">
      <c r="A1141" t="str">
        <f t="shared" si="17"/>
        <v/>
      </c>
      <c r="F1141" s="1"/>
      <c r="H1141" s="1"/>
      <c r="I1141" s="2"/>
      <c r="J1141" s="2"/>
      <c r="N1141" s="2"/>
      <c r="O1141">
        <f>IFERROR(VLOOKUP($A1141,Accounts!$A:$G,3,FALSE),"")</f>
        <v>0</v>
      </c>
    </row>
    <row r="1142" spans="1:15" outlineLevel="2" x14ac:dyDescent="0.2">
      <c r="A1142" t="str">
        <f t="shared" si="17"/>
        <v/>
      </c>
      <c r="F1142" s="1"/>
      <c r="H1142" s="1"/>
      <c r="I1142" s="2"/>
      <c r="J1142" s="2"/>
      <c r="N1142" s="2"/>
      <c r="O1142">
        <f>IFERROR(VLOOKUP($A1142,Accounts!$A:$G,3,FALSE),"")</f>
        <v>0</v>
      </c>
    </row>
    <row r="1143" spans="1:15" outlineLevel="2" x14ac:dyDescent="0.2">
      <c r="A1143" t="str">
        <f t="shared" si="17"/>
        <v/>
      </c>
      <c r="F1143" s="1"/>
      <c r="H1143" s="1"/>
      <c r="I1143" s="2"/>
      <c r="J1143" s="2"/>
      <c r="N1143" s="2"/>
      <c r="O1143">
        <f>IFERROR(VLOOKUP($A1143,Accounts!$A:$G,3,FALSE),"")</f>
        <v>0</v>
      </c>
    </row>
    <row r="1144" spans="1:15" outlineLevel="2" x14ac:dyDescent="0.2">
      <c r="A1144" t="str">
        <f t="shared" si="17"/>
        <v/>
      </c>
      <c r="F1144" s="1"/>
      <c r="H1144" s="1"/>
      <c r="I1144" s="2"/>
      <c r="J1144" s="2"/>
      <c r="N1144" s="2"/>
      <c r="O1144">
        <f>IFERROR(VLOOKUP($A1144,Accounts!$A:$G,3,FALSE),"")</f>
        <v>0</v>
      </c>
    </row>
    <row r="1145" spans="1:15" outlineLevel="2" x14ac:dyDescent="0.2">
      <c r="A1145" t="str">
        <f t="shared" si="17"/>
        <v/>
      </c>
      <c r="F1145" s="1"/>
      <c r="H1145" s="1"/>
      <c r="I1145" s="2"/>
      <c r="J1145" s="2"/>
      <c r="N1145" s="2"/>
      <c r="O1145">
        <f>IFERROR(VLOOKUP($A1145,Accounts!$A:$G,3,FALSE),"")</f>
        <v>0</v>
      </c>
    </row>
    <row r="1146" spans="1:15" outlineLevel="2" x14ac:dyDescent="0.2">
      <c r="A1146" t="str">
        <f t="shared" si="17"/>
        <v/>
      </c>
      <c r="F1146" s="1"/>
      <c r="H1146" s="1"/>
      <c r="I1146" s="2"/>
      <c r="J1146" s="2"/>
      <c r="N1146" s="2"/>
      <c r="O1146">
        <f>IFERROR(VLOOKUP($A1146,Accounts!$A:$G,3,FALSE),"")</f>
        <v>0</v>
      </c>
    </row>
    <row r="1147" spans="1:15" outlineLevel="2" x14ac:dyDescent="0.2">
      <c r="A1147" t="str">
        <f t="shared" si="17"/>
        <v/>
      </c>
      <c r="F1147" s="1"/>
      <c r="H1147" s="1"/>
      <c r="I1147" s="2"/>
      <c r="J1147" s="2"/>
      <c r="N1147" s="2"/>
      <c r="O1147">
        <f>IFERROR(VLOOKUP($A1147,Accounts!$A:$G,3,FALSE),"")</f>
        <v>0</v>
      </c>
    </row>
    <row r="1148" spans="1:15" outlineLevel="2" x14ac:dyDescent="0.2">
      <c r="A1148" t="str">
        <f t="shared" si="17"/>
        <v/>
      </c>
      <c r="F1148" s="1"/>
      <c r="H1148" s="1"/>
      <c r="I1148" s="2"/>
      <c r="J1148" s="2"/>
      <c r="N1148" s="2"/>
      <c r="O1148">
        <f>IFERROR(VLOOKUP($A1148,Accounts!$A:$G,3,FALSE),"")</f>
        <v>0</v>
      </c>
    </row>
    <row r="1149" spans="1:15" outlineLevel="2" x14ac:dyDescent="0.2">
      <c r="A1149" t="str">
        <f t="shared" si="17"/>
        <v/>
      </c>
      <c r="F1149" s="1"/>
      <c r="H1149" s="1"/>
      <c r="I1149" s="2"/>
      <c r="J1149" s="2"/>
      <c r="N1149" s="2"/>
      <c r="O1149">
        <f>IFERROR(VLOOKUP($A1149,Accounts!$A:$G,3,FALSE),"")</f>
        <v>0</v>
      </c>
    </row>
    <row r="1150" spans="1:15" outlineLevel="2" x14ac:dyDescent="0.2">
      <c r="A1150" t="str">
        <f t="shared" si="17"/>
        <v/>
      </c>
      <c r="F1150" s="1"/>
      <c r="H1150" s="1"/>
      <c r="I1150" s="2"/>
      <c r="J1150" s="2"/>
      <c r="N1150" s="2"/>
      <c r="O1150">
        <f>IFERROR(VLOOKUP($A1150,Accounts!$A:$G,3,FALSE),"")</f>
        <v>0</v>
      </c>
    </row>
    <row r="1151" spans="1:15" outlineLevel="2" x14ac:dyDescent="0.2">
      <c r="A1151" t="str">
        <f t="shared" si="17"/>
        <v/>
      </c>
      <c r="F1151" s="1"/>
      <c r="H1151" s="1"/>
      <c r="I1151" s="2"/>
      <c r="J1151" s="2"/>
      <c r="N1151" s="2"/>
      <c r="O1151">
        <f>IFERROR(VLOOKUP($A1151,Accounts!$A:$G,3,FALSE),"")</f>
        <v>0</v>
      </c>
    </row>
    <row r="1152" spans="1:15" outlineLevel="2" x14ac:dyDescent="0.2">
      <c r="A1152" t="str">
        <f t="shared" si="17"/>
        <v/>
      </c>
      <c r="F1152" s="1"/>
      <c r="H1152" s="1"/>
      <c r="I1152" s="2"/>
      <c r="J1152" s="2"/>
      <c r="N1152" s="2"/>
      <c r="O1152">
        <f>IFERROR(VLOOKUP($A1152,Accounts!$A:$G,3,FALSE),"")</f>
        <v>0</v>
      </c>
    </row>
    <row r="1153" spans="1:15" outlineLevel="2" x14ac:dyDescent="0.2">
      <c r="A1153" t="str">
        <f t="shared" si="17"/>
        <v/>
      </c>
      <c r="F1153" s="1"/>
      <c r="H1153" s="1"/>
      <c r="I1153" s="2"/>
      <c r="J1153" s="2"/>
      <c r="N1153" s="2"/>
      <c r="O1153">
        <f>IFERROR(VLOOKUP($A1153,Accounts!$A:$G,3,FALSE),"")</f>
        <v>0</v>
      </c>
    </row>
    <row r="1154" spans="1:15" outlineLevel="2" x14ac:dyDescent="0.2">
      <c r="A1154" t="str">
        <f t="shared" si="17"/>
        <v/>
      </c>
      <c r="F1154" s="1"/>
      <c r="H1154" s="1"/>
      <c r="I1154" s="2"/>
      <c r="J1154" s="2"/>
      <c r="N1154" s="2"/>
      <c r="O1154">
        <f>IFERROR(VLOOKUP($A1154,Accounts!$A:$G,3,FALSE),"")</f>
        <v>0</v>
      </c>
    </row>
    <row r="1155" spans="1:15" outlineLevel="2" x14ac:dyDescent="0.2">
      <c r="A1155" t="str">
        <f t="shared" si="17"/>
        <v/>
      </c>
      <c r="F1155" s="1"/>
      <c r="H1155" s="1"/>
      <c r="I1155" s="2"/>
      <c r="J1155" s="2"/>
      <c r="N1155" s="2"/>
      <c r="O1155">
        <f>IFERROR(VLOOKUP($A1155,Accounts!$A:$G,3,FALSE),"")</f>
        <v>0</v>
      </c>
    </row>
    <row r="1156" spans="1:15" outlineLevel="2" x14ac:dyDescent="0.2">
      <c r="A1156" t="str">
        <f t="shared" si="17"/>
        <v/>
      </c>
      <c r="F1156" s="1"/>
      <c r="H1156" s="1"/>
      <c r="I1156" s="2"/>
      <c r="J1156" s="2"/>
      <c r="N1156" s="2"/>
      <c r="O1156">
        <f>IFERROR(VLOOKUP($A1156,Accounts!$A:$G,3,FALSE),"")</f>
        <v>0</v>
      </c>
    </row>
    <row r="1157" spans="1:15" outlineLevel="2" x14ac:dyDescent="0.2">
      <c r="A1157" t="str">
        <f t="shared" si="17"/>
        <v/>
      </c>
      <c r="F1157" s="1"/>
      <c r="H1157" s="1"/>
      <c r="I1157" s="2"/>
      <c r="J1157" s="2"/>
      <c r="N1157" s="2"/>
      <c r="O1157">
        <f>IFERROR(VLOOKUP($A1157,Accounts!$A:$G,3,FALSE),"")</f>
        <v>0</v>
      </c>
    </row>
    <row r="1158" spans="1:15" outlineLevel="2" x14ac:dyDescent="0.2">
      <c r="A1158" t="str">
        <f t="shared" si="17"/>
        <v/>
      </c>
      <c r="F1158" s="1"/>
      <c r="H1158" s="1"/>
      <c r="I1158" s="2"/>
      <c r="J1158" s="2"/>
      <c r="N1158" s="2"/>
      <c r="O1158">
        <f>IFERROR(VLOOKUP($A1158,Accounts!$A:$G,3,FALSE),"")</f>
        <v>0</v>
      </c>
    </row>
    <row r="1159" spans="1:15" outlineLevel="2" x14ac:dyDescent="0.2">
      <c r="A1159" t="str">
        <f t="shared" si="17"/>
        <v/>
      </c>
      <c r="F1159" s="1"/>
      <c r="H1159" s="1"/>
      <c r="I1159" s="2"/>
      <c r="J1159" s="2"/>
      <c r="N1159" s="2"/>
      <c r="O1159">
        <f>IFERROR(VLOOKUP($A1159,Accounts!$A:$G,3,FALSE),"")</f>
        <v>0</v>
      </c>
    </row>
    <row r="1160" spans="1:15" outlineLevel="2" x14ac:dyDescent="0.2">
      <c r="A1160" t="str">
        <f t="shared" si="17"/>
        <v/>
      </c>
      <c r="F1160" s="1"/>
      <c r="H1160" s="1"/>
      <c r="I1160" s="2"/>
      <c r="J1160" s="2"/>
      <c r="N1160" s="2"/>
      <c r="O1160">
        <f>IFERROR(VLOOKUP($A1160,Accounts!$A:$G,3,FALSE),"")</f>
        <v>0</v>
      </c>
    </row>
    <row r="1161" spans="1:15" outlineLevel="2" x14ac:dyDescent="0.2">
      <c r="A1161" t="str">
        <f t="shared" si="17"/>
        <v/>
      </c>
      <c r="F1161" s="1"/>
      <c r="H1161" s="1"/>
      <c r="I1161" s="2"/>
      <c r="J1161" s="2"/>
      <c r="N1161" s="2"/>
      <c r="O1161">
        <f>IFERROR(VLOOKUP($A1161,Accounts!$A:$G,3,FALSE),"")</f>
        <v>0</v>
      </c>
    </row>
    <row r="1162" spans="1:15" outlineLevel="2" x14ac:dyDescent="0.2">
      <c r="A1162" t="str">
        <f t="shared" ref="A1162:A1225" si="18">IFERROR(IF(J1162=0,E1162&amp;C1162&amp;I1162,G1162&amp;B1162&amp;J1162),"")</f>
        <v/>
      </c>
      <c r="F1162" s="1"/>
      <c r="H1162" s="1"/>
      <c r="I1162" s="2"/>
      <c r="J1162" s="2"/>
      <c r="N1162" s="2"/>
      <c r="O1162">
        <f>IFERROR(VLOOKUP($A1162,Accounts!$A:$G,3,FALSE),"")</f>
        <v>0</v>
      </c>
    </row>
    <row r="1163" spans="1:15" outlineLevel="2" x14ac:dyDescent="0.2">
      <c r="A1163" t="str">
        <f t="shared" si="18"/>
        <v/>
      </c>
      <c r="F1163" s="1"/>
      <c r="H1163" s="1"/>
      <c r="I1163" s="2"/>
      <c r="J1163" s="2"/>
      <c r="N1163" s="2"/>
      <c r="O1163">
        <f>IFERROR(VLOOKUP($A1163,Accounts!$A:$G,3,FALSE),"")</f>
        <v>0</v>
      </c>
    </row>
    <row r="1164" spans="1:15" outlineLevel="2" x14ac:dyDescent="0.2">
      <c r="A1164" t="str">
        <f t="shared" si="18"/>
        <v/>
      </c>
      <c r="F1164" s="1"/>
      <c r="H1164" s="1"/>
      <c r="I1164" s="2"/>
      <c r="J1164" s="2"/>
      <c r="N1164" s="2"/>
      <c r="O1164">
        <f>IFERROR(VLOOKUP($A1164,Accounts!$A:$G,3,FALSE),"")</f>
        <v>0</v>
      </c>
    </row>
    <row r="1165" spans="1:15" outlineLevel="2" x14ac:dyDescent="0.2">
      <c r="A1165" t="str">
        <f t="shared" si="18"/>
        <v/>
      </c>
      <c r="F1165" s="1"/>
      <c r="H1165" s="1"/>
      <c r="I1165" s="2"/>
      <c r="J1165" s="2"/>
      <c r="N1165" s="2"/>
      <c r="O1165">
        <f>IFERROR(VLOOKUP($A1165,Accounts!$A:$G,3,FALSE),"")</f>
        <v>0</v>
      </c>
    </row>
    <row r="1166" spans="1:15" outlineLevel="2" x14ac:dyDescent="0.2">
      <c r="A1166" t="str">
        <f t="shared" si="18"/>
        <v/>
      </c>
      <c r="F1166" s="1"/>
      <c r="H1166" s="1"/>
      <c r="I1166" s="2"/>
      <c r="J1166" s="2"/>
      <c r="N1166" s="2"/>
      <c r="O1166">
        <f>IFERROR(VLOOKUP($A1166,Accounts!$A:$G,3,FALSE),"")</f>
        <v>0</v>
      </c>
    </row>
    <row r="1167" spans="1:15" outlineLevel="2" x14ac:dyDescent="0.2">
      <c r="A1167" t="str">
        <f t="shared" si="18"/>
        <v/>
      </c>
      <c r="F1167" s="1"/>
      <c r="H1167" s="1"/>
      <c r="I1167" s="2"/>
      <c r="J1167" s="2"/>
      <c r="N1167" s="2"/>
      <c r="O1167">
        <f>IFERROR(VLOOKUP($A1167,Accounts!$A:$G,3,FALSE),"")</f>
        <v>0</v>
      </c>
    </row>
    <row r="1168" spans="1:15" outlineLevel="2" x14ac:dyDescent="0.2">
      <c r="A1168" t="str">
        <f t="shared" si="18"/>
        <v/>
      </c>
      <c r="F1168" s="1"/>
      <c r="H1168" s="1"/>
      <c r="I1168" s="2"/>
      <c r="J1168" s="2"/>
      <c r="N1168" s="2"/>
      <c r="O1168">
        <f>IFERROR(VLOOKUP($A1168,Accounts!$A:$G,3,FALSE),"")</f>
        <v>0</v>
      </c>
    </row>
    <row r="1169" spans="1:15" outlineLevel="2" x14ac:dyDescent="0.2">
      <c r="A1169" t="str">
        <f t="shared" si="18"/>
        <v/>
      </c>
      <c r="F1169" s="1"/>
      <c r="H1169" s="1"/>
      <c r="I1169" s="2"/>
      <c r="J1169" s="2"/>
      <c r="N1169" s="2"/>
      <c r="O1169">
        <f>IFERROR(VLOOKUP($A1169,Accounts!$A:$G,3,FALSE),"")</f>
        <v>0</v>
      </c>
    </row>
    <row r="1170" spans="1:15" outlineLevel="2" x14ac:dyDescent="0.2">
      <c r="A1170" t="str">
        <f t="shared" si="18"/>
        <v/>
      </c>
      <c r="F1170" s="1"/>
      <c r="H1170" s="1"/>
      <c r="I1170" s="2"/>
      <c r="J1170" s="2"/>
      <c r="N1170" s="2"/>
      <c r="O1170">
        <f>IFERROR(VLOOKUP($A1170,Accounts!$A:$G,3,FALSE),"")</f>
        <v>0</v>
      </c>
    </row>
    <row r="1171" spans="1:15" outlineLevel="2" x14ac:dyDescent="0.2">
      <c r="A1171" t="str">
        <f t="shared" si="18"/>
        <v/>
      </c>
      <c r="F1171" s="1"/>
      <c r="H1171" s="1"/>
      <c r="I1171" s="2"/>
      <c r="J1171" s="2"/>
      <c r="N1171" s="2"/>
      <c r="O1171">
        <f>IFERROR(VLOOKUP($A1171,Accounts!$A:$G,3,FALSE),"")</f>
        <v>0</v>
      </c>
    </row>
    <row r="1172" spans="1:15" outlineLevel="2" x14ac:dyDescent="0.2">
      <c r="A1172" t="str">
        <f t="shared" si="18"/>
        <v/>
      </c>
      <c r="B1172" s="3"/>
      <c r="C1172" s="3"/>
      <c r="D1172" s="3"/>
      <c r="E1172" s="3"/>
      <c r="F1172" s="4"/>
      <c r="G1172" s="3"/>
      <c r="H1172" s="4"/>
      <c r="I1172" s="5"/>
      <c r="J1172" s="5"/>
      <c r="K1172" s="3"/>
      <c r="L1172" s="3"/>
      <c r="M1172" s="3"/>
      <c r="N1172" s="5"/>
      <c r="O1172">
        <f>IFERROR(VLOOKUP($A1172,Accounts!$A:$G,3,FALSE),"")</f>
        <v>0</v>
      </c>
    </row>
    <row r="1173" spans="1:15" outlineLevel="1" x14ac:dyDescent="0.2">
      <c r="A1173" t="str">
        <f t="shared" si="18"/>
        <v/>
      </c>
      <c r="F1173" s="1"/>
      <c r="H1173" s="1"/>
      <c r="I1173" s="2"/>
      <c r="J1173" s="2"/>
      <c r="N1173" s="2"/>
      <c r="O1173">
        <f>IFERROR(VLOOKUP($A1173,Accounts!$A:$G,3,FALSE),"")</f>
        <v>0</v>
      </c>
    </row>
    <row r="1174" spans="1:15" outlineLevel="2" x14ac:dyDescent="0.2">
      <c r="A1174" t="str">
        <f t="shared" si="18"/>
        <v/>
      </c>
      <c r="F1174" s="1"/>
      <c r="H1174" s="1"/>
      <c r="I1174" s="2"/>
      <c r="J1174" s="2"/>
      <c r="N1174" s="2"/>
      <c r="O1174">
        <f>IFERROR(VLOOKUP($A1174,Accounts!$A:$G,3,FALSE),"")</f>
        <v>0</v>
      </c>
    </row>
    <row r="1175" spans="1:15" outlineLevel="2" x14ac:dyDescent="0.2">
      <c r="A1175" t="str">
        <f t="shared" si="18"/>
        <v/>
      </c>
      <c r="F1175" s="1"/>
      <c r="H1175" s="1"/>
      <c r="I1175" s="2"/>
      <c r="J1175" s="2"/>
      <c r="N1175" s="2"/>
      <c r="O1175">
        <f>IFERROR(VLOOKUP($A1175,Accounts!$A:$G,3,FALSE),"")</f>
        <v>0</v>
      </c>
    </row>
    <row r="1176" spans="1:15" outlineLevel="2" x14ac:dyDescent="0.2">
      <c r="A1176" t="str">
        <f t="shared" si="18"/>
        <v/>
      </c>
      <c r="F1176" s="1"/>
      <c r="H1176" s="1"/>
      <c r="I1176" s="2"/>
      <c r="J1176" s="2"/>
      <c r="N1176" s="2"/>
      <c r="O1176">
        <f>IFERROR(VLOOKUP($A1176,Accounts!$A:$G,3,FALSE),"")</f>
        <v>0</v>
      </c>
    </row>
    <row r="1177" spans="1:15" outlineLevel="2" x14ac:dyDescent="0.2">
      <c r="A1177" t="str">
        <f t="shared" si="18"/>
        <v/>
      </c>
      <c r="F1177" s="1"/>
      <c r="H1177" s="1"/>
      <c r="I1177" s="2"/>
      <c r="J1177" s="2"/>
      <c r="N1177" s="2"/>
      <c r="O1177">
        <f>IFERROR(VLOOKUP($A1177,Accounts!$A:$G,3,FALSE),"")</f>
        <v>0</v>
      </c>
    </row>
    <row r="1178" spans="1:15" outlineLevel="1" x14ac:dyDescent="0.2">
      <c r="A1178" t="str">
        <f t="shared" si="18"/>
        <v/>
      </c>
      <c r="F1178" s="1"/>
      <c r="H1178" s="1"/>
      <c r="I1178" s="2"/>
      <c r="J1178" s="2"/>
      <c r="N1178" s="2"/>
      <c r="O1178">
        <f>IFERROR(VLOOKUP($A1178,Accounts!$A:$G,3,FALSE),"")</f>
        <v>0</v>
      </c>
    </row>
    <row r="1179" spans="1:15" outlineLevel="2" x14ac:dyDescent="0.2">
      <c r="A1179" t="str">
        <f t="shared" si="18"/>
        <v/>
      </c>
      <c r="F1179" s="1"/>
      <c r="H1179" s="1"/>
      <c r="I1179" s="2"/>
      <c r="J1179" s="2"/>
      <c r="N1179" s="2"/>
      <c r="O1179">
        <f>IFERROR(VLOOKUP($A1179,Accounts!$A:$G,3,FALSE),"")</f>
        <v>0</v>
      </c>
    </row>
    <row r="1180" spans="1:15" outlineLevel="2" x14ac:dyDescent="0.2">
      <c r="A1180" t="str">
        <f t="shared" si="18"/>
        <v/>
      </c>
      <c r="F1180" s="1"/>
      <c r="H1180" s="1"/>
      <c r="I1180" s="2"/>
      <c r="J1180" s="2"/>
      <c r="N1180" s="2"/>
      <c r="O1180">
        <f>IFERROR(VLOOKUP($A1180,Accounts!$A:$G,3,FALSE),"")</f>
        <v>0</v>
      </c>
    </row>
    <row r="1181" spans="1:15" outlineLevel="2" x14ac:dyDescent="0.2">
      <c r="A1181" t="str">
        <f t="shared" si="18"/>
        <v/>
      </c>
      <c r="F1181" s="1"/>
      <c r="H1181" s="1"/>
      <c r="I1181" s="2"/>
      <c r="J1181" s="2"/>
      <c r="N1181" s="2"/>
      <c r="O1181">
        <f>IFERROR(VLOOKUP($A1181,Accounts!$A:$G,3,FALSE),"")</f>
        <v>0</v>
      </c>
    </row>
    <row r="1182" spans="1:15" outlineLevel="2" x14ac:dyDescent="0.2">
      <c r="A1182" t="str">
        <f t="shared" si="18"/>
        <v/>
      </c>
      <c r="F1182" s="1"/>
      <c r="H1182" s="1"/>
      <c r="I1182" s="2"/>
      <c r="J1182" s="2"/>
      <c r="N1182" s="2"/>
      <c r="O1182">
        <f>IFERROR(VLOOKUP($A1182,Accounts!$A:$G,3,FALSE),"")</f>
        <v>0</v>
      </c>
    </row>
    <row r="1183" spans="1:15" outlineLevel="2" x14ac:dyDescent="0.2">
      <c r="A1183" t="str">
        <f t="shared" si="18"/>
        <v/>
      </c>
      <c r="F1183" s="1"/>
      <c r="H1183" s="1"/>
      <c r="I1183" s="2"/>
      <c r="J1183" s="2"/>
      <c r="N1183" s="2"/>
      <c r="O1183">
        <f>IFERROR(VLOOKUP($A1183,Accounts!$A:$G,3,FALSE),"")</f>
        <v>0</v>
      </c>
    </row>
    <row r="1184" spans="1:15" outlineLevel="2" x14ac:dyDescent="0.2">
      <c r="A1184" t="str">
        <f t="shared" si="18"/>
        <v/>
      </c>
      <c r="F1184" s="1"/>
      <c r="H1184" s="1"/>
      <c r="I1184" s="2"/>
      <c r="J1184" s="2"/>
      <c r="N1184" s="2"/>
      <c r="O1184">
        <f>IFERROR(VLOOKUP($A1184,Accounts!$A:$G,3,FALSE),"")</f>
        <v>0</v>
      </c>
    </row>
    <row r="1185" spans="1:15" outlineLevel="2" x14ac:dyDescent="0.2">
      <c r="A1185" t="str">
        <f t="shared" si="18"/>
        <v/>
      </c>
      <c r="F1185" s="1"/>
      <c r="H1185" s="1"/>
      <c r="I1185" s="2"/>
      <c r="J1185" s="2"/>
      <c r="N1185" s="2"/>
      <c r="O1185">
        <f>IFERROR(VLOOKUP($A1185,Accounts!$A:$G,3,FALSE),"")</f>
        <v>0</v>
      </c>
    </row>
    <row r="1186" spans="1:15" outlineLevel="1" x14ac:dyDescent="0.2">
      <c r="A1186" t="str">
        <f t="shared" si="18"/>
        <v/>
      </c>
      <c r="F1186" s="1"/>
      <c r="H1186" s="1"/>
      <c r="I1186" s="2"/>
      <c r="J1186" s="2"/>
      <c r="N1186" s="2"/>
      <c r="O1186">
        <f>IFERROR(VLOOKUP($A1186,Accounts!$A:$G,3,FALSE),"")</f>
        <v>0</v>
      </c>
    </row>
    <row r="1187" spans="1:15" outlineLevel="1" x14ac:dyDescent="0.2">
      <c r="A1187" t="str">
        <f t="shared" si="18"/>
        <v/>
      </c>
      <c r="F1187" s="1"/>
      <c r="H1187" s="1"/>
      <c r="I1187" s="2"/>
      <c r="J1187" s="2"/>
      <c r="N1187" s="2"/>
      <c r="O1187">
        <f>IFERROR(VLOOKUP($A1187,Accounts!$A:$G,3,FALSE),"")</f>
        <v>0</v>
      </c>
    </row>
    <row r="1188" spans="1:15" outlineLevel="2" x14ac:dyDescent="0.2">
      <c r="A1188" t="str">
        <f t="shared" si="18"/>
        <v/>
      </c>
      <c r="F1188" s="1"/>
      <c r="H1188" s="1"/>
      <c r="I1188" s="2"/>
      <c r="J1188" s="2"/>
      <c r="N1188" s="2"/>
      <c r="O1188">
        <f>IFERROR(VLOOKUP($A1188,Accounts!$A:$G,3,FALSE),"")</f>
        <v>0</v>
      </c>
    </row>
    <row r="1189" spans="1:15" outlineLevel="2" x14ac:dyDescent="0.2">
      <c r="A1189" t="str">
        <f t="shared" si="18"/>
        <v/>
      </c>
      <c r="F1189" s="1"/>
      <c r="H1189" s="1"/>
      <c r="I1189" s="2"/>
      <c r="J1189" s="2"/>
      <c r="N1189" s="2"/>
      <c r="O1189">
        <f>IFERROR(VLOOKUP($A1189,Accounts!$A:$G,3,FALSE),"")</f>
        <v>0</v>
      </c>
    </row>
    <row r="1190" spans="1:15" outlineLevel="2" x14ac:dyDescent="0.2">
      <c r="A1190" t="str">
        <f t="shared" si="18"/>
        <v/>
      </c>
      <c r="F1190" s="1"/>
      <c r="H1190" s="1"/>
      <c r="I1190" s="2"/>
      <c r="J1190" s="2"/>
      <c r="N1190" s="2"/>
      <c r="O1190">
        <f>IFERROR(VLOOKUP($A1190,Accounts!$A:$G,3,FALSE),"")</f>
        <v>0</v>
      </c>
    </row>
    <row r="1191" spans="1:15" outlineLevel="2" x14ac:dyDescent="0.2">
      <c r="A1191" t="str">
        <f t="shared" si="18"/>
        <v/>
      </c>
      <c r="F1191" s="1"/>
      <c r="H1191" s="1"/>
      <c r="I1191" s="2"/>
      <c r="J1191" s="2"/>
      <c r="N1191" s="2"/>
      <c r="O1191">
        <f>IFERROR(VLOOKUP($A1191,Accounts!$A:$G,3,FALSE),"")</f>
        <v>0</v>
      </c>
    </row>
    <row r="1192" spans="1:15" outlineLevel="2" x14ac:dyDescent="0.2">
      <c r="A1192" t="str">
        <f t="shared" si="18"/>
        <v/>
      </c>
      <c r="F1192" s="1"/>
      <c r="H1192" s="1"/>
      <c r="I1192" s="2"/>
      <c r="J1192" s="2"/>
      <c r="N1192" s="2"/>
      <c r="O1192">
        <f>IFERROR(VLOOKUP($A1192,Accounts!$A:$G,3,FALSE),"")</f>
        <v>0</v>
      </c>
    </row>
    <row r="1193" spans="1:15" outlineLevel="2" x14ac:dyDescent="0.2">
      <c r="A1193" t="str">
        <f t="shared" si="18"/>
        <v/>
      </c>
      <c r="F1193" s="1"/>
      <c r="H1193" s="1"/>
      <c r="I1193" s="2"/>
      <c r="J1193" s="2"/>
      <c r="N1193" s="2"/>
      <c r="O1193">
        <f>IFERROR(VLOOKUP($A1193,Accounts!$A:$G,3,FALSE),"")</f>
        <v>0</v>
      </c>
    </row>
    <row r="1194" spans="1:15" outlineLevel="2" x14ac:dyDescent="0.2">
      <c r="A1194" t="str">
        <f t="shared" si="18"/>
        <v/>
      </c>
      <c r="F1194" s="1"/>
      <c r="H1194" s="1"/>
      <c r="I1194" s="2"/>
      <c r="J1194" s="2"/>
      <c r="N1194" s="2"/>
      <c r="O1194">
        <f>IFERROR(VLOOKUP($A1194,Accounts!$A:$G,3,FALSE),"")</f>
        <v>0</v>
      </c>
    </row>
    <row r="1195" spans="1:15" outlineLevel="2" x14ac:dyDescent="0.2">
      <c r="A1195" t="str">
        <f t="shared" si="18"/>
        <v/>
      </c>
      <c r="F1195" s="1"/>
      <c r="H1195" s="1"/>
      <c r="I1195" s="2"/>
      <c r="J1195" s="2"/>
      <c r="N1195" s="2"/>
      <c r="O1195">
        <f>IFERROR(VLOOKUP($A1195,Accounts!$A:$G,3,FALSE),"")</f>
        <v>0</v>
      </c>
    </row>
    <row r="1196" spans="1:15" outlineLevel="2" x14ac:dyDescent="0.2">
      <c r="A1196" t="str">
        <f t="shared" si="18"/>
        <v/>
      </c>
      <c r="F1196" s="1"/>
      <c r="H1196" s="1"/>
      <c r="I1196" s="2"/>
      <c r="J1196" s="2"/>
      <c r="N1196" s="2"/>
      <c r="O1196">
        <f>IFERROR(VLOOKUP($A1196,Accounts!$A:$G,3,FALSE),"")</f>
        <v>0</v>
      </c>
    </row>
    <row r="1197" spans="1:15" outlineLevel="2" x14ac:dyDescent="0.2">
      <c r="A1197" t="str">
        <f t="shared" si="18"/>
        <v/>
      </c>
      <c r="F1197" s="1"/>
      <c r="H1197" s="1"/>
      <c r="I1197" s="2"/>
      <c r="J1197" s="2"/>
      <c r="N1197" s="2"/>
      <c r="O1197">
        <f>IFERROR(VLOOKUP($A1197,Accounts!$A:$G,3,FALSE),"")</f>
        <v>0</v>
      </c>
    </row>
    <row r="1198" spans="1:15" outlineLevel="2" x14ac:dyDescent="0.2">
      <c r="A1198" t="str">
        <f t="shared" si="18"/>
        <v/>
      </c>
      <c r="F1198" s="1"/>
      <c r="H1198" s="1"/>
      <c r="I1198" s="2"/>
      <c r="J1198" s="2"/>
      <c r="N1198" s="2"/>
      <c r="O1198">
        <f>IFERROR(VLOOKUP($A1198,Accounts!$A:$G,3,FALSE),"")</f>
        <v>0</v>
      </c>
    </row>
    <row r="1199" spans="1:15" outlineLevel="2" x14ac:dyDescent="0.2">
      <c r="A1199" t="str">
        <f t="shared" si="18"/>
        <v/>
      </c>
      <c r="F1199" s="1"/>
      <c r="H1199" s="1"/>
      <c r="I1199" s="2"/>
      <c r="J1199" s="2"/>
      <c r="N1199" s="2"/>
      <c r="O1199">
        <f>IFERROR(VLOOKUP($A1199,Accounts!$A:$G,3,FALSE),"")</f>
        <v>0</v>
      </c>
    </row>
    <row r="1200" spans="1:15" outlineLevel="2" x14ac:dyDescent="0.2">
      <c r="A1200" t="str">
        <f t="shared" si="18"/>
        <v/>
      </c>
      <c r="F1200" s="1"/>
      <c r="H1200" s="1"/>
      <c r="I1200" s="2"/>
      <c r="J1200" s="2"/>
      <c r="N1200" s="2"/>
      <c r="O1200">
        <f>IFERROR(VLOOKUP($A1200,Accounts!$A:$G,3,FALSE),"")</f>
        <v>0</v>
      </c>
    </row>
    <row r="1201" spans="1:15" outlineLevel="2" x14ac:dyDescent="0.2">
      <c r="A1201" t="str">
        <f t="shared" si="18"/>
        <v/>
      </c>
      <c r="F1201" s="1"/>
      <c r="H1201" s="1"/>
      <c r="I1201" s="2"/>
      <c r="J1201" s="2"/>
      <c r="N1201" s="2"/>
      <c r="O1201">
        <f>IFERROR(VLOOKUP($A1201,Accounts!$A:$G,3,FALSE),"")</f>
        <v>0</v>
      </c>
    </row>
    <row r="1202" spans="1:15" outlineLevel="2" x14ac:dyDescent="0.2">
      <c r="A1202" t="str">
        <f t="shared" si="18"/>
        <v/>
      </c>
      <c r="F1202" s="1"/>
      <c r="H1202" s="1"/>
      <c r="I1202" s="2"/>
      <c r="J1202" s="2"/>
      <c r="N1202" s="2"/>
      <c r="O1202">
        <f>IFERROR(VLOOKUP($A1202,Accounts!$A:$G,3,FALSE),"")</f>
        <v>0</v>
      </c>
    </row>
    <row r="1203" spans="1:15" outlineLevel="2" x14ac:dyDescent="0.2">
      <c r="A1203" t="str">
        <f t="shared" si="18"/>
        <v/>
      </c>
      <c r="F1203" s="1"/>
      <c r="H1203" s="1"/>
      <c r="I1203" s="2"/>
      <c r="J1203" s="2"/>
      <c r="N1203" s="2"/>
      <c r="O1203">
        <f>IFERROR(VLOOKUP($A1203,Accounts!$A:$G,3,FALSE),"")</f>
        <v>0</v>
      </c>
    </row>
    <row r="1204" spans="1:15" outlineLevel="2" x14ac:dyDescent="0.2">
      <c r="A1204" t="str">
        <f t="shared" si="18"/>
        <v/>
      </c>
      <c r="F1204" s="1"/>
      <c r="H1204" s="1"/>
      <c r="I1204" s="2"/>
      <c r="J1204" s="2"/>
      <c r="N1204" s="2"/>
      <c r="O1204">
        <f>IFERROR(VLOOKUP($A1204,Accounts!$A:$G,3,FALSE),"")</f>
        <v>0</v>
      </c>
    </row>
    <row r="1205" spans="1:15" outlineLevel="2" x14ac:dyDescent="0.2">
      <c r="A1205" t="str">
        <f t="shared" si="18"/>
        <v/>
      </c>
      <c r="F1205" s="1"/>
      <c r="H1205" s="1"/>
      <c r="I1205" s="2"/>
      <c r="J1205" s="2"/>
      <c r="N1205" s="2"/>
      <c r="O1205">
        <f>IFERROR(VLOOKUP($A1205,Accounts!$A:$G,3,FALSE),"")</f>
        <v>0</v>
      </c>
    </row>
    <row r="1206" spans="1:15" outlineLevel="2" x14ac:dyDescent="0.2">
      <c r="A1206" t="str">
        <f t="shared" si="18"/>
        <v/>
      </c>
      <c r="F1206" s="1"/>
      <c r="H1206" s="1"/>
      <c r="I1206" s="2"/>
      <c r="J1206" s="2"/>
      <c r="N1206" s="2"/>
      <c r="O1206">
        <f>IFERROR(VLOOKUP($A1206,Accounts!$A:$G,3,FALSE),"")</f>
        <v>0</v>
      </c>
    </row>
    <row r="1207" spans="1:15" outlineLevel="2" x14ac:dyDescent="0.2">
      <c r="A1207" t="str">
        <f t="shared" si="18"/>
        <v/>
      </c>
      <c r="F1207" s="1"/>
      <c r="H1207" s="1"/>
      <c r="I1207" s="2"/>
      <c r="J1207" s="2"/>
      <c r="N1207" s="2"/>
      <c r="O1207">
        <f>IFERROR(VLOOKUP($A1207,Accounts!$A:$G,3,FALSE),"")</f>
        <v>0</v>
      </c>
    </row>
    <row r="1208" spans="1:15" outlineLevel="2" x14ac:dyDescent="0.2">
      <c r="A1208" t="str">
        <f t="shared" si="18"/>
        <v/>
      </c>
      <c r="F1208" s="1"/>
      <c r="H1208" s="1"/>
      <c r="I1208" s="2"/>
      <c r="J1208" s="2"/>
      <c r="N1208" s="2"/>
      <c r="O1208">
        <f>IFERROR(VLOOKUP($A1208,Accounts!$A:$G,3,FALSE),"")</f>
        <v>0</v>
      </c>
    </row>
    <row r="1209" spans="1:15" outlineLevel="2" x14ac:dyDescent="0.2">
      <c r="A1209" t="str">
        <f t="shared" si="18"/>
        <v/>
      </c>
      <c r="F1209" s="1"/>
      <c r="H1209" s="1"/>
      <c r="I1209" s="2"/>
      <c r="J1209" s="2"/>
      <c r="N1209" s="2"/>
      <c r="O1209">
        <f>IFERROR(VLOOKUP($A1209,Accounts!$A:$G,3,FALSE),"")</f>
        <v>0</v>
      </c>
    </row>
    <row r="1210" spans="1:15" outlineLevel="2" x14ac:dyDescent="0.2">
      <c r="A1210" t="str">
        <f t="shared" si="18"/>
        <v/>
      </c>
      <c r="F1210" s="1"/>
      <c r="H1210" s="1"/>
      <c r="I1210" s="2"/>
      <c r="J1210" s="2"/>
      <c r="N1210" s="2"/>
      <c r="O1210">
        <f>IFERROR(VLOOKUP($A1210,Accounts!$A:$G,3,FALSE),"")</f>
        <v>0</v>
      </c>
    </row>
    <row r="1211" spans="1:15" outlineLevel="2" x14ac:dyDescent="0.2">
      <c r="A1211" t="str">
        <f t="shared" si="18"/>
        <v/>
      </c>
      <c r="F1211" s="1"/>
      <c r="H1211" s="1"/>
      <c r="I1211" s="2"/>
      <c r="J1211" s="2"/>
      <c r="N1211" s="2"/>
      <c r="O1211">
        <f>IFERROR(VLOOKUP($A1211,Accounts!$A:$G,3,FALSE),"")</f>
        <v>0</v>
      </c>
    </row>
    <row r="1212" spans="1:15" outlineLevel="2" x14ac:dyDescent="0.2">
      <c r="A1212" t="str">
        <f t="shared" si="18"/>
        <v/>
      </c>
      <c r="F1212" s="1"/>
      <c r="H1212" s="1"/>
      <c r="I1212" s="2"/>
      <c r="J1212" s="2"/>
      <c r="N1212" s="2"/>
      <c r="O1212">
        <f>IFERROR(VLOOKUP($A1212,Accounts!$A:$G,3,FALSE),"")</f>
        <v>0</v>
      </c>
    </row>
    <row r="1213" spans="1:15" outlineLevel="2" x14ac:dyDescent="0.2">
      <c r="A1213" t="str">
        <f t="shared" si="18"/>
        <v/>
      </c>
      <c r="F1213" s="1"/>
      <c r="H1213" s="1"/>
      <c r="I1213" s="2"/>
      <c r="J1213" s="2"/>
      <c r="N1213" s="2"/>
      <c r="O1213">
        <f>IFERROR(VLOOKUP($A1213,Accounts!$A:$G,3,FALSE),"")</f>
        <v>0</v>
      </c>
    </row>
    <row r="1214" spans="1:15" outlineLevel="2" x14ac:dyDescent="0.2">
      <c r="A1214" t="str">
        <f t="shared" si="18"/>
        <v/>
      </c>
      <c r="F1214" s="1"/>
      <c r="H1214" s="1"/>
      <c r="I1214" s="2"/>
      <c r="J1214" s="2"/>
      <c r="N1214" s="2"/>
      <c r="O1214">
        <f>IFERROR(VLOOKUP($A1214,Accounts!$A:$G,3,FALSE),"")</f>
        <v>0</v>
      </c>
    </row>
    <row r="1215" spans="1:15" outlineLevel="2" x14ac:dyDescent="0.2">
      <c r="A1215" t="str">
        <f t="shared" si="18"/>
        <v/>
      </c>
      <c r="F1215" s="1"/>
      <c r="H1215" s="1"/>
      <c r="I1215" s="2"/>
      <c r="J1215" s="2"/>
      <c r="N1215" s="2"/>
      <c r="O1215">
        <f>IFERROR(VLOOKUP($A1215,Accounts!$A:$G,3,FALSE),"")</f>
        <v>0</v>
      </c>
    </row>
    <row r="1216" spans="1:15" outlineLevel="2" x14ac:dyDescent="0.2">
      <c r="A1216" t="str">
        <f t="shared" si="18"/>
        <v/>
      </c>
      <c r="F1216" s="1"/>
      <c r="H1216" s="1"/>
      <c r="I1216" s="2"/>
      <c r="J1216" s="2"/>
      <c r="N1216" s="2"/>
      <c r="O1216">
        <f>IFERROR(VLOOKUP($A1216,Accounts!$A:$G,3,FALSE),"")</f>
        <v>0</v>
      </c>
    </row>
    <row r="1217" spans="1:15" outlineLevel="2" x14ac:dyDescent="0.2">
      <c r="A1217" t="str">
        <f t="shared" si="18"/>
        <v/>
      </c>
      <c r="F1217" s="1"/>
      <c r="H1217" s="1"/>
      <c r="I1217" s="2"/>
      <c r="J1217" s="2"/>
      <c r="N1217" s="2"/>
      <c r="O1217">
        <f>IFERROR(VLOOKUP($A1217,Accounts!$A:$G,3,FALSE),"")</f>
        <v>0</v>
      </c>
    </row>
    <row r="1218" spans="1:15" outlineLevel="2" x14ac:dyDescent="0.2">
      <c r="A1218" t="str">
        <f t="shared" si="18"/>
        <v/>
      </c>
      <c r="F1218" s="1"/>
      <c r="H1218" s="1"/>
      <c r="I1218" s="2"/>
      <c r="J1218" s="2"/>
      <c r="N1218" s="2"/>
      <c r="O1218">
        <f>IFERROR(VLOOKUP($A1218,Accounts!$A:$G,3,FALSE),"")</f>
        <v>0</v>
      </c>
    </row>
    <row r="1219" spans="1:15" outlineLevel="2" x14ac:dyDescent="0.2">
      <c r="A1219" t="str">
        <f t="shared" si="18"/>
        <v/>
      </c>
      <c r="F1219" s="1"/>
      <c r="H1219" s="1"/>
      <c r="I1219" s="2"/>
      <c r="J1219" s="2"/>
      <c r="N1219" s="2"/>
      <c r="O1219">
        <f>IFERROR(VLOOKUP($A1219,Accounts!$A:$G,3,FALSE),"")</f>
        <v>0</v>
      </c>
    </row>
    <row r="1220" spans="1:15" outlineLevel="2" x14ac:dyDescent="0.2">
      <c r="A1220" t="str">
        <f t="shared" si="18"/>
        <v/>
      </c>
      <c r="F1220" s="1"/>
      <c r="H1220" s="1"/>
      <c r="I1220" s="2"/>
      <c r="J1220" s="2"/>
      <c r="N1220" s="2"/>
      <c r="O1220">
        <f>IFERROR(VLOOKUP($A1220,Accounts!$A:$G,3,FALSE),"")</f>
        <v>0</v>
      </c>
    </row>
    <row r="1221" spans="1:15" outlineLevel="2" x14ac:dyDescent="0.2">
      <c r="A1221" t="str">
        <f t="shared" si="18"/>
        <v/>
      </c>
      <c r="F1221" s="1"/>
      <c r="H1221" s="1"/>
      <c r="I1221" s="2"/>
      <c r="J1221" s="2"/>
      <c r="N1221" s="2"/>
      <c r="O1221">
        <f>IFERROR(VLOOKUP($A1221,Accounts!$A:$G,3,FALSE),"")</f>
        <v>0</v>
      </c>
    </row>
    <row r="1222" spans="1:15" outlineLevel="2" x14ac:dyDescent="0.2">
      <c r="A1222" t="str">
        <f t="shared" si="18"/>
        <v/>
      </c>
      <c r="F1222" s="1"/>
      <c r="H1222" s="1"/>
      <c r="I1222" s="2"/>
      <c r="J1222" s="2"/>
      <c r="N1222" s="2"/>
      <c r="O1222">
        <f>IFERROR(VLOOKUP($A1222,Accounts!$A:$G,3,FALSE),"")</f>
        <v>0</v>
      </c>
    </row>
    <row r="1223" spans="1:15" outlineLevel="2" x14ac:dyDescent="0.2">
      <c r="A1223" t="str">
        <f t="shared" si="18"/>
        <v/>
      </c>
      <c r="F1223" s="1"/>
      <c r="H1223" s="1"/>
      <c r="I1223" s="2"/>
      <c r="J1223" s="2"/>
      <c r="N1223" s="2"/>
      <c r="O1223">
        <f>IFERROR(VLOOKUP($A1223,Accounts!$A:$G,3,FALSE),"")</f>
        <v>0</v>
      </c>
    </row>
    <row r="1224" spans="1:15" outlineLevel="2" x14ac:dyDescent="0.2">
      <c r="A1224" t="str">
        <f t="shared" si="18"/>
        <v/>
      </c>
      <c r="F1224" s="1"/>
      <c r="H1224" s="1"/>
      <c r="I1224" s="2"/>
      <c r="J1224" s="2"/>
      <c r="N1224" s="2"/>
      <c r="O1224">
        <f>IFERROR(VLOOKUP($A1224,Accounts!$A:$G,3,FALSE),"")</f>
        <v>0</v>
      </c>
    </row>
    <row r="1225" spans="1:15" outlineLevel="2" x14ac:dyDescent="0.2">
      <c r="A1225" t="str">
        <f t="shared" si="18"/>
        <v/>
      </c>
      <c r="F1225" s="1"/>
      <c r="H1225" s="1"/>
      <c r="I1225" s="2"/>
      <c r="J1225" s="2"/>
      <c r="N1225" s="2"/>
      <c r="O1225">
        <f>IFERROR(VLOOKUP($A1225,Accounts!$A:$G,3,FALSE),"")</f>
        <v>0</v>
      </c>
    </row>
    <row r="1226" spans="1:15" outlineLevel="2" x14ac:dyDescent="0.2">
      <c r="A1226" t="str">
        <f t="shared" ref="A1226:A1289" si="19">IFERROR(IF(J1226=0,E1226&amp;C1226&amp;I1226,G1226&amp;B1226&amp;J1226),"")</f>
        <v/>
      </c>
      <c r="F1226" s="1"/>
      <c r="H1226" s="1"/>
      <c r="I1226" s="2"/>
      <c r="J1226" s="2"/>
      <c r="N1226" s="2"/>
      <c r="O1226">
        <f>IFERROR(VLOOKUP($A1226,Accounts!$A:$G,3,FALSE),"")</f>
        <v>0</v>
      </c>
    </row>
    <row r="1227" spans="1:15" outlineLevel="2" x14ac:dyDescent="0.2">
      <c r="A1227" t="str">
        <f t="shared" si="19"/>
        <v/>
      </c>
      <c r="F1227" s="1"/>
      <c r="H1227" s="1"/>
      <c r="I1227" s="2"/>
      <c r="J1227" s="2"/>
      <c r="N1227" s="2"/>
      <c r="O1227">
        <f>IFERROR(VLOOKUP($A1227,Accounts!$A:$G,3,FALSE),"")</f>
        <v>0</v>
      </c>
    </row>
    <row r="1228" spans="1:15" outlineLevel="2" x14ac:dyDescent="0.2">
      <c r="A1228" t="str">
        <f t="shared" si="19"/>
        <v/>
      </c>
      <c r="F1228" s="1"/>
      <c r="H1228" s="1"/>
      <c r="I1228" s="2"/>
      <c r="J1228" s="2"/>
      <c r="N1228" s="2"/>
      <c r="O1228">
        <f>IFERROR(VLOOKUP($A1228,Accounts!$A:$G,3,FALSE),"")</f>
        <v>0</v>
      </c>
    </row>
    <row r="1229" spans="1:15" outlineLevel="2" x14ac:dyDescent="0.2">
      <c r="A1229" t="str">
        <f t="shared" si="19"/>
        <v/>
      </c>
      <c r="F1229" s="1"/>
      <c r="H1229" s="1"/>
      <c r="I1229" s="2"/>
      <c r="J1229" s="2"/>
      <c r="N1229" s="2"/>
      <c r="O1229">
        <f>IFERROR(VLOOKUP($A1229,Accounts!$A:$G,3,FALSE),"")</f>
        <v>0</v>
      </c>
    </row>
    <row r="1230" spans="1:15" outlineLevel="2" x14ac:dyDescent="0.2">
      <c r="A1230" t="str">
        <f t="shared" si="19"/>
        <v/>
      </c>
      <c r="F1230" s="1"/>
      <c r="H1230" s="1"/>
      <c r="I1230" s="2"/>
      <c r="J1230" s="2"/>
      <c r="N1230" s="2"/>
      <c r="O1230">
        <f>IFERROR(VLOOKUP($A1230,Accounts!$A:$G,3,FALSE),"")</f>
        <v>0</v>
      </c>
    </row>
    <row r="1231" spans="1:15" outlineLevel="2" x14ac:dyDescent="0.2">
      <c r="A1231" t="str">
        <f t="shared" si="19"/>
        <v/>
      </c>
      <c r="F1231" s="1"/>
      <c r="H1231" s="1"/>
      <c r="I1231" s="2"/>
      <c r="J1231" s="2"/>
      <c r="N1231" s="2"/>
      <c r="O1231">
        <f>IFERROR(VLOOKUP($A1231,Accounts!$A:$G,3,FALSE),"")</f>
        <v>0</v>
      </c>
    </row>
    <row r="1232" spans="1:15" outlineLevel="2" x14ac:dyDescent="0.2">
      <c r="A1232" t="str">
        <f t="shared" si="19"/>
        <v/>
      </c>
      <c r="F1232" s="1"/>
      <c r="H1232" s="1"/>
      <c r="I1232" s="2"/>
      <c r="J1232" s="2"/>
      <c r="N1232" s="2"/>
      <c r="O1232">
        <f>IFERROR(VLOOKUP($A1232,Accounts!$A:$G,3,FALSE),"")</f>
        <v>0</v>
      </c>
    </row>
    <row r="1233" spans="1:15" outlineLevel="2" x14ac:dyDescent="0.2">
      <c r="A1233" t="str">
        <f t="shared" si="19"/>
        <v/>
      </c>
      <c r="F1233" s="1"/>
      <c r="H1233" s="1"/>
      <c r="I1233" s="2"/>
      <c r="J1233" s="2"/>
      <c r="N1233" s="2"/>
      <c r="O1233">
        <f>IFERROR(VLOOKUP($A1233,Accounts!$A:$G,3,FALSE),"")</f>
        <v>0</v>
      </c>
    </row>
    <row r="1234" spans="1:15" outlineLevel="2" x14ac:dyDescent="0.2">
      <c r="A1234" t="str">
        <f t="shared" si="19"/>
        <v/>
      </c>
      <c r="F1234" s="1"/>
      <c r="H1234" s="1"/>
      <c r="I1234" s="2"/>
      <c r="J1234" s="2"/>
      <c r="N1234" s="2"/>
      <c r="O1234">
        <f>IFERROR(VLOOKUP($A1234,Accounts!$A:$G,3,FALSE),"")</f>
        <v>0</v>
      </c>
    </row>
    <row r="1235" spans="1:15" outlineLevel="2" x14ac:dyDescent="0.2">
      <c r="A1235" t="str">
        <f t="shared" si="19"/>
        <v/>
      </c>
      <c r="F1235" s="1"/>
      <c r="H1235" s="1"/>
      <c r="I1235" s="2"/>
      <c r="J1235" s="2"/>
      <c r="N1235" s="2"/>
      <c r="O1235">
        <f>IFERROR(VLOOKUP($A1235,Accounts!$A:$G,3,FALSE),"")</f>
        <v>0</v>
      </c>
    </row>
    <row r="1236" spans="1:15" outlineLevel="2" x14ac:dyDescent="0.2">
      <c r="A1236" t="str">
        <f t="shared" si="19"/>
        <v/>
      </c>
      <c r="F1236" s="1"/>
      <c r="H1236" s="1"/>
      <c r="I1236" s="2"/>
      <c r="J1236" s="2"/>
      <c r="N1236" s="2"/>
      <c r="O1236">
        <f>IFERROR(VLOOKUP($A1236,Accounts!$A:$G,3,FALSE),"")</f>
        <v>0</v>
      </c>
    </row>
    <row r="1237" spans="1:15" outlineLevel="2" x14ac:dyDescent="0.2">
      <c r="A1237" t="str">
        <f t="shared" si="19"/>
        <v/>
      </c>
      <c r="F1237" s="1"/>
      <c r="H1237" s="1"/>
      <c r="I1237" s="2"/>
      <c r="J1237" s="2"/>
      <c r="N1237" s="2"/>
      <c r="O1237">
        <f>IFERROR(VLOOKUP($A1237,Accounts!$A:$G,3,FALSE),"")</f>
        <v>0</v>
      </c>
    </row>
    <row r="1238" spans="1:15" outlineLevel="2" x14ac:dyDescent="0.2">
      <c r="A1238" t="str">
        <f t="shared" si="19"/>
        <v/>
      </c>
      <c r="F1238" s="1"/>
      <c r="H1238" s="1"/>
      <c r="I1238" s="2"/>
      <c r="J1238" s="2"/>
      <c r="N1238" s="2"/>
      <c r="O1238">
        <f>IFERROR(VLOOKUP($A1238,Accounts!$A:$G,3,FALSE),"")</f>
        <v>0</v>
      </c>
    </row>
    <row r="1239" spans="1:15" outlineLevel="2" x14ac:dyDescent="0.2">
      <c r="A1239" t="str">
        <f t="shared" si="19"/>
        <v/>
      </c>
      <c r="F1239" s="1"/>
      <c r="H1239" s="1"/>
      <c r="I1239" s="2"/>
      <c r="J1239" s="2"/>
      <c r="N1239" s="2"/>
      <c r="O1239">
        <f>IFERROR(VLOOKUP($A1239,Accounts!$A:$G,3,FALSE),"")</f>
        <v>0</v>
      </c>
    </row>
    <row r="1240" spans="1:15" outlineLevel="2" x14ac:dyDescent="0.2">
      <c r="A1240" t="str">
        <f t="shared" si="19"/>
        <v/>
      </c>
      <c r="F1240" s="1"/>
      <c r="H1240" s="1"/>
      <c r="I1240" s="2"/>
      <c r="J1240" s="2"/>
      <c r="N1240" s="2"/>
      <c r="O1240">
        <f>IFERROR(VLOOKUP($A1240,Accounts!$A:$G,3,FALSE),"")</f>
        <v>0</v>
      </c>
    </row>
    <row r="1241" spans="1:15" outlineLevel="2" x14ac:dyDescent="0.2">
      <c r="A1241" t="str">
        <f t="shared" si="19"/>
        <v/>
      </c>
      <c r="F1241" s="1"/>
      <c r="H1241" s="1"/>
      <c r="I1241" s="2"/>
      <c r="J1241" s="2"/>
      <c r="N1241" s="2"/>
      <c r="O1241">
        <f>IFERROR(VLOOKUP($A1241,Accounts!$A:$G,3,FALSE),"")</f>
        <v>0</v>
      </c>
    </row>
    <row r="1242" spans="1:15" outlineLevel="2" x14ac:dyDescent="0.2">
      <c r="A1242" t="str">
        <f t="shared" si="19"/>
        <v/>
      </c>
      <c r="F1242" s="1"/>
      <c r="H1242" s="1"/>
      <c r="I1242" s="2"/>
      <c r="J1242" s="2"/>
      <c r="N1242" s="2"/>
      <c r="O1242">
        <f>IFERROR(VLOOKUP($A1242,Accounts!$A:$G,3,FALSE),"")</f>
        <v>0</v>
      </c>
    </row>
    <row r="1243" spans="1:15" outlineLevel="2" x14ac:dyDescent="0.2">
      <c r="A1243" t="str">
        <f t="shared" si="19"/>
        <v/>
      </c>
      <c r="F1243" s="1"/>
      <c r="H1243" s="1"/>
      <c r="I1243" s="2"/>
      <c r="J1243" s="2"/>
      <c r="N1243" s="2"/>
      <c r="O1243">
        <f>IFERROR(VLOOKUP($A1243,Accounts!$A:$G,3,FALSE),"")</f>
        <v>0</v>
      </c>
    </row>
    <row r="1244" spans="1:15" outlineLevel="2" x14ac:dyDescent="0.2">
      <c r="A1244" t="str">
        <f t="shared" si="19"/>
        <v/>
      </c>
      <c r="B1244" s="3"/>
      <c r="C1244" s="3"/>
      <c r="D1244" s="3"/>
      <c r="E1244" s="3"/>
      <c r="F1244" s="4"/>
      <c r="G1244" s="3"/>
      <c r="H1244" s="4"/>
      <c r="I1244" s="5"/>
      <c r="J1244" s="5"/>
      <c r="K1244" s="3"/>
      <c r="L1244" s="3"/>
      <c r="M1244" s="3"/>
      <c r="N1244" s="5"/>
      <c r="O1244">
        <f>IFERROR(VLOOKUP($A1244,Accounts!$A:$G,3,FALSE),"")</f>
        <v>0</v>
      </c>
    </row>
    <row r="1245" spans="1:15" outlineLevel="2" x14ac:dyDescent="0.2">
      <c r="A1245" t="str">
        <f t="shared" si="19"/>
        <v/>
      </c>
      <c r="F1245" s="1"/>
      <c r="H1245" s="1"/>
      <c r="I1245" s="2"/>
      <c r="J1245" s="2"/>
      <c r="N1245" s="143"/>
      <c r="O1245">
        <f>IFERROR(VLOOKUP($A1245,Accounts!$A:$G,3,FALSE),"")</f>
        <v>0</v>
      </c>
    </row>
    <row r="1246" spans="1:15" outlineLevel="2" x14ac:dyDescent="0.2">
      <c r="A1246" t="str">
        <f t="shared" si="19"/>
        <v/>
      </c>
      <c r="F1246" s="1"/>
      <c r="H1246" s="1"/>
      <c r="I1246" s="2"/>
      <c r="J1246" s="2"/>
      <c r="N1246" s="143"/>
      <c r="O1246">
        <f>IFERROR(VLOOKUP($A1246,Accounts!$A:$G,3,FALSE),"")</f>
        <v>0</v>
      </c>
    </row>
    <row r="1247" spans="1:15" outlineLevel="2" x14ac:dyDescent="0.2">
      <c r="A1247" t="str">
        <f t="shared" si="19"/>
        <v/>
      </c>
      <c r="F1247" s="1"/>
      <c r="H1247" s="1"/>
      <c r="I1247" s="2"/>
      <c r="J1247" s="2"/>
      <c r="N1247" s="143"/>
      <c r="O1247">
        <f>IFERROR(VLOOKUP($A1247,Accounts!$A:$G,3,FALSE),"")</f>
        <v>0</v>
      </c>
    </row>
    <row r="1248" spans="1:15" outlineLevel="2" x14ac:dyDescent="0.2">
      <c r="A1248" t="str">
        <f t="shared" si="19"/>
        <v/>
      </c>
      <c r="F1248" s="1"/>
      <c r="H1248" s="1"/>
      <c r="I1248" s="2"/>
      <c r="J1248" s="2"/>
      <c r="N1248" s="2"/>
      <c r="O1248">
        <f>IFERROR(VLOOKUP($A1248,Accounts!$A:$G,3,FALSE),"")</f>
        <v>0</v>
      </c>
    </row>
    <row r="1249" spans="1:17" outlineLevel="2" x14ac:dyDescent="0.2">
      <c r="A1249" t="str">
        <f t="shared" si="19"/>
        <v/>
      </c>
      <c r="F1249" s="1"/>
      <c r="H1249" s="1"/>
      <c r="I1249" s="2"/>
      <c r="J1249" s="2"/>
      <c r="N1249" s="143"/>
      <c r="O1249">
        <f>IFERROR(VLOOKUP($A1249,Accounts!$A:$G,3,FALSE),"")</f>
        <v>0</v>
      </c>
    </row>
    <row r="1250" spans="1:17" outlineLevel="2" x14ac:dyDescent="0.2">
      <c r="A1250" t="str">
        <f t="shared" si="19"/>
        <v/>
      </c>
      <c r="F1250" s="1"/>
      <c r="H1250" s="1"/>
      <c r="I1250" s="2"/>
      <c r="J1250" s="2"/>
      <c r="N1250" s="143"/>
      <c r="O1250">
        <f>IFERROR(VLOOKUP($A1250,Accounts!$A:$G,3,FALSE),"")</f>
        <v>0</v>
      </c>
    </row>
    <row r="1251" spans="1:17" outlineLevel="2" x14ac:dyDescent="0.2">
      <c r="A1251" t="str">
        <f t="shared" si="19"/>
        <v/>
      </c>
      <c r="F1251" s="1"/>
      <c r="H1251" s="1"/>
      <c r="I1251" s="2"/>
      <c r="J1251" s="2"/>
      <c r="N1251" s="143"/>
      <c r="O1251">
        <f>IFERROR(VLOOKUP($A1251,Accounts!$A:$G,3,FALSE),"")</f>
        <v>0</v>
      </c>
    </row>
    <row r="1252" spans="1:17" outlineLevel="2" x14ac:dyDescent="0.2">
      <c r="A1252" t="str">
        <f t="shared" si="19"/>
        <v/>
      </c>
      <c r="F1252" s="1"/>
      <c r="H1252" s="1"/>
      <c r="I1252" s="2"/>
      <c r="J1252" s="2"/>
      <c r="N1252" s="143"/>
      <c r="O1252">
        <f>IFERROR(VLOOKUP($A1252,Accounts!$A:$G,3,FALSE),"")</f>
        <v>0</v>
      </c>
    </row>
    <row r="1253" spans="1:17" outlineLevel="2" x14ac:dyDescent="0.2">
      <c r="A1253" t="str">
        <f t="shared" si="19"/>
        <v/>
      </c>
      <c r="F1253" s="1"/>
      <c r="H1253" s="1"/>
      <c r="I1253" s="2"/>
      <c r="J1253" s="2"/>
      <c r="N1253" s="143"/>
      <c r="O1253">
        <f>IFERROR(VLOOKUP($A1253,Accounts!$A:$G,3,FALSE),"")</f>
        <v>0</v>
      </c>
    </row>
    <row r="1254" spans="1:17" outlineLevel="2" x14ac:dyDescent="0.2">
      <c r="A1254" t="str">
        <f t="shared" si="19"/>
        <v/>
      </c>
      <c r="F1254" s="1"/>
      <c r="H1254" s="1"/>
      <c r="I1254" s="2"/>
      <c r="J1254" s="2"/>
      <c r="N1254" s="143"/>
      <c r="O1254">
        <f>IFERROR(VLOOKUP($A1254,Accounts!$A:$G,3,FALSE),"")</f>
        <v>0</v>
      </c>
    </row>
    <row r="1255" spans="1:17" outlineLevel="2" x14ac:dyDescent="0.2">
      <c r="A1255" t="str">
        <f t="shared" si="19"/>
        <v/>
      </c>
      <c r="F1255" s="1"/>
      <c r="H1255" s="1"/>
      <c r="I1255" s="2"/>
      <c r="J1255" s="2"/>
      <c r="N1255" s="143"/>
      <c r="O1255">
        <f>IFERROR(VLOOKUP($A1255,Accounts!$A:$G,3,FALSE),"")</f>
        <v>0</v>
      </c>
    </row>
    <row r="1256" spans="1:17" outlineLevel="2" x14ac:dyDescent="0.2">
      <c r="A1256" t="str">
        <f t="shared" si="19"/>
        <v/>
      </c>
      <c r="F1256" s="1"/>
      <c r="H1256" s="1"/>
      <c r="I1256" s="2"/>
      <c r="J1256" s="2"/>
      <c r="N1256" s="143"/>
      <c r="O1256">
        <f>IFERROR(VLOOKUP($A1256,Accounts!$A:$G,3,FALSE),"")</f>
        <v>0</v>
      </c>
    </row>
    <row r="1257" spans="1:17" outlineLevel="2" x14ac:dyDescent="0.2">
      <c r="A1257" t="str">
        <f t="shared" si="19"/>
        <v/>
      </c>
      <c r="F1257" s="1"/>
      <c r="H1257" s="1"/>
      <c r="I1257" s="2"/>
      <c r="J1257" s="2"/>
      <c r="N1257" s="143"/>
      <c r="O1257">
        <f>IFERROR(VLOOKUP($A1257,Accounts!$A:$G,3,FALSE),"")</f>
        <v>0</v>
      </c>
      <c r="Q1257" s="89">
        <f>[2]Documents!$G$63+N1268</f>
        <v>379294.39999999997</v>
      </c>
    </row>
    <row r="1258" spans="1:17" outlineLevel="2" x14ac:dyDescent="0.2">
      <c r="A1258" t="str">
        <f t="shared" si="19"/>
        <v/>
      </c>
      <c r="F1258" s="1"/>
      <c r="H1258" s="1"/>
      <c r="I1258" s="2"/>
      <c r="J1258" s="2"/>
      <c r="N1258" s="143"/>
      <c r="O1258">
        <f>IFERROR(VLOOKUP($A1258,Accounts!$A:$G,3,FALSE),"")</f>
        <v>0</v>
      </c>
    </row>
    <row r="1259" spans="1:17" outlineLevel="2" x14ac:dyDescent="0.2">
      <c r="A1259" t="str">
        <f t="shared" si="19"/>
        <v/>
      </c>
      <c r="F1259" s="1"/>
      <c r="H1259" s="1"/>
      <c r="I1259" s="2"/>
      <c r="J1259" s="2"/>
      <c r="N1259" s="143"/>
      <c r="O1259">
        <f>IFERROR(VLOOKUP($A1259,Accounts!$A:$G,3,FALSE),"")</f>
        <v>0</v>
      </c>
    </row>
    <row r="1260" spans="1:17" outlineLevel="2" x14ac:dyDescent="0.2">
      <c r="A1260" t="str">
        <f t="shared" si="19"/>
        <v/>
      </c>
      <c r="F1260" s="1"/>
      <c r="H1260" s="1"/>
      <c r="I1260" s="2"/>
      <c r="J1260" s="2"/>
      <c r="N1260" s="143"/>
      <c r="O1260">
        <f>IFERROR(VLOOKUP($A1260,Accounts!$A:$G,3,FALSE),"")</f>
        <v>0</v>
      </c>
    </row>
    <row r="1261" spans="1:17" outlineLevel="2" x14ac:dyDescent="0.2">
      <c r="A1261" t="str">
        <f t="shared" si="19"/>
        <v/>
      </c>
      <c r="F1261" s="1"/>
      <c r="H1261" s="1"/>
      <c r="I1261" s="2"/>
      <c r="J1261" s="2"/>
      <c r="N1261" s="143"/>
      <c r="O1261">
        <f>IFERROR(VLOOKUP($A1261,Accounts!$A:$G,3,FALSE),"")</f>
        <v>0</v>
      </c>
    </row>
    <row r="1262" spans="1:17" outlineLevel="2" x14ac:dyDescent="0.2">
      <c r="A1262" t="str">
        <f t="shared" si="19"/>
        <v/>
      </c>
      <c r="F1262" s="1"/>
      <c r="H1262" s="1"/>
      <c r="I1262" s="2"/>
      <c r="J1262" s="2"/>
      <c r="N1262" s="143"/>
      <c r="O1262">
        <f>IFERROR(VLOOKUP($A1262,Accounts!$A:$G,3,FALSE),"")</f>
        <v>0</v>
      </c>
    </row>
    <row r="1263" spans="1:17" outlineLevel="2" x14ac:dyDescent="0.2">
      <c r="A1263" t="str">
        <f t="shared" si="19"/>
        <v/>
      </c>
      <c r="F1263" s="1"/>
      <c r="H1263" s="1"/>
      <c r="I1263" s="2"/>
      <c r="J1263" s="2"/>
      <c r="N1263" s="143"/>
      <c r="O1263">
        <f>IFERROR(VLOOKUP($A1263,Accounts!$A:$G,3,FALSE),"")</f>
        <v>0</v>
      </c>
    </row>
    <row r="1264" spans="1:17" outlineLevel="2" x14ac:dyDescent="0.2">
      <c r="A1264" t="str">
        <f t="shared" si="19"/>
        <v/>
      </c>
      <c r="F1264" s="1"/>
      <c r="H1264" s="1"/>
      <c r="I1264" s="2"/>
      <c r="J1264" s="2"/>
      <c r="N1264" s="143"/>
      <c r="O1264">
        <f>IFERROR(VLOOKUP($A1264,Accounts!$A:$G,3,FALSE),"")</f>
        <v>0</v>
      </c>
    </row>
    <row r="1265" spans="1:15" outlineLevel="2" x14ac:dyDescent="0.2">
      <c r="A1265" t="str">
        <f t="shared" si="19"/>
        <v/>
      </c>
      <c r="F1265" s="1"/>
      <c r="H1265" s="1"/>
      <c r="I1265" s="2"/>
      <c r="J1265" s="2"/>
      <c r="N1265" s="2"/>
      <c r="O1265">
        <f>IFERROR(VLOOKUP($A1265,Accounts!$A:$G,3,FALSE),"")</f>
        <v>0</v>
      </c>
    </row>
    <row r="1266" spans="1:15" outlineLevel="2" x14ac:dyDescent="0.2">
      <c r="A1266" t="str">
        <f t="shared" si="19"/>
        <v/>
      </c>
      <c r="F1266" s="1"/>
      <c r="H1266" s="1"/>
      <c r="I1266" s="2"/>
      <c r="J1266" s="2"/>
      <c r="N1266" s="143"/>
      <c r="O1266">
        <f>IFERROR(VLOOKUP($A1266,Accounts!$A:$G,3,FALSE),"")</f>
        <v>0</v>
      </c>
    </row>
    <row r="1267" spans="1:15" outlineLevel="2" x14ac:dyDescent="0.2">
      <c r="A1267" t="str">
        <f t="shared" si="19"/>
        <v/>
      </c>
      <c r="F1267" s="1"/>
      <c r="H1267" s="1"/>
      <c r="I1267" s="2"/>
      <c r="J1267" s="2"/>
      <c r="N1267" s="143"/>
      <c r="O1267">
        <f>IFERROR(VLOOKUP($A1267,Accounts!$A:$G,3,FALSE),"")</f>
        <v>0</v>
      </c>
    </row>
    <row r="1268" spans="1:15" outlineLevel="2" x14ac:dyDescent="0.2">
      <c r="A1268" t="str">
        <f t="shared" si="19"/>
        <v/>
      </c>
      <c r="F1268" s="1"/>
      <c r="H1268" s="1"/>
      <c r="I1268" s="2"/>
      <c r="J1268" s="2"/>
      <c r="N1268" s="143"/>
      <c r="O1268">
        <f>IFERROR(VLOOKUP($A1268,Accounts!$A:$G,3,FALSE),"")</f>
        <v>0</v>
      </c>
    </row>
    <row r="1269" spans="1:15" outlineLevel="2" x14ac:dyDescent="0.2">
      <c r="A1269" t="str">
        <f t="shared" si="19"/>
        <v/>
      </c>
      <c r="F1269" s="1"/>
      <c r="H1269" s="1"/>
      <c r="I1269" s="2"/>
      <c r="J1269" s="2"/>
      <c r="N1269" s="143"/>
      <c r="O1269">
        <f>IFERROR(VLOOKUP($A1269,Accounts!$A:$G,3,FALSE),"")</f>
        <v>0</v>
      </c>
    </row>
    <row r="1270" spans="1:15" outlineLevel="2" x14ac:dyDescent="0.2">
      <c r="A1270" t="str">
        <f t="shared" si="19"/>
        <v/>
      </c>
      <c r="F1270" s="1"/>
      <c r="H1270" s="1"/>
      <c r="I1270" s="2"/>
      <c r="J1270" s="2"/>
      <c r="N1270" s="143"/>
      <c r="O1270">
        <f>IFERROR(VLOOKUP($A1270,Accounts!$A:$G,3,FALSE),"")</f>
        <v>0</v>
      </c>
    </row>
    <row r="1271" spans="1:15" outlineLevel="2" x14ac:dyDescent="0.2">
      <c r="A1271" t="str">
        <f t="shared" si="19"/>
        <v/>
      </c>
      <c r="F1271" s="1"/>
      <c r="H1271" s="1"/>
      <c r="I1271" s="2"/>
      <c r="J1271" s="2"/>
      <c r="N1271" s="143"/>
      <c r="O1271">
        <f>IFERROR(VLOOKUP($A1271,Accounts!$A:$G,3,FALSE),"")</f>
        <v>0</v>
      </c>
    </row>
    <row r="1272" spans="1:15" outlineLevel="2" x14ac:dyDescent="0.2">
      <c r="A1272" t="str">
        <f t="shared" si="19"/>
        <v/>
      </c>
      <c r="F1272" s="1"/>
      <c r="H1272" s="1"/>
      <c r="I1272" s="2"/>
      <c r="J1272" s="2"/>
      <c r="N1272" s="143"/>
      <c r="O1272">
        <f>IFERROR(VLOOKUP($A1272,Accounts!$A:$G,3,FALSE),"")</f>
        <v>0</v>
      </c>
    </row>
    <row r="1273" spans="1:15" outlineLevel="2" x14ac:dyDescent="0.2">
      <c r="A1273" t="str">
        <f t="shared" si="19"/>
        <v/>
      </c>
      <c r="F1273" s="1"/>
      <c r="H1273" s="1"/>
      <c r="I1273" s="2"/>
      <c r="J1273" s="2"/>
      <c r="N1273" s="143"/>
      <c r="O1273">
        <f>IFERROR(VLOOKUP($A1273,Accounts!$A:$G,3,FALSE),"")</f>
        <v>0</v>
      </c>
    </row>
    <row r="1274" spans="1:15" outlineLevel="2" x14ac:dyDescent="0.2">
      <c r="A1274" t="str">
        <f t="shared" si="19"/>
        <v/>
      </c>
      <c r="F1274" s="1"/>
      <c r="H1274" s="1"/>
      <c r="I1274" s="2"/>
      <c r="J1274" s="2"/>
      <c r="N1274" s="143"/>
      <c r="O1274">
        <f>IFERROR(VLOOKUP($A1274,Accounts!$A:$G,3,FALSE),"")</f>
        <v>0</v>
      </c>
    </row>
    <row r="1275" spans="1:15" outlineLevel="2" x14ac:dyDescent="0.2">
      <c r="A1275" t="str">
        <f t="shared" si="19"/>
        <v/>
      </c>
      <c r="F1275" s="1"/>
      <c r="H1275" s="1"/>
      <c r="I1275" s="2"/>
      <c r="J1275" s="2"/>
      <c r="N1275" s="2"/>
      <c r="O1275">
        <f>IFERROR(VLOOKUP($A1275,Accounts!$A:$G,3,FALSE),"")</f>
        <v>0</v>
      </c>
    </row>
    <row r="1276" spans="1:15" outlineLevel="2" x14ac:dyDescent="0.2">
      <c r="A1276" t="str">
        <f t="shared" si="19"/>
        <v/>
      </c>
      <c r="F1276" s="1"/>
      <c r="H1276" s="1"/>
      <c r="I1276" s="2"/>
      <c r="J1276" s="2"/>
      <c r="N1276" s="143"/>
      <c r="O1276">
        <f>IFERROR(VLOOKUP($A1276,Accounts!$A:$G,3,FALSE),"")</f>
        <v>0</v>
      </c>
    </row>
    <row r="1277" spans="1:15" outlineLevel="2" x14ac:dyDescent="0.2">
      <c r="A1277" t="str">
        <f t="shared" si="19"/>
        <v/>
      </c>
      <c r="F1277" s="1"/>
      <c r="H1277" s="1"/>
      <c r="I1277" s="2"/>
      <c r="J1277" s="2"/>
      <c r="N1277" s="143"/>
      <c r="O1277">
        <f>IFERROR(VLOOKUP($A1277,Accounts!$A:$G,3,FALSE),"")</f>
        <v>0</v>
      </c>
    </row>
    <row r="1278" spans="1:15" outlineLevel="2" x14ac:dyDescent="0.2">
      <c r="A1278" t="str">
        <f t="shared" si="19"/>
        <v/>
      </c>
      <c r="F1278" s="1"/>
      <c r="H1278" s="1"/>
      <c r="I1278" s="2"/>
      <c r="J1278" s="2"/>
      <c r="N1278" s="143"/>
      <c r="O1278">
        <f>IFERROR(VLOOKUP($A1278,Accounts!$A:$G,3,FALSE),"")</f>
        <v>0</v>
      </c>
    </row>
    <row r="1279" spans="1:15" outlineLevel="2" x14ac:dyDescent="0.2">
      <c r="A1279" t="str">
        <f t="shared" si="19"/>
        <v/>
      </c>
      <c r="F1279" s="1"/>
      <c r="H1279" s="1"/>
      <c r="I1279" s="2"/>
      <c r="J1279" s="2"/>
      <c r="N1279" s="143"/>
      <c r="O1279">
        <f>IFERROR(VLOOKUP($A1279,Accounts!$A:$G,3,FALSE),"")</f>
        <v>0</v>
      </c>
    </row>
    <row r="1280" spans="1:15" outlineLevel="2" x14ac:dyDescent="0.2">
      <c r="A1280" t="str">
        <f t="shared" si="19"/>
        <v/>
      </c>
      <c r="F1280" s="1"/>
      <c r="H1280" s="1"/>
      <c r="I1280" s="2"/>
      <c r="J1280" s="2"/>
      <c r="N1280" s="143"/>
      <c r="O1280">
        <f>IFERROR(VLOOKUP($A1280,Accounts!$A:$G,3,FALSE),"")</f>
        <v>0</v>
      </c>
    </row>
    <row r="1281" spans="1:15" outlineLevel="2" x14ac:dyDescent="0.2">
      <c r="A1281" t="str">
        <f t="shared" si="19"/>
        <v/>
      </c>
      <c r="F1281" s="1"/>
      <c r="H1281" s="1"/>
      <c r="I1281" s="2"/>
      <c r="J1281" s="2"/>
      <c r="N1281" s="143"/>
      <c r="O1281">
        <f>IFERROR(VLOOKUP($A1281,Accounts!$A:$G,3,FALSE),"")</f>
        <v>0</v>
      </c>
    </row>
    <row r="1282" spans="1:15" outlineLevel="2" x14ac:dyDescent="0.2">
      <c r="A1282" t="str">
        <f t="shared" si="19"/>
        <v/>
      </c>
      <c r="F1282" s="1"/>
      <c r="H1282" s="1"/>
      <c r="I1282" s="2"/>
      <c r="J1282" s="2"/>
      <c r="N1282" s="143"/>
      <c r="O1282">
        <f>IFERROR(VLOOKUP($A1282,Accounts!$A:$G,3,FALSE),"")</f>
        <v>0</v>
      </c>
    </row>
    <row r="1283" spans="1:15" outlineLevel="2" x14ac:dyDescent="0.2">
      <c r="A1283" t="str">
        <f t="shared" si="19"/>
        <v/>
      </c>
      <c r="F1283" s="1"/>
      <c r="H1283" s="1"/>
      <c r="I1283" s="2"/>
      <c r="J1283" s="2"/>
      <c r="N1283" s="2"/>
      <c r="O1283">
        <f>IFERROR(VLOOKUP($A1283,Accounts!$A:$G,3,FALSE),"")</f>
        <v>0</v>
      </c>
    </row>
    <row r="1284" spans="1:15" outlineLevel="2" x14ac:dyDescent="0.2">
      <c r="A1284" t="str">
        <f t="shared" si="19"/>
        <v/>
      </c>
      <c r="F1284" s="1"/>
      <c r="H1284" s="1"/>
      <c r="I1284" s="2"/>
      <c r="J1284" s="2"/>
      <c r="N1284" s="143"/>
      <c r="O1284">
        <f>IFERROR(VLOOKUP($A1284,Accounts!$A:$G,3,FALSE),"")</f>
        <v>0</v>
      </c>
    </row>
    <row r="1285" spans="1:15" outlineLevel="2" x14ac:dyDescent="0.2">
      <c r="A1285" t="str">
        <f t="shared" si="19"/>
        <v/>
      </c>
      <c r="F1285" s="1"/>
      <c r="H1285" s="1"/>
      <c r="I1285" s="2"/>
      <c r="J1285" s="2"/>
      <c r="N1285" s="2"/>
      <c r="O1285">
        <f>IFERROR(VLOOKUP($A1285,Accounts!$A:$G,3,FALSE),"")</f>
        <v>0</v>
      </c>
    </row>
    <row r="1286" spans="1:15" outlineLevel="2" x14ac:dyDescent="0.2">
      <c r="A1286" t="str">
        <f t="shared" si="19"/>
        <v/>
      </c>
      <c r="F1286" s="1"/>
      <c r="H1286" s="1"/>
      <c r="I1286" s="2"/>
      <c r="J1286" s="2"/>
      <c r="N1286" s="143"/>
      <c r="O1286">
        <f>IFERROR(VLOOKUP($A1286,Accounts!$A:$G,3,FALSE),"")</f>
        <v>0</v>
      </c>
    </row>
    <row r="1287" spans="1:15" outlineLevel="2" x14ac:dyDescent="0.2">
      <c r="A1287" t="str">
        <f t="shared" si="19"/>
        <v/>
      </c>
      <c r="F1287" s="1"/>
      <c r="H1287" s="1"/>
      <c r="I1287" s="2"/>
      <c r="J1287" s="2"/>
      <c r="N1287" s="143"/>
      <c r="O1287">
        <f>IFERROR(VLOOKUP($A1287,Accounts!$A:$G,3,FALSE),"")</f>
        <v>0</v>
      </c>
    </row>
    <row r="1288" spans="1:15" outlineLevel="2" x14ac:dyDescent="0.2">
      <c r="A1288" t="str">
        <f t="shared" si="19"/>
        <v/>
      </c>
      <c r="B1288" s="3"/>
      <c r="C1288" s="3"/>
      <c r="D1288" s="3"/>
      <c r="E1288" s="3"/>
      <c r="F1288" s="4"/>
      <c r="G1288" s="3"/>
      <c r="H1288" s="4"/>
      <c r="I1288" s="5"/>
      <c r="J1288" s="5"/>
      <c r="K1288" s="3"/>
      <c r="L1288" s="3"/>
      <c r="M1288" s="3"/>
      <c r="N1288" s="5"/>
      <c r="O1288">
        <f>IFERROR(VLOOKUP($A1288,Accounts!$A:$G,3,FALSE),"")</f>
        <v>0</v>
      </c>
    </row>
    <row r="1289" spans="1:15" outlineLevel="2" x14ac:dyDescent="0.2">
      <c r="A1289" t="str">
        <f t="shared" si="19"/>
        <v/>
      </c>
      <c r="F1289" s="1"/>
      <c r="H1289" s="1"/>
      <c r="I1289" s="2"/>
      <c r="J1289" s="2"/>
      <c r="N1289" s="2"/>
      <c r="O1289">
        <f>IFERROR(VLOOKUP($A1289,Accounts!$A:$G,3,FALSE),"")</f>
        <v>0</v>
      </c>
    </row>
    <row r="1290" spans="1:15" outlineLevel="2" x14ac:dyDescent="0.2">
      <c r="A1290" t="str">
        <f t="shared" ref="A1290:A1353" si="20">IFERROR(IF(J1290=0,E1290&amp;C1290&amp;I1290,G1290&amp;B1290&amp;J1290),"")</f>
        <v/>
      </c>
      <c r="F1290" s="1"/>
      <c r="H1290" s="1"/>
      <c r="I1290" s="2"/>
      <c r="J1290" s="2"/>
      <c r="N1290" s="2"/>
      <c r="O1290">
        <f>IFERROR(VLOOKUP($A1290,Accounts!$A:$G,3,FALSE),"")</f>
        <v>0</v>
      </c>
    </row>
    <row r="1291" spans="1:15" outlineLevel="2" x14ac:dyDescent="0.2">
      <c r="A1291" t="str">
        <f t="shared" si="20"/>
        <v/>
      </c>
      <c r="F1291" s="1"/>
      <c r="H1291" s="1"/>
      <c r="I1291" s="2"/>
      <c r="J1291" s="2"/>
      <c r="N1291" s="2"/>
      <c r="O1291">
        <f>IFERROR(VLOOKUP($A1291,Accounts!$A:$G,3,FALSE),"")</f>
        <v>0</v>
      </c>
    </row>
    <row r="1292" spans="1:15" outlineLevel="2" x14ac:dyDescent="0.2">
      <c r="A1292" t="str">
        <f t="shared" si="20"/>
        <v/>
      </c>
      <c r="F1292" s="1"/>
      <c r="H1292" s="1"/>
      <c r="I1292" s="2"/>
      <c r="J1292" s="2"/>
      <c r="N1292" s="2"/>
      <c r="O1292">
        <f>IFERROR(VLOOKUP($A1292,Accounts!$A:$G,3,FALSE),"")</f>
        <v>0</v>
      </c>
    </row>
    <row r="1293" spans="1:15" outlineLevel="2" x14ac:dyDescent="0.2">
      <c r="A1293" t="str">
        <f t="shared" si="20"/>
        <v/>
      </c>
      <c r="B1293" s="3"/>
      <c r="C1293" s="3"/>
      <c r="D1293" s="3"/>
      <c r="E1293" s="3"/>
      <c r="F1293" s="4"/>
      <c r="G1293" s="3"/>
      <c r="H1293" s="4"/>
      <c r="I1293" s="5"/>
      <c r="J1293" s="5"/>
      <c r="K1293" s="3"/>
      <c r="L1293" s="3"/>
      <c r="M1293" s="3"/>
      <c r="N1293" s="5"/>
      <c r="O1293">
        <f>IFERROR(VLOOKUP($A1293,Accounts!$A:$G,3,FALSE),"")</f>
        <v>0</v>
      </c>
    </row>
    <row r="1294" spans="1:15" outlineLevel="2" x14ac:dyDescent="0.2">
      <c r="A1294" t="str">
        <f t="shared" si="20"/>
        <v/>
      </c>
      <c r="F1294" s="1"/>
      <c r="H1294" s="1"/>
      <c r="I1294" s="2"/>
      <c r="J1294" s="2"/>
      <c r="N1294" s="2"/>
      <c r="O1294">
        <f>IFERROR(VLOOKUP($A1294,Accounts!$A:$G,3,FALSE),"")</f>
        <v>0</v>
      </c>
    </row>
    <row r="1295" spans="1:15" outlineLevel="2" x14ac:dyDescent="0.2">
      <c r="A1295" t="str">
        <f t="shared" si="20"/>
        <v/>
      </c>
      <c r="B1295" s="3"/>
      <c r="C1295" s="3"/>
      <c r="D1295" s="3"/>
      <c r="E1295" s="3"/>
      <c r="F1295" s="4"/>
      <c r="G1295" s="3"/>
      <c r="H1295" s="4"/>
      <c r="I1295" s="5"/>
      <c r="J1295" s="5"/>
      <c r="K1295" s="3"/>
      <c r="L1295" s="3"/>
      <c r="M1295" s="3"/>
      <c r="N1295" s="5"/>
      <c r="O1295">
        <f>IFERROR(VLOOKUP($A1295,Accounts!$A:$G,3,FALSE),"")</f>
        <v>0</v>
      </c>
    </row>
    <row r="1296" spans="1:15" outlineLevel="2" x14ac:dyDescent="0.2">
      <c r="A1296" t="str">
        <f t="shared" si="20"/>
        <v/>
      </c>
      <c r="F1296" s="1"/>
      <c r="H1296" s="1"/>
      <c r="I1296" s="2"/>
      <c r="J1296" s="2"/>
      <c r="N1296" s="2"/>
      <c r="O1296">
        <f>IFERROR(VLOOKUP($A1296,Accounts!$A:$G,3,FALSE),"")</f>
        <v>0</v>
      </c>
    </row>
    <row r="1297" spans="1:15" outlineLevel="2" x14ac:dyDescent="0.2">
      <c r="A1297" t="str">
        <f t="shared" si="20"/>
        <v/>
      </c>
      <c r="F1297" s="1"/>
      <c r="H1297" s="1"/>
      <c r="I1297" s="2"/>
      <c r="J1297" s="2"/>
      <c r="N1297" s="2"/>
      <c r="O1297">
        <f>IFERROR(VLOOKUP($A1297,Accounts!$A:$G,3,FALSE),"")</f>
        <v>0</v>
      </c>
    </row>
    <row r="1298" spans="1:15" outlineLevel="2" x14ac:dyDescent="0.2">
      <c r="A1298" t="str">
        <f t="shared" si="20"/>
        <v/>
      </c>
      <c r="F1298" s="1"/>
      <c r="H1298" s="1"/>
      <c r="I1298" s="2"/>
      <c r="J1298" s="2"/>
      <c r="N1298" s="2"/>
      <c r="O1298">
        <f>IFERROR(VLOOKUP($A1298,Accounts!$A:$G,3,FALSE),"")</f>
        <v>0</v>
      </c>
    </row>
    <row r="1299" spans="1:15" outlineLevel="2" x14ac:dyDescent="0.2">
      <c r="A1299" t="str">
        <f t="shared" si="20"/>
        <v/>
      </c>
      <c r="F1299" s="1"/>
      <c r="H1299" s="1"/>
      <c r="I1299" s="2"/>
      <c r="J1299" s="2"/>
      <c r="N1299" s="2"/>
      <c r="O1299">
        <f>IFERROR(VLOOKUP($A1299,Accounts!$A:$G,3,FALSE),"")</f>
        <v>0</v>
      </c>
    </row>
    <row r="1300" spans="1:15" outlineLevel="2" x14ac:dyDescent="0.2">
      <c r="A1300" t="str">
        <f t="shared" si="20"/>
        <v/>
      </c>
      <c r="B1300" s="3"/>
      <c r="C1300" s="3"/>
      <c r="D1300" s="3"/>
      <c r="E1300" s="3"/>
      <c r="F1300" s="4"/>
      <c r="G1300" s="3"/>
      <c r="H1300" s="4"/>
      <c r="I1300" s="5"/>
      <c r="J1300" s="5"/>
      <c r="K1300" s="3"/>
      <c r="L1300" s="3"/>
      <c r="M1300" s="3"/>
      <c r="N1300" s="5"/>
      <c r="O1300">
        <f>IFERROR(VLOOKUP($A1300,Accounts!$A:$G,3,FALSE),"")</f>
        <v>0</v>
      </c>
    </row>
    <row r="1301" spans="1:15" outlineLevel="2" x14ac:dyDescent="0.2">
      <c r="A1301" t="str">
        <f t="shared" si="20"/>
        <v/>
      </c>
      <c r="F1301" s="1"/>
      <c r="H1301" s="1"/>
      <c r="I1301" s="2"/>
      <c r="J1301" s="2"/>
      <c r="N1301" s="2"/>
      <c r="O1301">
        <f>IFERROR(VLOOKUP($A1301,Accounts!$A:$G,3,FALSE),"")</f>
        <v>0</v>
      </c>
    </row>
    <row r="1302" spans="1:15" outlineLevel="2" x14ac:dyDescent="0.2">
      <c r="A1302" t="str">
        <f t="shared" si="20"/>
        <v/>
      </c>
      <c r="F1302" s="1"/>
      <c r="H1302" s="1"/>
      <c r="I1302" s="2"/>
      <c r="J1302" s="2"/>
      <c r="N1302" s="2"/>
      <c r="O1302">
        <f>IFERROR(VLOOKUP($A1302,Accounts!$A:$G,3,FALSE),"")</f>
        <v>0</v>
      </c>
    </row>
    <row r="1303" spans="1:15" outlineLevel="2" x14ac:dyDescent="0.2">
      <c r="A1303" t="str">
        <f t="shared" si="20"/>
        <v/>
      </c>
      <c r="F1303" s="1"/>
      <c r="H1303" s="1"/>
      <c r="I1303" s="2"/>
      <c r="J1303" s="2"/>
      <c r="N1303" s="2"/>
      <c r="O1303">
        <f>IFERROR(VLOOKUP($A1303,Accounts!$A:$G,3,FALSE),"")</f>
        <v>0</v>
      </c>
    </row>
    <row r="1304" spans="1:15" outlineLevel="2" x14ac:dyDescent="0.2">
      <c r="A1304" t="str">
        <f t="shared" si="20"/>
        <v/>
      </c>
      <c r="F1304" s="1"/>
      <c r="H1304" s="1"/>
      <c r="I1304" s="2"/>
      <c r="J1304" s="2"/>
      <c r="N1304" s="2"/>
      <c r="O1304">
        <f>IFERROR(VLOOKUP($A1304,Accounts!$A:$G,3,FALSE),"")</f>
        <v>0</v>
      </c>
    </row>
    <row r="1305" spans="1:15" outlineLevel="2" x14ac:dyDescent="0.2">
      <c r="A1305" t="str">
        <f t="shared" si="20"/>
        <v/>
      </c>
      <c r="F1305" s="1"/>
      <c r="H1305" s="1"/>
      <c r="I1305" s="2"/>
      <c r="J1305" s="2"/>
      <c r="N1305" s="2"/>
      <c r="O1305">
        <f>IFERROR(VLOOKUP($A1305,Accounts!$A:$G,3,FALSE),"")</f>
        <v>0</v>
      </c>
    </row>
    <row r="1306" spans="1:15" outlineLevel="2" x14ac:dyDescent="0.2">
      <c r="A1306" t="str">
        <f t="shared" si="20"/>
        <v/>
      </c>
      <c r="F1306" s="1"/>
      <c r="H1306" s="1"/>
      <c r="I1306" s="2"/>
      <c r="J1306" s="2"/>
      <c r="N1306" s="2"/>
      <c r="O1306">
        <f>IFERROR(VLOOKUP($A1306,Accounts!$A:$G,3,FALSE),"")</f>
        <v>0</v>
      </c>
    </row>
    <row r="1307" spans="1:15" outlineLevel="2" x14ac:dyDescent="0.2">
      <c r="A1307" t="str">
        <f t="shared" si="20"/>
        <v/>
      </c>
      <c r="B1307" s="3"/>
      <c r="C1307" s="3"/>
      <c r="D1307" s="3"/>
      <c r="E1307" s="3"/>
      <c r="F1307" s="4"/>
      <c r="G1307" s="3"/>
      <c r="H1307" s="4"/>
      <c r="I1307" s="5"/>
      <c r="J1307" s="5"/>
      <c r="K1307" s="3"/>
      <c r="L1307" s="3"/>
      <c r="M1307" s="3"/>
      <c r="N1307" s="5"/>
      <c r="O1307">
        <f>IFERROR(VLOOKUP($A1307,Accounts!$A:$G,3,FALSE),"")</f>
        <v>0</v>
      </c>
    </row>
    <row r="1308" spans="1:15" outlineLevel="2" x14ac:dyDescent="0.2">
      <c r="A1308" t="str">
        <f t="shared" si="20"/>
        <v/>
      </c>
      <c r="F1308" s="1"/>
      <c r="H1308" s="1"/>
      <c r="I1308" s="2"/>
      <c r="J1308" s="2"/>
      <c r="N1308" s="2"/>
      <c r="O1308">
        <f>IFERROR(VLOOKUP($A1308,Accounts!$A:$G,3,FALSE),"")</f>
        <v>0</v>
      </c>
    </row>
    <row r="1309" spans="1:15" outlineLevel="2" x14ac:dyDescent="0.2">
      <c r="A1309" t="str">
        <f t="shared" si="20"/>
        <v/>
      </c>
      <c r="F1309" s="1"/>
      <c r="H1309" s="1"/>
      <c r="I1309" s="2"/>
      <c r="J1309" s="2"/>
      <c r="N1309" s="2"/>
      <c r="O1309">
        <f>IFERROR(VLOOKUP($A1309,Accounts!$A:$G,3,FALSE),"")</f>
        <v>0</v>
      </c>
    </row>
    <row r="1310" spans="1:15" outlineLevel="2" x14ac:dyDescent="0.2">
      <c r="A1310" t="str">
        <f t="shared" si="20"/>
        <v/>
      </c>
      <c r="B1310" s="3"/>
      <c r="C1310" s="3"/>
      <c r="D1310" s="3"/>
      <c r="E1310" s="3"/>
      <c r="F1310" s="4"/>
      <c r="G1310" s="3"/>
      <c r="H1310" s="4"/>
      <c r="I1310" s="5"/>
      <c r="J1310" s="5"/>
      <c r="K1310" s="3"/>
      <c r="L1310" s="3"/>
      <c r="M1310" s="3"/>
      <c r="N1310" s="5"/>
      <c r="O1310">
        <f>IFERROR(VLOOKUP($A1310,Accounts!$A:$G,3,FALSE),"")</f>
        <v>0</v>
      </c>
    </row>
    <row r="1311" spans="1:15" outlineLevel="2" x14ac:dyDescent="0.2">
      <c r="A1311" t="str">
        <f t="shared" si="20"/>
        <v/>
      </c>
      <c r="F1311" s="1"/>
      <c r="H1311" s="1"/>
      <c r="I1311" s="2"/>
      <c r="J1311" s="2"/>
      <c r="N1311" s="2"/>
      <c r="O1311">
        <f>IFERROR(VLOOKUP($A1311,Accounts!$A:$G,3,FALSE),"")</f>
        <v>0</v>
      </c>
    </row>
    <row r="1312" spans="1:15" outlineLevel="2" x14ac:dyDescent="0.2">
      <c r="A1312" t="str">
        <f t="shared" si="20"/>
        <v/>
      </c>
      <c r="F1312" s="1"/>
      <c r="H1312" s="1"/>
      <c r="I1312" s="2"/>
      <c r="J1312" s="2"/>
      <c r="N1312" s="2"/>
      <c r="O1312">
        <f>IFERROR(VLOOKUP($A1312,Accounts!$A:$G,3,FALSE),"")</f>
        <v>0</v>
      </c>
    </row>
    <row r="1313" spans="1:15" outlineLevel="2" x14ac:dyDescent="0.2">
      <c r="A1313" t="str">
        <f t="shared" si="20"/>
        <v/>
      </c>
      <c r="F1313" s="1"/>
      <c r="H1313" s="1"/>
      <c r="I1313" s="2"/>
      <c r="J1313" s="2"/>
      <c r="N1313" s="2"/>
      <c r="O1313">
        <f>IFERROR(VLOOKUP($A1313,Accounts!$A:$G,3,FALSE),"")</f>
        <v>0</v>
      </c>
    </row>
    <row r="1314" spans="1:15" outlineLevel="2" x14ac:dyDescent="0.2">
      <c r="A1314" t="str">
        <f t="shared" si="20"/>
        <v/>
      </c>
      <c r="F1314" s="1"/>
      <c r="H1314" s="1"/>
      <c r="I1314" s="2"/>
      <c r="J1314" s="2"/>
      <c r="N1314" s="2"/>
      <c r="O1314">
        <f>IFERROR(VLOOKUP($A1314,Accounts!$A:$G,3,FALSE),"")</f>
        <v>0</v>
      </c>
    </row>
    <row r="1315" spans="1:15" outlineLevel="2" x14ac:dyDescent="0.2">
      <c r="A1315" t="str">
        <f t="shared" si="20"/>
        <v/>
      </c>
      <c r="F1315" s="1"/>
      <c r="H1315" s="1"/>
      <c r="I1315" s="2"/>
      <c r="J1315" s="2"/>
      <c r="N1315" s="2"/>
      <c r="O1315">
        <f>IFERROR(VLOOKUP($A1315,Accounts!$A:$G,3,FALSE),"")</f>
        <v>0</v>
      </c>
    </row>
    <row r="1316" spans="1:15" outlineLevel="2" x14ac:dyDescent="0.2">
      <c r="A1316" t="str">
        <f t="shared" si="20"/>
        <v/>
      </c>
      <c r="B1316" s="3"/>
      <c r="C1316" s="3"/>
      <c r="D1316" s="3"/>
      <c r="E1316" s="3"/>
      <c r="F1316" s="4"/>
      <c r="G1316" s="3"/>
      <c r="H1316" s="4"/>
      <c r="I1316" s="5"/>
      <c r="J1316" s="5"/>
      <c r="K1316" s="3"/>
      <c r="L1316" s="3"/>
      <c r="M1316" s="3"/>
      <c r="N1316" s="5"/>
      <c r="O1316">
        <f>IFERROR(VLOOKUP($A1316,Accounts!$A:$G,3,FALSE),"")</f>
        <v>0</v>
      </c>
    </row>
    <row r="1317" spans="1:15" outlineLevel="2" x14ac:dyDescent="0.2">
      <c r="A1317" t="str">
        <f t="shared" si="20"/>
        <v/>
      </c>
      <c r="F1317" s="1"/>
      <c r="H1317" s="1"/>
      <c r="I1317" s="2"/>
      <c r="J1317" s="2"/>
      <c r="N1317" s="2"/>
      <c r="O1317">
        <f>IFERROR(VLOOKUP($A1317,Accounts!$A:$G,3,FALSE),"")</f>
        <v>0</v>
      </c>
    </row>
    <row r="1318" spans="1:15" outlineLevel="2" x14ac:dyDescent="0.2">
      <c r="A1318" t="str">
        <f t="shared" si="20"/>
        <v/>
      </c>
      <c r="F1318" s="1"/>
      <c r="H1318" s="1"/>
      <c r="I1318" s="2"/>
      <c r="J1318" s="2"/>
      <c r="N1318" s="2"/>
      <c r="O1318">
        <f>IFERROR(VLOOKUP($A1318,Accounts!$A:$G,3,FALSE),"")</f>
        <v>0</v>
      </c>
    </row>
    <row r="1319" spans="1:15" outlineLevel="2" x14ac:dyDescent="0.2">
      <c r="A1319" t="str">
        <f t="shared" si="20"/>
        <v/>
      </c>
      <c r="F1319" s="1"/>
      <c r="H1319" s="1"/>
      <c r="I1319" s="2"/>
      <c r="J1319" s="2"/>
      <c r="N1319" s="2"/>
      <c r="O1319">
        <f>IFERROR(VLOOKUP($A1319,Accounts!$A:$G,3,FALSE),"")</f>
        <v>0</v>
      </c>
    </row>
    <row r="1320" spans="1:15" outlineLevel="2" x14ac:dyDescent="0.2">
      <c r="A1320" t="str">
        <f t="shared" si="20"/>
        <v/>
      </c>
      <c r="F1320" s="1"/>
      <c r="H1320" s="1"/>
      <c r="I1320" s="2"/>
      <c r="J1320" s="2"/>
      <c r="N1320" s="2"/>
      <c r="O1320">
        <f>IFERROR(VLOOKUP($A1320,Accounts!$A:$G,3,FALSE),"")</f>
        <v>0</v>
      </c>
    </row>
    <row r="1321" spans="1:15" outlineLevel="2" x14ac:dyDescent="0.2">
      <c r="A1321" t="str">
        <f t="shared" si="20"/>
        <v/>
      </c>
      <c r="F1321" s="1"/>
      <c r="H1321" s="1"/>
      <c r="I1321" s="2"/>
      <c r="J1321" s="2"/>
      <c r="N1321" s="2"/>
      <c r="O1321">
        <f>IFERROR(VLOOKUP($A1321,Accounts!$A:$G,3,FALSE),"")</f>
        <v>0</v>
      </c>
    </row>
    <row r="1322" spans="1:15" outlineLevel="2" x14ac:dyDescent="0.2">
      <c r="A1322" t="str">
        <f t="shared" si="20"/>
        <v/>
      </c>
      <c r="F1322" s="1"/>
      <c r="H1322" s="1"/>
      <c r="I1322" s="2"/>
      <c r="J1322" s="2"/>
      <c r="N1322" s="2"/>
      <c r="O1322">
        <f>IFERROR(VLOOKUP($A1322,Accounts!$A:$G,3,FALSE),"")</f>
        <v>0</v>
      </c>
    </row>
    <row r="1323" spans="1:15" outlineLevel="2" x14ac:dyDescent="0.2">
      <c r="A1323" t="str">
        <f t="shared" si="20"/>
        <v/>
      </c>
      <c r="F1323" s="1"/>
      <c r="H1323" s="1"/>
      <c r="I1323" s="2"/>
      <c r="J1323" s="2"/>
      <c r="N1323" s="2"/>
      <c r="O1323">
        <f>IFERROR(VLOOKUP($A1323,Accounts!$A:$G,3,FALSE),"")</f>
        <v>0</v>
      </c>
    </row>
    <row r="1324" spans="1:15" outlineLevel="2" x14ac:dyDescent="0.2">
      <c r="A1324" t="str">
        <f t="shared" si="20"/>
        <v/>
      </c>
      <c r="F1324" s="1"/>
      <c r="H1324" s="1"/>
      <c r="I1324" s="2"/>
      <c r="J1324" s="2"/>
      <c r="N1324" s="2"/>
      <c r="O1324">
        <f>IFERROR(VLOOKUP($A1324,Accounts!$A:$G,3,FALSE),"")</f>
        <v>0</v>
      </c>
    </row>
    <row r="1325" spans="1:15" outlineLevel="2" x14ac:dyDescent="0.2">
      <c r="A1325" t="str">
        <f t="shared" si="20"/>
        <v/>
      </c>
      <c r="F1325" s="1"/>
      <c r="H1325" s="1"/>
      <c r="I1325" s="2"/>
      <c r="J1325" s="2"/>
      <c r="N1325" s="2"/>
      <c r="O1325">
        <f>IFERROR(VLOOKUP($A1325,Accounts!$A:$G,3,FALSE),"")</f>
        <v>0</v>
      </c>
    </row>
    <row r="1326" spans="1:15" outlineLevel="2" x14ac:dyDescent="0.2">
      <c r="A1326" t="str">
        <f t="shared" si="20"/>
        <v/>
      </c>
      <c r="B1326" s="3"/>
      <c r="C1326" s="3"/>
      <c r="D1326" s="3"/>
      <c r="E1326" s="3"/>
      <c r="F1326" s="4"/>
      <c r="G1326" s="3"/>
      <c r="H1326" s="4"/>
      <c r="I1326" s="5"/>
      <c r="J1326" s="5"/>
      <c r="K1326" s="3"/>
      <c r="L1326" s="3"/>
      <c r="M1326" s="3"/>
      <c r="N1326" s="5"/>
      <c r="O1326">
        <f>IFERROR(VLOOKUP($A1326,Accounts!$A:$G,3,FALSE),"")</f>
        <v>0</v>
      </c>
    </row>
    <row r="1327" spans="1:15" outlineLevel="2" x14ac:dyDescent="0.2">
      <c r="A1327" t="str">
        <f t="shared" si="20"/>
        <v/>
      </c>
      <c r="F1327" s="1"/>
      <c r="H1327" s="1"/>
      <c r="I1327" s="2"/>
      <c r="J1327" s="2"/>
      <c r="N1327" s="2"/>
      <c r="O1327">
        <f>IFERROR(VLOOKUP($A1327,Accounts!$A:$G,3,FALSE),"")</f>
        <v>0</v>
      </c>
    </row>
    <row r="1328" spans="1:15" outlineLevel="2" x14ac:dyDescent="0.2">
      <c r="A1328" t="str">
        <f t="shared" si="20"/>
        <v/>
      </c>
      <c r="B1328" s="3"/>
      <c r="C1328" s="3"/>
      <c r="D1328" s="3"/>
      <c r="E1328" s="3"/>
      <c r="F1328" s="4"/>
      <c r="G1328" s="3"/>
      <c r="H1328" s="4"/>
      <c r="I1328" s="5"/>
      <c r="J1328" s="5"/>
      <c r="K1328" s="3"/>
      <c r="L1328" s="3"/>
      <c r="M1328" s="3"/>
      <c r="N1328" s="5"/>
      <c r="O1328">
        <f>IFERROR(VLOOKUP($A1328,Accounts!$A:$G,3,FALSE),"")</f>
        <v>0</v>
      </c>
    </row>
    <row r="1329" spans="1:15" outlineLevel="2" x14ac:dyDescent="0.2">
      <c r="A1329" t="str">
        <f t="shared" si="20"/>
        <v/>
      </c>
      <c r="F1329" s="1"/>
      <c r="H1329" s="1"/>
      <c r="I1329" s="2"/>
      <c r="J1329" s="2"/>
      <c r="N1329" s="2"/>
      <c r="O1329">
        <f>IFERROR(VLOOKUP($A1329,Accounts!$A:$G,3,FALSE),"")</f>
        <v>0</v>
      </c>
    </row>
    <row r="1330" spans="1:15" outlineLevel="2" x14ac:dyDescent="0.2">
      <c r="A1330" t="str">
        <f t="shared" si="20"/>
        <v/>
      </c>
      <c r="F1330" s="1"/>
      <c r="H1330" s="1"/>
      <c r="I1330" s="2"/>
      <c r="J1330" s="2"/>
      <c r="N1330" s="2"/>
      <c r="O1330">
        <f>IFERROR(VLOOKUP($A1330,Accounts!$A:$G,3,FALSE),"")</f>
        <v>0</v>
      </c>
    </row>
    <row r="1331" spans="1:15" outlineLevel="2" x14ac:dyDescent="0.2">
      <c r="A1331" t="str">
        <f t="shared" si="20"/>
        <v/>
      </c>
      <c r="F1331" s="1"/>
      <c r="H1331" s="1"/>
      <c r="I1331" s="2"/>
      <c r="J1331" s="2"/>
      <c r="N1331" s="2"/>
      <c r="O1331">
        <f>IFERROR(VLOOKUP($A1331,Accounts!$A:$G,3,FALSE),"")</f>
        <v>0</v>
      </c>
    </row>
    <row r="1332" spans="1:15" outlineLevel="2" x14ac:dyDescent="0.2">
      <c r="A1332" t="str">
        <f t="shared" si="20"/>
        <v/>
      </c>
      <c r="F1332" s="1"/>
      <c r="H1332" s="1"/>
      <c r="I1332" s="2"/>
      <c r="J1332" s="2"/>
      <c r="N1332" s="2"/>
      <c r="O1332">
        <f>IFERROR(VLOOKUP($A1332,Accounts!$A:$G,3,FALSE),"")</f>
        <v>0</v>
      </c>
    </row>
    <row r="1333" spans="1:15" outlineLevel="2" x14ac:dyDescent="0.2">
      <c r="A1333" t="str">
        <f t="shared" si="20"/>
        <v/>
      </c>
      <c r="B1333" s="3"/>
      <c r="C1333" s="3"/>
      <c r="D1333" s="3"/>
      <c r="E1333" s="3"/>
      <c r="F1333" s="4"/>
      <c r="G1333" s="3"/>
      <c r="H1333" s="4"/>
      <c r="I1333" s="5"/>
      <c r="J1333" s="5"/>
      <c r="K1333" s="3"/>
      <c r="L1333" s="3"/>
      <c r="M1333" s="3"/>
      <c r="N1333" s="5"/>
      <c r="O1333">
        <f>IFERROR(VLOOKUP($A1333,Accounts!$A:$G,3,FALSE),"")</f>
        <v>0</v>
      </c>
    </row>
    <row r="1334" spans="1:15" outlineLevel="2" x14ac:dyDescent="0.2">
      <c r="A1334" t="str">
        <f t="shared" si="20"/>
        <v/>
      </c>
      <c r="F1334" s="1"/>
      <c r="H1334" s="1"/>
      <c r="I1334" s="2"/>
      <c r="J1334" s="2"/>
      <c r="N1334" s="2"/>
      <c r="O1334">
        <f>IFERROR(VLOOKUP($A1334,Accounts!$A:$G,3,FALSE),"")</f>
        <v>0</v>
      </c>
    </row>
    <row r="1335" spans="1:15" outlineLevel="2" x14ac:dyDescent="0.2">
      <c r="A1335" t="str">
        <f t="shared" si="20"/>
        <v/>
      </c>
      <c r="F1335" s="1"/>
      <c r="H1335" s="1"/>
      <c r="I1335" s="2"/>
      <c r="J1335" s="2"/>
      <c r="N1335" s="2"/>
      <c r="O1335">
        <f>IFERROR(VLOOKUP($A1335,Accounts!$A:$G,3,FALSE),"")</f>
        <v>0</v>
      </c>
    </row>
    <row r="1336" spans="1:15" outlineLevel="2" x14ac:dyDescent="0.2">
      <c r="A1336" t="str">
        <f t="shared" si="20"/>
        <v/>
      </c>
      <c r="B1336" s="3"/>
      <c r="C1336" s="3"/>
      <c r="D1336" s="3"/>
      <c r="E1336" s="3"/>
      <c r="F1336" s="4"/>
      <c r="G1336" s="3"/>
      <c r="H1336" s="4"/>
      <c r="I1336" s="5"/>
      <c r="J1336" s="5"/>
      <c r="K1336" s="3"/>
      <c r="L1336" s="3"/>
      <c r="M1336" s="3"/>
      <c r="N1336" s="5"/>
      <c r="O1336">
        <f>IFERROR(VLOOKUP($A1336,Accounts!$A:$G,3,FALSE),"")</f>
        <v>0</v>
      </c>
    </row>
    <row r="1337" spans="1:15" outlineLevel="2" x14ac:dyDescent="0.2">
      <c r="A1337" t="str">
        <f t="shared" si="20"/>
        <v/>
      </c>
      <c r="F1337" s="1"/>
      <c r="H1337" s="1"/>
      <c r="I1337" s="2"/>
      <c r="J1337" s="2"/>
      <c r="N1337" s="2"/>
      <c r="O1337">
        <f>IFERROR(VLOOKUP($A1337,Accounts!$A:$G,3,FALSE),"")</f>
        <v>0</v>
      </c>
    </row>
    <row r="1338" spans="1:15" outlineLevel="2" x14ac:dyDescent="0.2">
      <c r="A1338" t="str">
        <f t="shared" si="20"/>
        <v/>
      </c>
      <c r="F1338" s="1"/>
      <c r="H1338" s="1"/>
      <c r="I1338" s="2"/>
      <c r="J1338" s="2"/>
      <c r="N1338" s="2"/>
      <c r="O1338">
        <f>IFERROR(VLOOKUP($A1338,Accounts!$A:$G,3,FALSE),"")</f>
        <v>0</v>
      </c>
    </row>
    <row r="1339" spans="1:15" outlineLevel="2" x14ac:dyDescent="0.2">
      <c r="A1339" t="str">
        <f t="shared" si="20"/>
        <v/>
      </c>
      <c r="F1339" s="1"/>
      <c r="H1339" s="1"/>
      <c r="I1339" s="2"/>
      <c r="J1339" s="2"/>
      <c r="N1339" s="2"/>
      <c r="O1339">
        <f>IFERROR(VLOOKUP($A1339,Accounts!$A:$G,3,FALSE),"")</f>
        <v>0</v>
      </c>
    </row>
    <row r="1340" spans="1:15" outlineLevel="2" x14ac:dyDescent="0.2">
      <c r="A1340" t="str">
        <f t="shared" si="20"/>
        <v/>
      </c>
      <c r="F1340" s="1"/>
      <c r="H1340" s="1"/>
      <c r="I1340" s="2"/>
      <c r="J1340" s="2"/>
      <c r="N1340" s="2"/>
      <c r="O1340">
        <f>IFERROR(VLOOKUP($A1340,Accounts!$A:$G,3,FALSE),"")</f>
        <v>0</v>
      </c>
    </row>
    <row r="1341" spans="1:15" outlineLevel="2" x14ac:dyDescent="0.2">
      <c r="A1341" t="str">
        <f t="shared" si="20"/>
        <v/>
      </c>
      <c r="F1341" s="1"/>
      <c r="H1341" s="1"/>
      <c r="I1341" s="2"/>
      <c r="J1341" s="2"/>
      <c r="N1341" s="2"/>
      <c r="O1341">
        <f>IFERROR(VLOOKUP($A1341,Accounts!$A:$G,3,FALSE),"")</f>
        <v>0</v>
      </c>
    </row>
    <row r="1342" spans="1:15" outlineLevel="2" x14ac:dyDescent="0.2">
      <c r="A1342" t="str">
        <f t="shared" si="20"/>
        <v/>
      </c>
      <c r="F1342" s="1"/>
      <c r="H1342" s="1"/>
      <c r="I1342" s="2"/>
      <c r="J1342" s="2"/>
      <c r="N1342" s="2"/>
      <c r="O1342">
        <f>IFERROR(VLOOKUP($A1342,Accounts!$A:$G,3,FALSE),"")</f>
        <v>0</v>
      </c>
    </row>
    <row r="1343" spans="1:15" outlineLevel="2" x14ac:dyDescent="0.2">
      <c r="A1343" t="str">
        <f t="shared" si="20"/>
        <v/>
      </c>
      <c r="F1343" s="1"/>
      <c r="H1343" s="1"/>
      <c r="I1343" s="2"/>
      <c r="J1343" s="2"/>
      <c r="N1343" s="2"/>
      <c r="O1343">
        <f>IFERROR(VLOOKUP($A1343,Accounts!$A:$G,3,FALSE),"")</f>
        <v>0</v>
      </c>
    </row>
    <row r="1344" spans="1:15" outlineLevel="2" x14ac:dyDescent="0.2">
      <c r="A1344" t="str">
        <f t="shared" si="20"/>
        <v/>
      </c>
      <c r="F1344" s="1"/>
      <c r="H1344" s="1"/>
      <c r="I1344" s="2"/>
      <c r="J1344" s="2"/>
      <c r="N1344" s="2"/>
      <c r="O1344">
        <f>IFERROR(VLOOKUP($A1344,Accounts!$A:$G,3,FALSE),"")</f>
        <v>0</v>
      </c>
    </row>
    <row r="1345" spans="1:15" outlineLevel="2" x14ac:dyDescent="0.2">
      <c r="A1345" t="str">
        <f t="shared" si="20"/>
        <v/>
      </c>
      <c r="F1345" s="1"/>
      <c r="H1345" s="1"/>
      <c r="I1345" s="2"/>
      <c r="J1345" s="2"/>
      <c r="N1345" s="2"/>
      <c r="O1345">
        <f>IFERROR(VLOOKUP($A1345,Accounts!$A:$G,3,FALSE),"")</f>
        <v>0</v>
      </c>
    </row>
    <row r="1346" spans="1:15" outlineLevel="2" x14ac:dyDescent="0.2">
      <c r="A1346" t="str">
        <f t="shared" si="20"/>
        <v/>
      </c>
      <c r="F1346" s="1"/>
      <c r="H1346" s="1"/>
      <c r="I1346" s="2"/>
      <c r="J1346" s="2"/>
      <c r="N1346" s="2"/>
      <c r="O1346">
        <f>IFERROR(VLOOKUP($A1346,Accounts!$A:$G,3,FALSE),"")</f>
        <v>0</v>
      </c>
    </row>
    <row r="1347" spans="1:15" outlineLevel="2" x14ac:dyDescent="0.2">
      <c r="A1347" t="str">
        <f t="shared" si="20"/>
        <v/>
      </c>
      <c r="F1347" s="1"/>
      <c r="H1347" s="1"/>
      <c r="I1347" s="2"/>
      <c r="J1347" s="2"/>
      <c r="N1347" s="2"/>
      <c r="O1347">
        <f>IFERROR(VLOOKUP($A1347,Accounts!$A:$G,3,FALSE),"")</f>
        <v>0</v>
      </c>
    </row>
    <row r="1348" spans="1:15" outlineLevel="2" x14ac:dyDescent="0.2">
      <c r="A1348" t="str">
        <f t="shared" si="20"/>
        <v/>
      </c>
      <c r="F1348" s="1"/>
      <c r="H1348" s="1"/>
      <c r="I1348" s="2"/>
      <c r="J1348" s="2"/>
      <c r="N1348" s="2"/>
      <c r="O1348">
        <f>IFERROR(VLOOKUP($A1348,Accounts!$A:$G,3,FALSE),"")</f>
        <v>0</v>
      </c>
    </row>
    <row r="1349" spans="1:15" outlineLevel="2" x14ac:dyDescent="0.2">
      <c r="A1349" t="str">
        <f t="shared" si="20"/>
        <v/>
      </c>
      <c r="F1349" s="1"/>
      <c r="H1349" s="1"/>
      <c r="I1349" s="2"/>
      <c r="J1349" s="2"/>
      <c r="N1349" s="2"/>
      <c r="O1349">
        <f>IFERROR(VLOOKUP($A1349,Accounts!$A:$G,3,FALSE),"")</f>
        <v>0</v>
      </c>
    </row>
    <row r="1350" spans="1:15" outlineLevel="2" x14ac:dyDescent="0.2">
      <c r="A1350" t="str">
        <f t="shared" si="20"/>
        <v/>
      </c>
      <c r="F1350" s="1"/>
      <c r="H1350" s="1"/>
      <c r="I1350" s="2"/>
      <c r="J1350" s="2"/>
      <c r="N1350" s="2"/>
      <c r="O1350">
        <f>IFERROR(VLOOKUP($A1350,Accounts!$A:$G,3,FALSE),"")</f>
        <v>0</v>
      </c>
    </row>
    <row r="1351" spans="1:15" outlineLevel="2" x14ac:dyDescent="0.2">
      <c r="A1351" t="str">
        <f t="shared" si="20"/>
        <v/>
      </c>
      <c r="F1351" s="1"/>
      <c r="H1351" s="1"/>
      <c r="I1351" s="2"/>
      <c r="J1351" s="2"/>
      <c r="N1351" s="2"/>
      <c r="O1351">
        <f>IFERROR(VLOOKUP($A1351,Accounts!$A:$G,3,FALSE),"")</f>
        <v>0</v>
      </c>
    </row>
    <row r="1352" spans="1:15" outlineLevel="2" x14ac:dyDescent="0.2">
      <c r="A1352" t="str">
        <f t="shared" si="20"/>
        <v/>
      </c>
      <c r="F1352" s="1"/>
      <c r="H1352" s="1"/>
      <c r="I1352" s="2"/>
      <c r="J1352" s="2"/>
      <c r="N1352" s="2"/>
      <c r="O1352">
        <f>IFERROR(VLOOKUP($A1352,Accounts!$A:$G,3,FALSE),"")</f>
        <v>0</v>
      </c>
    </row>
    <row r="1353" spans="1:15" outlineLevel="2" x14ac:dyDescent="0.2">
      <c r="A1353" t="str">
        <f t="shared" si="20"/>
        <v/>
      </c>
      <c r="F1353" s="1"/>
      <c r="H1353" s="1"/>
      <c r="I1353" s="2"/>
      <c r="J1353" s="2"/>
      <c r="N1353" s="2"/>
      <c r="O1353">
        <f>IFERROR(VLOOKUP($A1353,Accounts!$A:$G,3,FALSE),"")</f>
        <v>0</v>
      </c>
    </row>
    <row r="1354" spans="1:15" outlineLevel="2" x14ac:dyDescent="0.2">
      <c r="A1354" t="str">
        <f t="shared" ref="A1354:A1417" si="21">IFERROR(IF(J1354=0,E1354&amp;C1354&amp;I1354,G1354&amp;B1354&amp;J1354),"")</f>
        <v/>
      </c>
      <c r="F1354" s="1"/>
      <c r="H1354" s="1"/>
      <c r="I1354" s="2"/>
      <c r="J1354" s="2"/>
      <c r="N1354" s="2"/>
      <c r="O1354">
        <f>IFERROR(VLOOKUP($A1354,Accounts!$A:$G,3,FALSE),"")</f>
        <v>0</v>
      </c>
    </row>
    <row r="1355" spans="1:15" outlineLevel="2" x14ac:dyDescent="0.2">
      <c r="A1355" t="str">
        <f t="shared" si="21"/>
        <v/>
      </c>
      <c r="F1355" s="1"/>
      <c r="H1355" s="1"/>
      <c r="I1355" s="2"/>
      <c r="J1355" s="2"/>
      <c r="N1355" s="2"/>
      <c r="O1355">
        <f>IFERROR(VLOOKUP($A1355,Accounts!$A:$G,3,FALSE),"")</f>
        <v>0</v>
      </c>
    </row>
    <row r="1356" spans="1:15" outlineLevel="2" x14ac:dyDescent="0.2">
      <c r="A1356" t="str">
        <f t="shared" si="21"/>
        <v/>
      </c>
      <c r="F1356" s="1"/>
      <c r="H1356" s="1"/>
      <c r="I1356" s="2"/>
      <c r="J1356" s="2"/>
      <c r="N1356" s="2"/>
      <c r="O1356">
        <f>IFERROR(VLOOKUP($A1356,Accounts!$A:$G,3,FALSE),"")</f>
        <v>0</v>
      </c>
    </row>
    <row r="1357" spans="1:15" outlineLevel="2" x14ac:dyDescent="0.2">
      <c r="A1357" t="str">
        <f t="shared" si="21"/>
        <v/>
      </c>
      <c r="F1357" s="1"/>
      <c r="H1357" s="1"/>
      <c r="I1357" s="2"/>
      <c r="J1357" s="2"/>
      <c r="N1357" s="2"/>
      <c r="O1357">
        <f>IFERROR(VLOOKUP($A1357,Accounts!$A:$G,3,FALSE),"")</f>
        <v>0</v>
      </c>
    </row>
    <row r="1358" spans="1:15" outlineLevel="2" x14ac:dyDescent="0.2">
      <c r="A1358" t="str">
        <f t="shared" si="21"/>
        <v/>
      </c>
      <c r="F1358" s="1"/>
      <c r="H1358" s="1"/>
      <c r="I1358" s="2"/>
      <c r="J1358" s="2"/>
      <c r="N1358" s="2"/>
      <c r="O1358">
        <f>IFERROR(VLOOKUP($A1358,Accounts!$A:$G,3,FALSE),"")</f>
        <v>0</v>
      </c>
    </row>
    <row r="1359" spans="1:15" outlineLevel="2" x14ac:dyDescent="0.2">
      <c r="A1359" t="str">
        <f t="shared" si="21"/>
        <v/>
      </c>
      <c r="F1359" s="1"/>
      <c r="H1359" s="1"/>
      <c r="I1359" s="2"/>
      <c r="J1359" s="2"/>
      <c r="N1359" s="2"/>
      <c r="O1359">
        <f>IFERROR(VLOOKUP($A1359,Accounts!$A:$G,3,FALSE),"")</f>
        <v>0</v>
      </c>
    </row>
    <row r="1360" spans="1:15" outlineLevel="2" x14ac:dyDescent="0.2">
      <c r="A1360" t="str">
        <f t="shared" si="21"/>
        <v/>
      </c>
      <c r="F1360" s="1"/>
      <c r="H1360" s="1"/>
      <c r="I1360" s="2"/>
      <c r="J1360" s="2"/>
      <c r="N1360" s="2"/>
      <c r="O1360">
        <f>IFERROR(VLOOKUP($A1360,Accounts!$A:$G,3,FALSE),"")</f>
        <v>0</v>
      </c>
    </row>
    <row r="1361" spans="1:15" outlineLevel="2" x14ac:dyDescent="0.2">
      <c r="A1361" t="str">
        <f t="shared" si="21"/>
        <v/>
      </c>
      <c r="F1361" s="1"/>
      <c r="H1361" s="1"/>
      <c r="I1361" s="2"/>
      <c r="J1361" s="2"/>
      <c r="N1361" s="2"/>
      <c r="O1361">
        <f>IFERROR(VLOOKUP($A1361,Accounts!$A:$G,3,FALSE),"")</f>
        <v>0</v>
      </c>
    </row>
    <row r="1362" spans="1:15" outlineLevel="2" x14ac:dyDescent="0.2">
      <c r="A1362" t="str">
        <f t="shared" si="21"/>
        <v/>
      </c>
      <c r="F1362" s="1"/>
      <c r="H1362" s="1"/>
      <c r="I1362" s="2"/>
      <c r="J1362" s="2"/>
      <c r="N1362" s="2"/>
      <c r="O1362">
        <f>IFERROR(VLOOKUP($A1362,Accounts!$A:$G,3,FALSE),"")</f>
        <v>0</v>
      </c>
    </row>
    <row r="1363" spans="1:15" outlineLevel="2" x14ac:dyDescent="0.2">
      <c r="A1363" t="str">
        <f t="shared" si="21"/>
        <v/>
      </c>
      <c r="F1363" s="1"/>
      <c r="H1363" s="1"/>
      <c r="I1363" s="2"/>
      <c r="J1363" s="2"/>
      <c r="N1363" s="2"/>
      <c r="O1363">
        <f>IFERROR(VLOOKUP($A1363,Accounts!$A:$G,3,FALSE),"")</f>
        <v>0</v>
      </c>
    </row>
    <row r="1364" spans="1:15" outlineLevel="2" x14ac:dyDescent="0.2">
      <c r="A1364" t="str">
        <f t="shared" si="21"/>
        <v/>
      </c>
      <c r="F1364" s="1"/>
      <c r="H1364" s="1"/>
      <c r="I1364" s="2"/>
      <c r="J1364" s="2"/>
      <c r="N1364" s="2"/>
      <c r="O1364">
        <f>IFERROR(VLOOKUP($A1364,Accounts!$A:$G,3,FALSE),"")</f>
        <v>0</v>
      </c>
    </row>
    <row r="1365" spans="1:15" outlineLevel="2" x14ac:dyDescent="0.2">
      <c r="A1365" t="str">
        <f t="shared" si="21"/>
        <v/>
      </c>
      <c r="F1365" s="1"/>
      <c r="H1365" s="1"/>
      <c r="I1365" s="2"/>
      <c r="J1365" s="2"/>
      <c r="N1365" s="2"/>
      <c r="O1365">
        <f>IFERROR(VLOOKUP($A1365,Accounts!$A:$G,3,FALSE),"")</f>
        <v>0</v>
      </c>
    </row>
    <row r="1366" spans="1:15" outlineLevel="2" x14ac:dyDescent="0.2">
      <c r="A1366" t="str">
        <f t="shared" si="21"/>
        <v/>
      </c>
      <c r="F1366" s="1"/>
      <c r="H1366" s="1"/>
      <c r="I1366" s="2"/>
      <c r="J1366" s="2"/>
      <c r="N1366" s="2"/>
      <c r="O1366">
        <f>IFERROR(VLOOKUP($A1366,Accounts!$A:$G,3,FALSE),"")</f>
        <v>0</v>
      </c>
    </row>
    <row r="1367" spans="1:15" outlineLevel="2" x14ac:dyDescent="0.2">
      <c r="A1367" t="str">
        <f t="shared" si="21"/>
        <v/>
      </c>
      <c r="F1367" s="1"/>
      <c r="H1367" s="1"/>
      <c r="I1367" s="2"/>
      <c r="J1367" s="2"/>
      <c r="N1367" s="2"/>
      <c r="O1367">
        <f>IFERROR(VLOOKUP($A1367,Accounts!$A:$G,3,FALSE),"")</f>
        <v>0</v>
      </c>
    </row>
    <row r="1368" spans="1:15" outlineLevel="2" x14ac:dyDescent="0.2">
      <c r="A1368" t="str">
        <f t="shared" si="21"/>
        <v/>
      </c>
      <c r="F1368" s="1"/>
      <c r="H1368" s="1"/>
      <c r="I1368" s="2"/>
      <c r="J1368" s="2"/>
      <c r="N1368" s="2"/>
      <c r="O1368">
        <f>IFERROR(VLOOKUP($A1368,Accounts!$A:$G,3,FALSE),"")</f>
        <v>0</v>
      </c>
    </row>
    <row r="1369" spans="1:15" outlineLevel="2" x14ac:dyDescent="0.2">
      <c r="A1369" t="str">
        <f t="shared" si="21"/>
        <v/>
      </c>
      <c r="F1369" s="1"/>
      <c r="H1369" s="1"/>
      <c r="I1369" s="2"/>
      <c r="J1369" s="2"/>
      <c r="N1369" s="2"/>
      <c r="O1369">
        <f>IFERROR(VLOOKUP($A1369,Accounts!$A:$G,3,FALSE),"")</f>
        <v>0</v>
      </c>
    </row>
    <row r="1370" spans="1:15" outlineLevel="2" x14ac:dyDescent="0.2">
      <c r="A1370" t="str">
        <f t="shared" si="21"/>
        <v/>
      </c>
      <c r="F1370" s="1"/>
      <c r="H1370" s="1"/>
      <c r="I1370" s="2"/>
      <c r="J1370" s="2"/>
      <c r="N1370" s="2"/>
      <c r="O1370">
        <f>IFERROR(VLOOKUP($A1370,Accounts!$A:$G,3,FALSE),"")</f>
        <v>0</v>
      </c>
    </row>
    <row r="1371" spans="1:15" outlineLevel="2" x14ac:dyDescent="0.2">
      <c r="A1371" t="str">
        <f t="shared" si="21"/>
        <v/>
      </c>
      <c r="F1371" s="1"/>
      <c r="H1371" s="1"/>
      <c r="I1371" s="2"/>
      <c r="J1371" s="2"/>
      <c r="N1371" s="2"/>
      <c r="O1371">
        <f>IFERROR(VLOOKUP($A1371,Accounts!$A:$G,3,FALSE),"")</f>
        <v>0</v>
      </c>
    </row>
    <row r="1372" spans="1:15" outlineLevel="2" x14ac:dyDescent="0.2">
      <c r="A1372" t="str">
        <f t="shared" si="21"/>
        <v/>
      </c>
      <c r="F1372" s="1"/>
      <c r="H1372" s="1"/>
      <c r="I1372" s="2"/>
      <c r="J1372" s="2"/>
      <c r="N1372" s="2"/>
      <c r="O1372">
        <f>IFERROR(VLOOKUP($A1372,Accounts!$A:$G,3,FALSE),"")</f>
        <v>0</v>
      </c>
    </row>
    <row r="1373" spans="1:15" outlineLevel="2" x14ac:dyDescent="0.2">
      <c r="A1373" t="str">
        <f t="shared" si="21"/>
        <v/>
      </c>
      <c r="F1373" s="1"/>
      <c r="H1373" s="1"/>
      <c r="I1373" s="2"/>
      <c r="J1373" s="2"/>
      <c r="N1373" s="2"/>
      <c r="O1373">
        <f>IFERROR(VLOOKUP($A1373,Accounts!$A:$G,3,FALSE),"")</f>
        <v>0</v>
      </c>
    </row>
    <row r="1374" spans="1:15" outlineLevel="2" x14ac:dyDescent="0.2">
      <c r="A1374" t="str">
        <f t="shared" si="21"/>
        <v/>
      </c>
      <c r="F1374" s="1"/>
      <c r="H1374" s="1"/>
      <c r="I1374" s="2"/>
      <c r="J1374" s="2"/>
      <c r="N1374" s="2"/>
      <c r="O1374">
        <f>IFERROR(VLOOKUP($A1374,Accounts!$A:$G,3,FALSE),"")</f>
        <v>0</v>
      </c>
    </row>
    <row r="1375" spans="1:15" outlineLevel="2" x14ac:dyDescent="0.2">
      <c r="A1375" t="str">
        <f t="shared" si="21"/>
        <v/>
      </c>
      <c r="F1375" s="1"/>
      <c r="H1375" s="1"/>
      <c r="I1375" s="2"/>
      <c r="J1375" s="2"/>
      <c r="N1375" s="2"/>
      <c r="O1375">
        <f>IFERROR(VLOOKUP($A1375,Accounts!$A:$G,3,FALSE),"")</f>
        <v>0</v>
      </c>
    </row>
    <row r="1376" spans="1:15" outlineLevel="2" x14ac:dyDescent="0.2">
      <c r="A1376" t="str">
        <f t="shared" si="21"/>
        <v/>
      </c>
      <c r="F1376" s="1"/>
      <c r="H1376" s="1"/>
      <c r="I1376" s="2"/>
      <c r="J1376" s="2"/>
      <c r="N1376" s="2"/>
      <c r="O1376">
        <f>IFERROR(VLOOKUP($A1376,Accounts!$A:$G,3,FALSE),"")</f>
        <v>0</v>
      </c>
    </row>
    <row r="1377" spans="1:15" outlineLevel="2" x14ac:dyDescent="0.2">
      <c r="A1377" t="str">
        <f t="shared" si="21"/>
        <v/>
      </c>
      <c r="F1377" s="1"/>
      <c r="H1377" s="1"/>
      <c r="I1377" s="2"/>
      <c r="J1377" s="2"/>
      <c r="N1377" s="2"/>
      <c r="O1377">
        <f>IFERROR(VLOOKUP($A1377,Accounts!$A:$G,3,FALSE),"")</f>
        <v>0</v>
      </c>
    </row>
    <row r="1378" spans="1:15" outlineLevel="2" x14ac:dyDescent="0.2">
      <c r="A1378" t="str">
        <f t="shared" si="21"/>
        <v/>
      </c>
      <c r="F1378" s="1"/>
      <c r="H1378" s="1"/>
      <c r="I1378" s="2"/>
      <c r="J1378" s="2"/>
      <c r="N1378" s="2"/>
      <c r="O1378">
        <f>IFERROR(VLOOKUP($A1378,Accounts!$A:$G,3,FALSE),"")</f>
        <v>0</v>
      </c>
    </row>
    <row r="1379" spans="1:15" outlineLevel="2" x14ac:dyDescent="0.2">
      <c r="A1379" t="str">
        <f t="shared" si="21"/>
        <v/>
      </c>
      <c r="F1379" s="1"/>
      <c r="H1379" s="1"/>
      <c r="I1379" s="2"/>
      <c r="J1379" s="2"/>
      <c r="N1379" s="2"/>
      <c r="O1379">
        <f>IFERROR(VLOOKUP($A1379,Accounts!$A:$G,3,FALSE),"")</f>
        <v>0</v>
      </c>
    </row>
    <row r="1380" spans="1:15" outlineLevel="2" x14ac:dyDescent="0.2">
      <c r="A1380" t="str">
        <f t="shared" si="21"/>
        <v/>
      </c>
      <c r="F1380" s="1"/>
      <c r="H1380" s="1"/>
      <c r="I1380" s="2"/>
      <c r="J1380" s="2"/>
      <c r="N1380" s="2"/>
      <c r="O1380">
        <f>IFERROR(VLOOKUP($A1380,Accounts!$A:$G,3,FALSE),"")</f>
        <v>0</v>
      </c>
    </row>
    <row r="1381" spans="1:15" outlineLevel="2" x14ac:dyDescent="0.2">
      <c r="A1381" t="str">
        <f t="shared" si="21"/>
        <v/>
      </c>
      <c r="F1381" s="1"/>
      <c r="H1381" s="1"/>
      <c r="I1381" s="2"/>
      <c r="J1381" s="2"/>
      <c r="N1381" s="2"/>
      <c r="O1381">
        <f>IFERROR(VLOOKUP($A1381,Accounts!$A:$G,3,FALSE),"")</f>
        <v>0</v>
      </c>
    </row>
    <row r="1382" spans="1:15" outlineLevel="2" x14ac:dyDescent="0.2">
      <c r="A1382" t="str">
        <f t="shared" si="21"/>
        <v/>
      </c>
      <c r="F1382" s="1"/>
      <c r="H1382" s="1"/>
      <c r="I1382" s="2"/>
      <c r="J1382" s="2"/>
      <c r="N1382" s="2"/>
      <c r="O1382">
        <f>IFERROR(VLOOKUP($A1382,Accounts!$A:$G,3,FALSE),"")</f>
        <v>0</v>
      </c>
    </row>
    <row r="1383" spans="1:15" outlineLevel="2" x14ac:dyDescent="0.2">
      <c r="A1383" t="str">
        <f t="shared" si="21"/>
        <v/>
      </c>
      <c r="F1383" s="1"/>
      <c r="H1383" s="1"/>
      <c r="I1383" s="2"/>
      <c r="J1383" s="2"/>
      <c r="N1383" s="2"/>
      <c r="O1383">
        <f>IFERROR(VLOOKUP($A1383,Accounts!$A:$G,3,FALSE),"")</f>
        <v>0</v>
      </c>
    </row>
    <row r="1384" spans="1:15" outlineLevel="2" x14ac:dyDescent="0.2">
      <c r="A1384" t="str">
        <f t="shared" si="21"/>
        <v/>
      </c>
      <c r="F1384" s="1"/>
      <c r="H1384" s="1"/>
      <c r="I1384" s="2"/>
      <c r="J1384" s="2"/>
      <c r="N1384" s="2"/>
      <c r="O1384">
        <f>IFERROR(VLOOKUP($A1384,Accounts!$A:$G,3,FALSE),"")</f>
        <v>0</v>
      </c>
    </row>
    <row r="1385" spans="1:15" outlineLevel="2" x14ac:dyDescent="0.2">
      <c r="A1385" t="str">
        <f t="shared" si="21"/>
        <v/>
      </c>
      <c r="F1385" s="1"/>
      <c r="H1385" s="1"/>
      <c r="I1385" s="2"/>
      <c r="J1385" s="2"/>
      <c r="N1385" s="2"/>
      <c r="O1385">
        <f>IFERROR(VLOOKUP($A1385,Accounts!$A:$G,3,FALSE),"")</f>
        <v>0</v>
      </c>
    </row>
    <row r="1386" spans="1:15" outlineLevel="2" x14ac:dyDescent="0.2">
      <c r="A1386" t="str">
        <f t="shared" si="21"/>
        <v/>
      </c>
      <c r="F1386" s="1"/>
      <c r="H1386" s="1"/>
      <c r="I1386" s="2"/>
      <c r="J1386" s="2"/>
      <c r="N1386" s="2"/>
      <c r="O1386">
        <f>IFERROR(VLOOKUP($A1386,Accounts!$A:$G,3,FALSE),"")</f>
        <v>0</v>
      </c>
    </row>
    <row r="1387" spans="1:15" outlineLevel="2" x14ac:dyDescent="0.2">
      <c r="A1387" t="str">
        <f t="shared" si="21"/>
        <v/>
      </c>
      <c r="F1387" s="1"/>
      <c r="H1387" s="1"/>
      <c r="I1387" s="2"/>
      <c r="J1387" s="2"/>
      <c r="N1387" s="2"/>
      <c r="O1387">
        <f>IFERROR(VLOOKUP($A1387,Accounts!$A:$G,3,FALSE),"")</f>
        <v>0</v>
      </c>
    </row>
    <row r="1388" spans="1:15" outlineLevel="2" x14ac:dyDescent="0.2">
      <c r="A1388" t="str">
        <f t="shared" si="21"/>
        <v/>
      </c>
      <c r="F1388" s="1"/>
      <c r="H1388" s="1"/>
      <c r="I1388" s="2"/>
      <c r="J1388" s="2"/>
      <c r="N1388" s="2"/>
      <c r="O1388">
        <f>IFERROR(VLOOKUP($A1388,Accounts!$A:$G,3,FALSE),"")</f>
        <v>0</v>
      </c>
    </row>
    <row r="1389" spans="1:15" outlineLevel="2" x14ac:dyDescent="0.2">
      <c r="A1389" t="str">
        <f t="shared" si="21"/>
        <v/>
      </c>
      <c r="F1389" s="1"/>
      <c r="H1389" s="1"/>
      <c r="I1389" s="2"/>
      <c r="J1389" s="2"/>
      <c r="N1389" s="2"/>
      <c r="O1389">
        <f>IFERROR(VLOOKUP($A1389,Accounts!$A:$G,3,FALSE),"")</f>
        <v>0</v>
      </c>
    </row>
    <row r="1390" spans="1:15" outlineLevel="2" x14ac:dyDescent="0.2">
      <c r="A1390" t="str">
        <f t="shared" si="21"/>
        <v/>
      </c>
      <c r="F1390" s="1"/>
      <c r="H1390" s="1"/>
      <c r="I1390" s="2"/>
      <c r="J1390" s="2"/>
      <c r="N1390" s="2"/>
      <c r="O1390">
        <f>IFERROR(VLOOKUP($A1390,Accounts!$A:$G,3,FALSE),"")</f>
        <v>0</v>
      </c>
    </row>
    <row r="1391" spans="1:15" outlineLevel="2" x14ac:dyDescent="0.2">
      <c r="A1391" t="str">
        <f t="shared" si="21"/>
        <v/>
      </c>
      <c r="F1391" s="1"/>
      <c r="H1391" s="1"/>
      <c r="I1391" s="2"/>
      <c r="J1391" s="2"/>
      <c r="N1391" s="2"/>
      <c r="O1391">
        <f>IFERROR(VLOOKUP($A1391,Accounts!$A:$G,3,FALSE),"")</f>
        <v>0</v>
      </c>
    </row>
    <row r="1392" spans="1:15" outlineLevel="2" x14ac:dyDescent="0.2">
      <c r="A1392" t="str">
        <f t="shared" si="21"/>
        <v/>
      </c>
      <c r="F1392" s="1"/>
      <c r="H1392" s="1"/>
      <c r="I1392" s="2"/>
      <c r="J1392" s="2"/>
      <c r="N1392" s="2"/>
      <c r="O1392">
        <f>IFERROR(VLOOKUP($A1392,Accounts!$A:$G,3,FALSE),"")</f>
        <v>0</v>
      </c>
    </row>
    <row r="1393" spans="1:15" outlineLevel="2" x14ac:dyDescent="0.2">
      <c r="A1393" t="str">
        <f t="shared" si="21"/>
        <v/>
      </c>
      <c r="F1393" s="1"/>
      <c r="H1393" s="1"/>
      <c r="I1393" s="2"/>
      <c r="J1393" s="2"/>
      <c r="N1393" s="2"/>
      <c r="O1393">
        <f>IFERROR(VLOOKUP($A1393,Accounts!$A:$G,3,FALSE),"")</f>
        <v>0</v>
      </c>
    </row>
    <row r="1394" spans="1:15" outlineLevel="2" x14ac:dyDescent="0.2">
      <c r="A1394" t="str">
        <f t="shared" si="21"/>
        <v/>
      </c>
      <c r="F1394" s="1"/>
      <c r="H1394" s="1"/>
      <c r="I1394" s="2"/>
      <c r="J1394" s="2"/>
      <c r="N1394" s="2"/>
      <c r="O1394">
        <f>IFERROR(VLOOKUP($A1394,Accounts!$A:$G,3,FALSE),"")</f>
        <v>0</v>
      </c>
    </row>
    <row r="1395" spans="1:15" outlineLevel="2" x14ac:dyDescent="0.2">
      <c r="A1395" t="str">
        <f t="shared" si="21"/>
        <v/>
      </c>
      <c r="F1395" s="1"/>
      <c r="H1395" s="1"/>
      <c r="I1395" s="2"/>
      <c r="J1395" s="2"/>
      <c r="N1395" s="2"/>
      <c r="O1395">
        <f>IFERROR(VLOOKUP($A1395,Accounts!$A:$G,3,FALSE),"")</f>
        <v>0</v>
      </c>
    </row>
    <row r="1396" spans="1:15" outlineLevel="2" x14ac:dyDescent="0.2">
      <c r="A1396" t="str">
        <f t="shared" si="21"/>
        <v/>
      </c>
      <c r="F1396" s="1"/>
      <c r="H1396" s="1"/>
      <c r="I1396" s="2"/>
      <c r="J1396" s="2"/>
      <c r="N1396" s="2"/>
      <c r="O1396">
        <f>IFERROR(VLOOKUP($A1396,Accounts!$A:$G,3,FALSE),"")</f>
        <v>0</v>
      </c>
    </row>
    <row r="1397" spans="1:15" outlineLevel="2" x14ac:dyDescent="0.2">
      <c r="A1397" t="str">
        <f t="shared" si="21"/>
        <v/>
      </c>
      <c r="F1397" s="1"/>
      <c r="H1397" s="1"/>
      <c r="I1397" s="2"/>
      <c r="J1397" s="2"/>
      <c r="N1397" s="2"/>
      <c r="O1397">
        <f>IFERROR(VLOOKUP($A1397,Accounts!$A:$G,3,FALSE),"")</f>
        <v>0</v>
      </c>
    </row>
    <row r="1398" spans="1:15" outlineLevel="2" x14ac:dyDescent="0.2">
      <c r="A1398" t="str">
        <f t="shared" si="21"/>
        <v/>
      </c>
      <c r="F1398" s="1"/>
      <c r="H1398" s="1"/>
      <c r="I1398" s="2"/>
      <c r="J1398" s="2"/>
      <c r="N1398" s="2"/>
      <c r="O1398">
        <f>IFERROR(VLOOKUP($A1398,Accounts!$A:$G,3,FALSE),"")</f>
        <v>0</v>
      </c>
    </row>
    <row r="1399" spans="1:15" outlineLevel="2" x14ac:dyDescent="0.2">
      <c r="A1399" t="str">
        <f t="shared" si="21"/>
        <v/>
      </c>
      <c r="F1399" s="1"/>
      <c r="H1399" s="1"/>
      <c r="I1399" s="2"/>
      <c r="J1399" s="2"/>
      <c r="N1399" s="2"/>
      <c r="O1399">
        <f>IFERROR(VLOOKUP($A1399,Accounts!$A:$G,3,FALSE),"")</f>
        <v>0</v>
      </c>
    </row>
    <row r="1400" spans="1:15" outlineLevel="2" x14ac:dyDescent="0.2">
      <c r="A1400" t="str">
        <f t="shared" si="21"/>
        <v/>
      </c>
      <c r="B1400" s="3"/>
      <c r="C1400" s="3"/>
      <c r="D1400" s="3"/>
      <c r="E1400" s="3"/>
      <c r="F1400" s="4"/>
      <c r="G1400" s="3"/>
      <c r="H1400" s="4"/>
      <c r="I1400" s="5"/>
      <c r="J1400" s="5"/>
      <c r="K1400" s="3"/>
      <c r="L1400" s="3"/>
      <c r="M1400" s="3"/>
      <c r="N1400" s="5"/>
      <c r="O1400">
        <f>IFERROR(VLOOKUP($A1400,Accounts!$A:$G,3,FALSE),"")</f>
        <v>0</v>
      </c>
    </row>
    <row r="1401" spans="1:15" outlineLevel="2" x14ac:dyDescent="0.2">
      <c r="A1401" t="str">
        <f t="shared" si="21"/>
        <v/>
      </c>
      <c r="B1401" s="6"/>
      <c r="C1401" s="6"/>
      <c r="D1401" s="6"/>
      <c r="E1401" s="6"/>
      <c r="F1401" s="7"/>
      <c r="G1401" s="6"/>
      <c r="H1401" s="7"/>
      <c r="I1401" s="8"/>
      <c r="J1401" s="8"/>
      <c r="K1401" s="6"/>
      <c r="L1401" s="6"/>
      <c r="M1401" s="6"/>
      <c r="N1401" s="8"/>
      <c r="O1401">
        <f>IFERROR(VLOOKUP($A1401,Accounts!$A:$G,3,FALSE),"")</f>
        <v>0</v>
      </c>
    </row>
    <row r="1402" spans="1:15" outlineLevel="2" x14ac:dyDescent="0.2">
      <c r="A1402" t="str">
        <f t="shared" si="21"/>
        <v/>
      </c>
      <c r="B1402" s="6"/>
      <c r="C1402" s="6"/>
      <c r="D1402" s="6"/>
      <c r="E1402" s="6"/>
      <c r="F1402" s="7"/>
      <c r="G1402" s="6"/>
      <c r="H1402" s="7"/>
      <c r="I1402" s="8"/>
      <c r="J1402" s="8"/>
      <c r="K1402" s="6"/>
      <c r="L1402" s="6"/>
      <c r="M1402" s="6"/>
      <c r="N1402" s="8"/>
      <c r="O1402">
        <f>IFERROR(VLOOKUP($A1402,Accounts!$A:$G,3,FALSE),"")</f>
        <v>0</v>
      </c>
    </row>
    <row r="1403" spans="1:15" outlineLevel="2" x14ac:dyDescent="0.2">
      <c r="A1403" t="str">
        <f t="shared" si="21"/>
        <v/>
      </c>
      <c r="B1403" s="6"/>
      <c r="C1403" s="6"/>
      <c r="D1403" s="6"/>
      <c r="E1403" s="6"/>
      <c r="F1403" s="7"/>
      <c r="G1403" s="6"/>
      <c r="H1403" s="7"/>
      <c r="I1403" s="8"/>
      <c r="J1403" s="8"/>
      <c r="K1403" s="6"/>
      <c r="L1403" s="6"/>
      <c r="M1403" s="6"/>
      <c r="N1403" s="8"/>
      <c r="O1403">
        <f>IFERROR(VLOOKUP($A1403,Accounts!$A:$G,3,FALSE),"")</f>
        <v>0</v>
      </c>
    </row>
    <row r="1404" spans="1:15" outlineLevel="2" x14ac:dyDescent="0.2">
      <c r="A1404" t="str">
        <f t="shared" si="21"/>
        <v/>
      </c>
      <c r="F1404" s="1"/>
      <c r="H1404" s="1"/>
      <c r="I1404" s="2"/>
      <c r="J1404" s="2"/>
      <c r="N1404" s="2"/>
      <c r="O1404">
        <f>IFERROR(VLOOKUP($A1404,Accounts!$A:$G,3,FALSE),"")</f>
        <v>0</v>
      </c>
    </row>
    <row r="1405" spans="1:15" outlineLevel="2" x14ac:dyDescent="0.2">
      <c r="A1405" t="str">
        <f t="shared" si="21"/>
        <v/>
      </c>
      <c r="F1405" s="1"/>
      <c r="H1405" s="1"/>
      <c r="I1405" s="2"/>
      <c r="J1405" s="2"/>
      <c r="N1405" s="2"/>
      <c r="O1405">
        <f>IFERROR(VLOOKUP($A1405,Accounts!$A:$G,3,FALSE),"")</f>
        <v>0</v>
      </c>
    </row>
    <row r="1406" spans="1:15" outlineLevel="2" x14ac:dyDescent="0.2">
      <c r="A1406" t="str">
        <f t="shared" si="21"/>
        <v/>
      </c>
      <c r="F1406" s="1"/>
      <c r="H1406" s="1"/>
      <c r="I1406" s="2"/>
      <c r="J1406" s="2"/>
      <c r="N1406" s="2"/>
      <c r="O1406">
        <f>IFERROR(VLOOKUP($A1406,Accounts!$A:$G,3,FALSE),"")</f>
        <v>0</v>
      </c>
    </row>
    <row r="1407" spans="1:15" outlineLevel="2" x14ac:dyDescent="0.2">
      <c r="A1407" t="str">
        <f t="shared" si="21"/>
        <v/>
      </c>
      <c r="F1407" s="1"/>
      <c r="H1407" s="1"/>
      <c r="I1407" s="2"/>
      <c r="J1407" s="2"/>
      <c r="N1407" s="2"/>
      <c r="O1407">
        <f>IFERROR(VLOOKUP($A1407,Accounts!$A:$G,3,FALSE),"")</f>
        <v>0</v>
      </c>
    </row>
    <row r="1408" spans="1:15" outlineLevel="2" x14ac:dyDescent="0.2">
      <c r="A1408" t="str">
        <f t="shared" si="21"/>
        <v/>
      </c>
      <c r="F1408" s="1"/>
      <c r="H1408" s="1"/>
      <c r="I1408" s="2"/>
      <c r="J1408" s="2"/>
      <c r="N1408" s="2"/>
      <c r="O1408">
        <f>IFERROR(VLOOKUP($A1408,Accounts!$A:$G,3,FALSE),"")</f>
        <v>0</v>
      </c>
    </row>
    <row r="1409" spans="1:15" outlineLevel="2" x14ac:dyDescent="0.2">
      <c r="A1409" t="str">
        <f t="shared" si="21"/>
        <v/>
      </c>
      <c r="F1409" s="1"/>
      <c r="H1409" s="1"/>
      <c r="I1409" s="2"/>
      <c r="J1409" s="2"/>
      <c r="N1409" s="2"/>
      <c r="O1409">
        <f>IFERROR(VLOOKUP($A1409,Accounts!$A:$G,3,FALSE),"")</f>
        <v>0</v>
      </c>
    </row>
    <row r="1410" spans="1:15" outlineLevel="2" x14ac:dyDescent="0.2">
      <c r="A1410" t="str">
        <f t="shared" si="21"/>
        <v/>
      </c>
      <c r="F1410" s="1"/>
      <c r="H1410" s="1"/>
      <c r="I1410" s="2"/>
      <c r="J1410" s="2"/>
      <c r="N1410" s="2"/>
      <c r="O1410">
        <f>IFERROR(VLOOKUP($A1410,Accounts!$A:$G,3,FALSE),"")</f>
        <v>0</v>
      </c>
    </row>
    <row r="1411" spans="1:15" outlineLevel="2" x14ac:dyDescent="0.2">
      <c r="A1411" t="str">
        <f t="shared" si="21"/>
        <v/>
      </c>
      <c r="F1411" s="1"/>
      <c r="H1411" s="1"/>
      <c r="I1411" s="2"/>
      <c r="J1411" s="2"/>
      <c r="N1411" s="2"/>
      <c r="O1411">
        <f>IFERROR(VLOOKUP($A1411,Accounts!$A:$G,3,FALSE),"")</f>
        <v>0</v>
      </c>
    </row>
    <row r="1412" spans="1:15" outlineLevel="2" x14ac:dyDescent="0.2">
      <c r="A1412" t="str">
        <f t="shared" si="21"/>
        <v/>
      </c>
      <c r="F1412" s="1"/>
      <c r="H1412" s="1"/>
      <c r="I1412" s="2"/>
      <c r="J1412" s="2"/>
      <c r="N1412" s="2"/>
      <c r="O1412">
        <f>IFERROR(VLOOKUP($A1412,Accounts!$A:$G,3,FALSE),"")</f>
        <v>0</v>
      </c>
    </row>
    <row r="1413" spans="1:15" outlineLevel="2" x14ac:dyDescent="0.2">
      <c r="A1413" t="str">
        <f t="shared" si="21"/>
        <v/>
      </c>
      <c r="F1413" s="1"/>
      <c r="H1413" s="1"/>
      <c r="I1413" s="2"/>
      <c r="J1413" s="2"/>
      <c r="N1413" s="2"/>
      <c r="O1413">
        <f>IFERROR(VLOOKUP($A1413,Accounts!$A:$G,3,FALSE),"")</f>
        <v>0</v>
      </c>
    </row>
    <row r="1414" spans="1:15" outlineLevel="2" x14ac:dyDescent="0.2">
      <c r="A1414" t="str">
        <f t="shared" si="21"/>
        <v/>
      </c>
      <c r="F1414" s="1"/>
      <c r="H1414" s="1"/>
      <c r="I1414" s="2"/>
      <c r="J1414" s="2"/>
      <c r="N1414" s="2"/>
      <c r="O1414">
        <f>IFERROR(VLOOKUP($A1414,Accounts!$A:$G,3,FALSE),"")</f>
        <v>0</v>
      </c>
    </row>
    <row r="1415" spans="1:15" outlineLevel="2" x14ac:dyDescent="0.2">
      <c r="A1415" t="str">
        <f t="shared" si="21"/>
        <v/>
      </c>
      <c r="F1415" s="1"/>
      <c r="H1415" s="1"/>
      <c r="I1415" s="2"/>
      <c r="J1415" s="2"/>
      <c r="N1415" s="2"/>
      <c r="O1415">
        <f>IFERROR(VLOOKUP($A1415,Accounts!$A:$G,3,FALSE),"")</f>
        <v>0</v>
      </c>
    </row>
    <row r="1416" spans="1:15" outlineLevel="2" x14ac:dyDescent="0.2">
      <c r="A1416" t="str">
        <f t="shared" si="21"/>
        <v/>
      </c>
      <c r="F1416" s="1"/>
      <c r="H1416" s="1"/>
      <c r="I1416" s="2"/>
      <c r="J1416" s="2"/>
      <c r="N1416" s="2"/>
      <c r="O1416">
        <f>IFERROR(VLOOKUP($A1416,Accounts!$A:$G,3,FALSE),"")</f>
        <v>0</v>
      </c>
    </row>
    <row r="1417" spans="1:15" outlineLevel="2" x14ac:dyDescent="0.2">
      <c r="A1417" t="str">
        <f t="shared" si="21"/>
        <v/>
      </c>
      <c r="F1417" s="1"/>
      <c r="H1417" s="1"/>
      <c r="I1417" s="2"/>
      <c r="J1417" s="2"/>
      <c r="N1417" s="2"/>
      <c r="O1417">
        <f>IFERROR(VLOOKUP($A1417,Accounts!$A:$G,3,FALSE),"")</f>
        <v>0</v>
      </c>
    </row>
    <row r="1418" spans="1:15" outlineLevel="2" x14ac:dyDescent="0.2">
      <c r="A1418" t="str">
        <f t="shared" ref="A1418:A1481" si="22">IFERROR(IF(J1418=0,E1418&amp;C1418&amp;I1418,G1418&amp;B1418&amp;J1418),"")</f>
        <v/>
      </c>
      <c r="F1418" s="1"/>
      <c r="H1418" s="1"/>
      <c r="I1418" s="2"/>
      <c r="J1418" s="2"/>
      <c r="N1418" s="2"/>
      <c r="O1418">
        <f>IFERROR(VLOOKUP($A1418,Accounts!$A:$G,3,FALSE),"")</f>
        <v>0</v>
      </c>
    </row>
    <row r="1419" spans="1:15" outlineLevel="2" x14ac:dyDescent="0.2">
      <c r="A1419" t="str">
        <f t="shared" si="22"/>
        <v/>
      </c>
      <c r="F1419" s="1"/>
      <c r="H1419" s="1"/>
      <c r="I1419" s="2"/>
      <c r="J1419" s="2"/>
      <c r="N1419" s="2"/>
      <c r="O1419">
        <f>IFERROR(VLOOKUP($A1419,Accounts!$A:$G,3,FALSE),"")</f>
        <v>0</v>
      </c>
    </row>
    <row r="1420" spans="1:15" outlineLevel="2" x14ac:dyDescent="0.2">
      <c r="A1420" t="str">
        <f t="shared" si="22"/>
        <v/>
      </c>
      <c r="F1420" s="1"/>
      <c r="H1420" s="1"/>
      <c r="I1420" s="2"/>
      <c r="J1420" s="2"/>
      <c r="N1420" s="2"/>
      <c r="O1420">
        <f>IFERROR(VLOOKUP($A1420,Accounts!$A:$G,3,FALSE),"")</f>
        <v>0</v>
      </c>
    </row>
    <row r="1421" spans="1:15" outlineLevel="2" x14ac:dyDescent="0.2">
      <c r="A1421" t="str">
        <f t="shared" si="22"/>
        <v/>
      </c>
      <c r="F1421" s="1"/>
      <c r="H1421" s="1"/>
      <c r="I1421" s="2"/>
      <c r="J1421" s="2"/>
      <c r="N1421" s="2"/>
      <c r="O1421">
        <f>IFERROR(VLOOKUP($A1421,Accounts!$A:$G,3,FALSE),"")</f>
        <v>0</v>
      </c>
    </row>
    <row r="1422" spans="1:15" outlineLevel="2" x14ac:dyDescent="0.2">
      <c r="A1422" t="str">
        <f t="shared" si="22"/>
        <v/>
      </c>
      <c r="F1422" s="1"/>
      <c r="H1422" s="1"/>
      <c r="I1422" s="2"/>
      <c r="J1422" s="2"/>
      <c r="N1422" s="2"/>
      <c r="O1422">
        <f>IFERROR(VLOOKUP($A1422,Accounts!$A:$G,3,FALSE),"")</f>
        <v>0</v>
      </c>
    </row>
    <row r="1423" spans="1:15" outlineLevel="2" x14ac:dyDescent="0.2">
      <c r="A1423" t="str">
        <f t="shared" si="22"/>
        <v/>
      </c>
      <c r="F1423" s="1"/>
      <c r="H1423" s="1"/>
      <c r="I1423" s="2"/>
      <c r="J1423" s="2"/>
      <c r="N1423" s="2"/>
      <c r="O1423">
        <f>IFERROR(VLOOKUP($A1423,Accounts!$A:$G,3,FALSE),"")</f>
        <v>0</v>
      </c>
    </row>
    <row r="1424" spans="1:15" outlineLevel="2" x14ac:dyDescent="0.2">
      <c r="A1424" t="str">
        <f t="shared" si="22"/>
        <v/>
      </c>
      <c r="F1424" s="1"/>
      <c r="H1424" s="1"/>
      <c r="I1424" s="2"/>
      <c r="J1424" s="2"/>
      <c r="N1424" s="2"/>
      <c r="O1424">
        <f>IFERROR(VLOOKUP($A1424,Accounts!$A:$G,3,FALSE),"")</f>
        <v>0</v>
      </c>
    </row>
    <row r="1425" spans="1:15" outlineLevel="2" x14ac:dyDescent="0.2">
      <c r="A1425" t="str">
        <f t="shared" si="22"/>
        <v/>
      </c>
      <c r="F1425" s="1"/>
      <c r="H1425" s="1"/>
      <c r="I1425" s="2"/>
      <c r="J1425" s="2"/>
      <c r="N1425" s="2"/>
      <c r="O1425">
        <f>IFERROR(VLOOKUP($A1425,Accounts!$A:$G,3,FALSE),"")</f>
        <v>0</v>
      </c>
    </row>
    <row r="1426" spans="1:15" outlineLevel="2" x14ac:dyDescent="0.2">
      <c r="A1426" t="str">
        <f t="shared" si="22"/>
        <v/>
      </c>
      <c r="F1426" s="1"/>
      <c r="H1426" s="1"/>
      <c r="I1426" s="2"/>
      <c r="J1426" s="2"/>
      <c r="N1426" s="2"/>
      <c r="O1426">
        <f>IFERROR(VLOOKUP($A1426,Accounts!$A:$G,3,FALSE),"")</f>
        <v>0</v>
      </c>
    </row>
    <row r="1427" spans="1:15" outlineLevel="2" x14ac:dyDescent="0.2">
      <c r="A1427" t="str">
        <f t="shared" si="22"/>
        <v/>
      </c>
      <c r="F1427" s="1"/>
      <c r="H1427" s="1"/>
      <c r="I1427" s="2"/>
      <c r="J1427" s="2"/>
      <c r="N1427" s="2"/>
      <c r="O1427">
        <f>IFERROR(VLOOKUP($A1427,Accounts!$A:$G,3,FALSE),"")</f>
        <v>0</v>
      </c>
    </row>
    <row r="1428" spans="1:15" outlineLevel="2" x14ac:dyDescent="0.2">
      <c r="A1428" t="str">
        <f t="shared" si="22"/>
        <v/>
      </c>
      <c r="F1428" s="1"/>
      <c r="H1428" s="1"/>
      <c r="I1428" s="2"/>
      <c r="J1428" s="2"/>
      <c r="N1428" s="2"/>
      <c r="O1428">
        <f>IFERROR(VLOOKUP($A1428,Accounts!$A:$G,3,FALSE),"")</f>
        <v>0</v>
      </c>
    </row>
    <row r="1429" spans="1:15" outlineLevel="2" x14ac:dyDescent="0.2">
      <c r="A1429" t="str">
        <f t="shared" si="22"/>
        <v/>
      </c>
      <c r="F1429" s="1"/>
      <c r="H1429" s="1"/>
      <c r="I1429" s="2"/>
      <c r="J1429" s="2"/>
      <c r="N1429" s="2"/>
      <c r="O1429">
        <f>IFERROR(VLOOKUP($A1429,Accounts!$A:$G,3,FALSE),"")</f>
        <v>0</v>
      </c>
    </row>
    <row r="1430" spans="1:15" outlineLevel="2" x14ac:dyDescent="0.2">
      <c r="A1430" t="str">
        <f t="shared" si="22"/>
        <v/>
      </c>
      <c r="F1430" s="1"/>
      <c r="H1430" s="1"/>
      <c r="I1430" s="2"/>
      <c r="J1430" s="2"/>
      <c r="N1430" s="2"/>
      <c r="O1430">
        <f>IFERROR(VLOOKUP($A1430,Accounts!$A:$G,3,FALSE),"")</f>
        <v>0</v>
      </c>
    </row>
    <row r="1431" spans="1:15" outlineLevel="2" x14ac:dyDescent="0.2">
      <c r="A1431" t="str">
        <f t="shared" si="22"/>
        <v/>
      </c>
      <c r="B1431" s="3"/>
      <c r="C1431" s="3"/>
      <c r="D1431" s="3"/>
      <c r="E1431" s="3"/>
      <c r="F1431" s="4"/>
      <c r="G1431" s="3"/>
      <c r="H1431" s="4"/>
      <c r="I1431" s="5"/>
      <c r="J1431" s="5"/>
      <c r="K1431" s="3"/>
      <c r="L1431" s="3"/>
      <c r="M1431" s="3"/>
      <c r="N1431" s="5"/>
      <c r="O1431">
        <f>IFERROR(VLOOKUP($A1431,Accounts!$A:$G,3,FALSE),"")</f>
        <v>0</v>
      </c>
    </row>
    <row r="1432" spans="1:15" outlineLevel="2" x14ac:dyDescent="0.2">
      <c r="A1432" t="str">
        <f t="shared" si="22"/>
        <v/>
      </c>
      <c r="B1432" s="6"/>
      <c r="C1432" s="6"/>
      <c r="D1432" s="6"/>
      <c r="E1432" s="6"/>
      <c r="F1432" s="7"/>
      <c r="G1432" s="6"/>
      <c r="H1432" s="7"/>
      <c r="I1432" s="8"/>
      <c r="J1432" s="8"/>
      <c r="K1432" s="6"/>
      <c r="L1432" s="6"/>
      <c r="M1432" s="6"/>
      <c r="N1432" s="8"/>
      <c r="O1432">
        <f>IFERROR(VLOOKUP($A1432,Accounts!$A:$G,3,FALSE),"")</f>
        <v>0</v>
      </c>
    </row>
    <row r="1433" spans="1:15" outlineLevel="2" x14ac:dyDescent="0.2">
      <c r="A1433" t="str">
        <f t="shared" si="22"/>
        <v/>
      </c>
      <c r="B1433" s="6"/>
      <c r="C1433" s="6"/>
      <c r="D1433" s="6"/>
      <c r="E1433" s="6"/>
      <c r="F1433" s="7"/>
      <c r="G1433" s="6"/>
      <c r="H1433" s="7"/>
      <c r="I1433" s="8"/>
      <c r="J1433" s="8"/>
      <c r="K1433" s="6"/>
      <c r="L1433" s="6"/>
      <c r="M1433" s="6"/>
      <c r="N1433" s="8"/>
      <c r="O1433">
        <f>IFERROR(VLOOKUP($A1433,Accounts!$A:$G,3,FALSE),"")</f>
        <v>0</v>
      </c>
    </row>
    <row r="1434" spans="1:15" outlineLevel="2" x14ac:dyDescent="0.2">
      <c r="A1434" t="str">
        <f t="shared" si="22"/>
        <v/>
      </c>
      <c r="B1434" s="6"/>
      <c r="C1434" s="6"/>
      <c r="D1434" s="6"/>
      <c r="E1434" s="6"/>
      <c r="F1434" s="7"/>
      <c r="G1434" s="6"/>
      <c r="H1434" s="7"/>
      <c r="I1434" s="8"/>
      <c r="J1434" s="8"/>
      <c r="K1434" s="6"/>
      <c r="L1434" s="6"/>
      <c r="M1434" s="6"/>
      <c r="N1434" s="8"/>
      <c r="O1434">
        <f>IFERROR(VLOOKUP($A1434,Accounts!$A:$G,3,FALSE),"")</f>
        <v>0</v>
      </c>
    </row>
    <row r="1435" spans="1:15" outlineLevel="2" x14ac:dyDescent="0.2">
      <c r="A1435" t="str">
        <f t="shared" si="22"/>
        <v/>
      </c>
      <c r="F1435" s="1"/>
      <c r="H1435" s="1"/>
      <c r="I1435" s="2"/>
      <c r="J1435" s="2"/>
      <c r="N1435" s="2"/>
      <c r="O1435">
        <f>IFERROR(VLOOKUP($A1435,Accounts!$A:$G,3,FALSE),"")</f>
        <v>0</v>
      </c>
    </row>
    <row r="1436" spans="1:15" outlineLevel="2" x14ac:dyDescent="0.2">
      <c r="A1436" t="str">
        <f t="shared" si="22"/>
        <v/>
      </c>
      <c r="F1436" s="1"/>
      <c r="H1436" s="1"/>
      <c r="I1436" s="2"/>
      <c r="J1436" s="2"/>
      <c r="N1436" s="2"/>
      <c r="O1436">
        <f>IFERROR(VLOOKUP($A1436,Accounts!$A:$G,3,FALSE),"")</f>
        <v>0</v>
      </c>
    </row>
    <row r="1437" spans="1:15" outlineLevel="2" x14ac:dyDescent="0.2">
      <c r="A1437" t="str">
        <f t="shared" si="22"/>
        <v/>
      </c>
      <c r="F1437" s="1"/>
      <c r="H1437" s="1"/>
      <c r="I1437" s="2"/>
      <c r="J1437" s="2"/>
      <c r="N1437" s="2"/>
      <c r="O1437">
        <f>IFERROR(VLOOKUP($A1437,Accounts!$A:$G,3,FALSE),"")</f>
        <v>0</v>
      </c>
    </row>
    <row r="1438" spans="1:15" outlineLevel="2" x14ac:dyDescent="0.2">
      <c r="A1438" t="str">
        <f t="shared" si="22"/>
        <v/>
      </c>
      <c r="F1438" s="1"/>
      <c r="H1438" s="1"/>
      <c r="I1438" s="2"/>
      <c r="J1438" s="2"/>
      <c r="N1438" s="2"/>
      <c r="O1438">
        <f>IFERROR(VLOOKUP($A1438,Accounts!$A:$G,3,FALSE),"")</f>
        <v>0</v>
      </c>
    </row>
    <row r="1439" spans="1:15" outlineLevel="2" x14ac:dyDescent="0.2">
      <c r="A1439" t="str">
        <f t="shared" si="22"/>
        <v/>
      </c>
      <c r="F1439" s="1"/>
      <c r="H1439" s="1"/>
      <c r="I1439" s="2"/>
      <c r="J1439" s="2"/>
      <c r="N1439" s="2"/>
      <c r="O1439">
        <f>IFERROR(VLOOKUP($A1439,Accounts!$A:$G,3,FALSE),"")</f>
        <v>0</v>
      </c>
    </row>
    <row r="1440" spans="1:15" outlineLevel="2" x14ac:dyDescent="0.2">
      <c r="A1440" t="str">
        <f t="shared" si="22"/>
        <v/>
      </c>
      <c r="F1440" s="1"/>
      <c r="H1440" s="1"/>
      <c r="I1440" s="2"/>
      <c r="J1440" s="2"/>
      <c r="N1440" s="2"/>
      <c r="O1440">
        <f>IFERROR(VLOOKUP($A1440,Accounts!$A:$G,3,FALSE),"")</f>
        <v>0</v>
      </c>
    </row>
    <row r="1441" spans="1:15" outlineLevel="2" x14ac:dyDescent="0.2">
      <c r="A1441" t="str">
        <f t="shared" si="22"/>
        <v/>
      </c>
      <c r="F1441" s="1"/>
      <c r="H1441" s="1"/>
      <c r="I1441" s="2"/>
      <c r="J1441" s="2"/>
      <c r="N1441" s="2"/>
      <c r="O1441">
        <f>IFERROR(VLOOKUP($A1441,Accounts!$A:$G,3,FALSE),"")</f>
        <v>0</v>
      </c>
    </row>
    <row r="1442" spans="1:15" outlineLevel="2" x14ac:dyDescent="0.2">
      <c r="A1442" t="str">
        <f t="shared" si="22"/>
        <v/>
      </c>
      <c r="F1442" s="1"/>
      <c r="H1442" s="1"/>
      <c r="I1442" s="2"/>
      <c r="J1442" s="2"/>
      <c r="N1442" s="2"/>
      <c r="O1442">
        <f>IFERROR(VLOOKUP($A1442,Accounts!$A:$G,3,FALSE),"")</f>
        <v>0</v>
      </c>
    </row>
    <row r="1443" spans="1:15" outlineLevel="2" x14ac:dyDescent="0.2">
      <c r="A1443" t="str">
        <f t="shared" si="22"/>
        <v/>
      </c>
      <c r="F1443" s="1"/>
      <c r="H1443" s="1"/>
      <c r="I1443" s="2"/>
      <c r="J1443" s="2"/>
      <c r="N1443" s="2"/>
      <c r="O1443">
        <f>IFERROR(VLOOKUP($A1443,Accounts!$A:$G,3,FALSE),"")</f>
        <v>0</v>
      </c>
    </row>
    <row r="1444" spans="1:15" outlineLevel="2" x14ac:dyDescent="0.2">
      <c r="A1444" t="str">
        <f t="shared" si="22"/>
        <v/>
      </c>
      <c r="F1444" s="1"/>
      <c r="H1444" s="1"/>
      <c r="I1444" s="2"/>
      <c r="J1444" s="2"/>
      <c r="N1444" s="2"/>
      <c r="O1444">
        <f>IFERROR(VLOOKUP($A1444,Accounts!$A:$G,3,FALSE),"")</f>
        <v>0</v>
      </c>
    </row>
    <row r="1445" spans="1:15" outlineLevel="2" x14ac:dyDescent="0.2">
      <c r="A1445" t="str">
        <f t="shared" si="22"/>
        <v/>
      </c>
      <c r="F1445" s="1"/>
      <c r="H1445" s="1"/>
      <c r="I1445" s="2"/>
      <c r="J1445" s="2"/>
      <c r="N1445" s="2"/>
      <c r="O1445">
        <f>IFERROR(VLOOKUP($A1445,Accounts!$A:$G,3,FALSE),"")</f>
        <v>0</v>
      </c>
    </row>
    <row r="1446" spans="1:15" outlineLevel="2" x14ac:dyDescent="0.2">
      <c r="A1446" t="str">
        <f t="shared" si="22"/>
        <v/>
      </c>
      <c r="F1446" s="1"/>
      <c r="H1446" s="1"/>
      <c r="I1446" s="2"/>
      <c r="J1446" s="2"/>
      <c r="N1446" s="2"/>
      <c r="O1446">
        <f>IFERROR(VLOOKUP($A1446,Accounts!$A:$G,3,FALSE),"")</f>
        <v>0</v>
      </c>
    </row>
    <row r="1447" spans="1:15" outlineLevel="2" x14ac:dyDescent="0.2">
      <c r="A1447" t="str">
        <f t="shared" si="22"/>
        <v/>
      </c>
      <c r="B1447" s="3"/>
      <c r="C1447" s="3"/>
      <c r="D1447" s="3"/>
      <c r="E1447" s="3"/>
      <c r="F1447" s="4"/>
      <c r="G1447" s="3"/>
      <c r="H1447" s="4"/>
      <c r="I1447" s="5"/>
      <c r="J1447" s="5"/>
      <c r="K1447" s="3"/>
      <c r="L1447" s="3"/>
      <c r="M1447" s="3"/>
      <c r="N1447" s="5"/>
      <c r="O1447">
        <f>IFERROR(VLOOKUP($A1447,Accounts!$A:$G,3,FALSE),"")</f>
        <v>0</v>
      </c>
    </row>
    <row r="1448" spans="1:15" outlineLevel="2" x14ac:dyDescent="0.2">
      <c r="A1448" t="str">
        <f t="shared" si="22"/>
        <v/>
      </c>
      <c r="B1448" s="6"/>
      <c r="C1448" s="6"/>
      <c r="D1448" s="6"/>
      <c r="E1448" s="6"/>
      <c r="F1448" s="7"/>
      <c r="G1448" s="6"/>
      <c r="H1448" s="7"/>
      <c r="I1448" s="8"/>
      <c r="J1448" s="8"/>
      <c r="K1448" s="6"/>
      <c r="L1448" s="6"/>
      <c r="M1448" s="6"/>
      <c r="N1448" s="8"/>
      <c r="O1448">
        <f>IFERROR(VLOOKUP($A1448,Accounts!$A:$G,3,FALSE),"")</f>
        <v>0</v>
      </c>
    </row>
    <row r="1449" spans="1:15" outlineLevel="2" x14ac:dyDescent="0.2">
      <c r="A1449" t="str">
        <f t="shared" si="22"/>
        <v/>
      </c>
      <c r="B1449" s="6"/>
      <c r="C1449" s="6"/>
      <c r="D1449" s="6"/>
      <c r="E1449" s="6"/>
      <c r="F1449" s="7"/>
      <c r="G1449" s="6"/>
      <c r="H1449" s="7"/>
      <c r="I1449" s="8"/>
      <c r="J1449" s="8"/>
      <c r="K1449" s="6"/>
      <c r="L1449" s="6"/>
      <c r="M1449" s="6"/>
      <c r="N1449" s="8"/>
      <c r="O1449">
        <f>IFERROR(VLOOKUP($A1449,Accounts!$A:$G,3,FALSE),"")</f>
        <v>0</v>
      </c>
    </row>
    <row r="1450" spans="1:15" outlineLevel="2" x14ac:dyDescent="0.2">
      <c r="A1450" t="str">
        <f t="shared" si="22"/>
        <v/>
      </c>
      <c r="B1450" s="6"/>
      <c r="C1450" s="6"/>
      <c r="D1450" s="6"/>
      <c r="E1450" s="6"/>
      <c r="F1450" s="7"/>
      <c r="G1450" s="6"/>
      <c r="H1450" s="7"/>
      <c r="I1450" s="8"/>
      <c r="J1450" s="8"/>
      <c r="K1450" s="6"/>
      <c r="L1450" s="6"/>
      <c r="M1450" s="6"/>
      <c r="N1450" s="8"/>
      <c r="O1450">
        <f>IFERROR(VLOOKUP($A1450,Accounts!$A:$G,3,FALSE),"")</f>
        <v>0</v>
      </c>
    </row>
    <row r="1451" spans="1:15" outlineLevel="2" x14ac:dyDescent="0.2">
      <c r="A1451" t="str">
        <f t="shared" si="22"/>
        <v/>
      </c>
      <c r="F1451" s="1"/>
      <c r="H1451" s="1"/>
      <c r="I1451" s="2"/>
      <c r="J1451" s="2"/>
      <c r="N1451" s="2"/>
      <c r="O1451">
        <f>IFERROR(VLOOKUP($A1451,Accounts!$A:$G,3,FALSE),"")</f>
        <v>0</v>
      </c>
    </row>
    <row r="1452" spans="1:15" outlineLevel="2" x14ac:dyDescent="0.2">
      <c r="A1452" t="str">
        <f t="shared" si="22"/>
        <v/>
      </c>
      <c r="F1452" s="1"/>
      <c r="H1452" s="1"/>
      <c r="I1452" s="2"/>
      <c r="J1452" s="2"/>
      <c r="N1452" s="2"/>
      <c r="O1452">
        <f>IFERROR(VLOOKUP($A1452,Accounts!$A:$G,3,FALSE),"")</f>
        <v>0</v>
      </c>
    </row>
    <row r="1453" spans="1:15" outlineLevel="2" x14ac:dyDescent="0.2">
      <c r="A1453" t="str">
        <f t="shared" si="22"/>
        <v/>
      </c>
      <c r="F1453" s="1"/>
      <c r="H1453" s="1"/>
      <c r="I1453" s="2"/>
      <c r="J1453" s="2"/>
      <c r="N1453" s="2"/>
      <c r="O1453">
        <f>IFERROR(VLOOKUP($A1453,Accounts!$A:$G,3,FALSE),"")</f>
        <v>0</v>
      </c>
    </row>
    <row r="1454" spans="1:15" outlineLevel="2" x14ac:dyDescent="0.2">
      <c r="A1454" t="str">
        <f t="shared" si="22"/>
        <v/>
      </c>
      <c r="F1454" s="1"/>
      <c r="H1454" s="1"/>
      <c r="I1454" s="2"/>
      <c r="J1454" s="2"/>
      <c r="N1454" s="2"/>
      <c r="O1454">
        <f>IFERROR(VLOOKUP($A1454,Accounts!$A:$G,3,FALSE),"")</f>
        <v>0</v>
      </c>
    </row>
    <row r="1455" spans="1:15" outlineLevel="2" x14ac:dyDescent="0.2">
      <c r="A1455" t="str">
        <f t="shared" si="22"/>
        <v/>
      </c>
      <c r="F1455" s="1"/>
      <c r="H1455" s="1"/>
      <c r="I1455" s="2"/>
      <c r="J1455" s="2"/>
      <c r="N1455" s="2"/>
      <c r="O1455">
        <f>IFERROR(VLOOKUP($A1455,Accounts!$A:$G,3,FALSE),"")</f>
        <v>0</v>
      </c>
    </row>
    <row r="1456" spans="1:15" outlineLevel="2" x14ac:dyDescent="0.2">
      <c r="A1456" t="str">
        <f t="shared" si="22"/>
        <v/>
      </c>
      <c r="F1456" s="1"/>
      <c r="H1456" s="1"/>
      <c r="I1456" s="2"/>
      <c r="J1456" s="2"/>
      <c r="N1456" s="2"/>
      <c r="O1456">
        <f>IFERROR(VLOOKUP($A1456,Accounts!$A:$G,3,FALSE),"")</f>
        <v>0</v>
      </c>
    </row>
    <row r="1457" spans="1:15" outlineLevel="2" x14ac:dyDescent="0.2">
      <c r="A1457" t="str">
        <f t="shared" si="22"/>
        <v/>
      </c>
      <c r="F1457" s="1"/>
      <c r="H1457" s="1"/>
      <c r="I1457" s="2"/>
      <c r="J1457" s="2"/>
      <c r="N1457" s="2"/>
      <c r="O1457">
        <f>IFERROR(VLOOKUP($A1457,Accounts!$A:$G,3,FALSE),"")</f>
        <v>0</v>
      </c>
    </row>
    <row r="1458" spans="1:15" outlineLevel="2" x14ac:dyDescent="0.2">
      <c r="A1458" t="str">
        <f t="shared" si="22"/>
        <v/>
      </c>
      <c r="F1458" s="1"/>
      <c r="H1458" s="1"/>
      <c r="I1458" s="2"/>
      <c r="J1458" s="2"/>
      <c r="N1458" s="2"/>
      <c r="O1458">
        <f>IFERROR(VLOOKUP($A1458,Accounts!$A:$G,3,FALSE),"")</f>
        <v>0</v>
      </c>
    </row>
    <row r="1459" spans="1:15" outlineLevel="2" x14ac:dyDescent="0.2">
      <c r="A1459" t="str">
        <f t="shared" si="22"/>
        <v/>
      </c>
      <c r="F1459" s="1"/>
      <c r="H1459" s="1"/>
      <c r="I1459" s="2"/>
      <c r="J1459" s="2"/>
      <c r="N1459" s="2"/>
      <c r="O1459">
        <f>IFERROR(VLOOKUP($A1459,Accounts!$A:$G,3,FALSE),"")</f>
        <v>0</v>
      </c>
    </row>
    <row r="1460" spans="1:15" outlineLevel="2" x14ac:dyDescent="0.2">
      <c r="A1460" t="str">
        <f t="shared" si="22"/>
        <v/>
      </c>
      <c r="F1460" s="1"/>
      <c r="H1460" s="1"/>
      <c r="I1460" s="2"/>
      <c r="J1460" s="2"/>
      <c r="N1460" s="2"/>
      <c r="O1460">
        <f>IFERROR(VLOOKUP($A1460,Accounts!$A:$G,3,FALSE),"")</f>
        <v>0</v>
      </c>
    </row>
    <row r="1461" spans="1:15" outlineLevel="2" x14ac:dyDescent="0.2">
      <c r="A1461" t="str">
        <f t="shared" si="22"/>
        <v/>
      </c>
      <c r="F1461" s="1"/>
      <c r="H1461" s="1"/>
      <c r="I1461" s="2"/>
      <c r="J1461" s="2"/>
      <c r="N1461" s="2"/>
      <c r="O1461">
        <f>IFERROR(VLOOKUP($A1461,Accounts!$A:$G,3,FALSE),"")</f>
        <v>0</v>
      </c>
    </row>
    <row r="1462" spans="1:15" outlineLevel="2" x14ac:dyDescent="0.2">
      <c r="A1462" t="str">
        <f t="shared" si="22"/>
        <v/>
      </c>
      <c r="F1462" s="1"/>
      <c r="H1462" s="1"/>
      <c r="I1462" s="2"/>
      <c r="J1462" s="2"/>
      <c r="N1462" s="2"/>
      <c r="O1462">
        <f>IFERROR(VLOOKUP($A1462,Accounts!$A:$G,3,FALSE),"")</f>
        <v>0</v>
      </c>
    </row>
    <row r="1463" spans="1:15" outlineLevel="2" x14ac:dyDescent="0.2">
      <c r="A1463" t="str">
        <f t="shared" si="22"/>
        <v/>
      </c>
      <c r="F1463" s="1"/>
      <c r="H1463" s="1"/>
      <c r="I1463" s="2"/>
      <c r="J1463" s="2"/>
      <c r="N1463" s="2"/>
      <c r="O1463">
        <f>IFERROR(VLOOKUP($A1463,Accounts!$A:$G,3,FALSE),"")</f>
        <v>0</v>
      </c>
    </row>
    <row r="1464" spans="1:15" outlineLevel="2" x14ac:dyDescent="0.2">
      <c r="A1464" t="str">
        <f t="shared" si="22"/>
        <v/>
      </c>
      <c r="F1464" s="1"/>
      <c r="H1464" s="1"/>
      <c r="I1464" s="2"/>
      <c r="J1464" s="2"/>
      <c r="N1464" s="2"/>
      <c r="O1464">
        <f>IFERROR(VLOOKUP($A1464,Accounts!$A:$G,3,FALSE),"")</f>
        <v>0</v>
      </c>
    </row>
    <row r="1465" spans="1:15" outlineLevel="2" x14ac:dyDescent="0.2">
      <c r="A1465" t="str">
        <f t="shared" si="22"/>
        <v/>
      </c>
      <c r="F1465" s="1"/>
      <c r="H1465" s="1"/>
      <c r="I1465" s="2"/>
      <c r="J1465" s="2"/>
      <c r="N1465" s="2"/>
      <c r="O1465">
        <f>IFERROR(VLOOKUP($A1465,Accounts!$A:$G,3,FALSE),"")</f>
        <v>0</v>
      </c>
    </row>
    <row r="1466" spans="1:15" outlineLevel="2" x14ac:dyDescent="0.2">
      <c r="A1466" t="str">
        <f t="shared" si="22"/>
        <v/>
      </c>
      <c r="F1466" s="1"/>
      <c r="H1466" s="1"/>
      <c r="I1466" s="2"/>
      <c r="J1466" s="2"/>
      <c r="N1466" s="2"/>
      <c r="O1466">
        <f>IFERROR(VLOOKUP($A1466,Accounts!$A:$G,3,FALSE),"")</f>
        <v>0</v>
      </c>
    </row>
    <row r="1467" spans="1:15" outlineLevel="2" x14ac:dyDescent="0.2">
      <c r="A1467" t="str">
        <f t="shared" si="22"/>
        <v/>
      </c>
      <c r="F1467" s="1"/>
      <c r="H1467" s="1"/>
      <c r="I1467" s="2"/>
      <c r="J1467" s="2"/>
      <c r="N1467" s="2"/>
      <c r="O1467">
        <f>IFERROR(VLOOKUP($A1467,Accounts!$A:$G,3,FALSE),"")</f>
        <v>0</v>
      </c>
    </row>
    <row r="1468" spans="1:15" outlineLevel="2" x14ac:dyDescent="0.2">
      <c r="A1468" t="str">
        <f t="shared" si="22"/>
        <v/>
      </c>
      <c r="F1468" s="1"/>
      <c r="H1468" s="1"/>
      <c r="I1468" s="2"/>
      <c r="J1468" s="2"/>
      <c r="N1468" s="2"/>
      <c r="O1468">
        <f>IFERROR(VLOOKUP($A1468,Accounts!$A:$G,3,FALSE),"")</f>
        <v>0</v>
      </c>
    </row>
    <row r="1469" spans="1:15" outlineLevel="2" x14ac:dyDescent="0.2">
      <c r="A1469" t="str">
        <f t="shared" si="22"/>
        <v/>
      </c>
      <c r="F1469" s="1"/>
      <c r="H1469" s="1"/>
      <c r="I1469" s="2"/>
      <c r="J1469" s="2"/>
      <c r="N1469" s="2"/>
      <c r="O1469">
        <f>IFERROR(VLOOKUP($A1469,Accounts!$A:$G,3,FALSE),"")</f>
        <v>0</v>
      </c>
    </row>
    <row r="1470" spans="1:15" outlineLevel="2" x14ac:dyDescent="0.2">
      <c r="A1470" t="str">
        <f t="shared" si="22"/>
        <v/>
      </c>
      <c r="F1470" s="1"/>
      <c r="H1470" s="1"/>
      <c r="I1470" s="2"/>
      <c r="J1470" s="2"/>
      <c r="N1470" s="2"/>
      <c r="O1470">
        <f>IFERROR(VLOOKUP($A1470,Accounts!$A:$G,3,FALSE),"")</f>
        <v>0</v>
      </c>
    </row>
    <row r="1471" spans="1:15" outlineLevel="2" x14ac:dyDescent="0.2">
      <c r="A1471" t="str">
        <f t="shared" si="22"/>
        <v/>
      </c>
      <c r="F1471" s="1"/>
      <c r="H1471" s="1"/>
      <c r="I1471" s="2"/>
      <c r="J1471" s="2"/>
      <c r="N1471" s="2"/>
      <c r="O1471">
        <f>IFERROR(VLOOKUP($A1471,Accounts!$A:$G,3,FALSE),"")</f>
        <v>0</v>
      </c>
    </row>
    <row r="1472" spans="1:15" outlineLevel="2" x14ac:dyDescent="0.2">
      <c r="A1472" t="str">
        <f t="shared" si="22"/>
        <v/>
      </c>
      <c r="F1472" s="1"/>
      <c r="H1472" s="1"/>
      <c r="I1472" s="2"/>
      <c r="J1472" s="2"/>
      <c r="N1472" s="2"/>
      <c r="O1472">
        <f>IFERROR(VLOOKUP($A1472,Accounts!$A:$G,3,FALSE),"")</f>
        <v>0</v>
      </c>
    </row>
    <row r="1473" spans="1:15" outlineLevel="2" x14ac:dyDescent="0.2">
      <c r="A1473" t="str">
        <f t="shared" si="22"/>
        <v/>
      </c>
      <c r="F1473" s="1"/>
      <c r="H1473" s="1"/>
      <c r="I1473" s="2"/>
      <c r="J1473" s="2"/>
      <c r="N1473" s="2"/>
      <c r="O1473">
        <f>IFERROR(VLOOKUP($A1473,Accounts!$A:$G,3,FALSE),"")</f>
        <v>0</v>
      </c>
    </row>
    <row r="1474" spans="1:15" outlineLevel="2" x14ac:dyDescent="0.2">
      <c r="A1474" t="str">
        <f t="shared" si="22"/>
        <v/>
      </c>
      <c r="F1474" s="1"/>
      <c r="H1474" s="1"/>
      <c r="I1474" s="2"/>
      <c r="J1474" s="2"/>
      <c r="N1474" s="2"/>
      <c r="O1474">
        <f>IFERROR(VLOOKUP($A1474,Accounts!$A:$G,3,FALSE),"")</f>
        <v>0</v>
      </c>
    </row>
    <row r="1475" spans="1:15" outlineLevel="2" x14ac:dyDescent="0.2">
      <c r="A1475" t="str">
        <f t="shared" si="22"/>
        <v/>
      </c>
      <c r="F1475" s="1"/>
      <c r="H1475" s="1"/>
      <c r="I1475" s="2"/>
      <c r="J1475" s="2"/>
      <c r="N1475" s="2"/>
      <c r="O1475">
        <f>IFERROR(VLOOKUP($A1475,Accounts!$A:$G,3,FALSE),"")</f>
        <v>0</v>
      </c>
    </row>
    <row r="1476" spans="1:15" outlineLevel="2" x14ac:dyDescent="0.2">
      <c r="A1476" t="str">
        <f t="shared" si="22"/>
        <v/>
      </c>
      <c r="F1476" s="1"/>
      <c r="H1476" s="1"/>
      <c r="I1476" s="2"/>
      <c r="J1476" s="2"/>
      <c r="N1476" s="2"/>
      <c r="O1476">
        <f>IFERROR(VLOOKUP($A1476,Accounts!$A:$G,3,FALSE),"")</f>
        <v>0</v>
      </c>
    </row>
    <row r="1477" spans="1:15" outlineLevel="2" x14ac:dyDescent="0.2">
      <c r="A1477" t="str">
        <f t="shared" si="22"/>
        <v/>
      </c>
      <c r="F1477" s="1"/>
      <c r="H1477" s="1"/>
      <c r="I1477" s="2"/>
      <c r="J1477" s="2"/>
      <c r="N1477" s="2"/>
      <c r="O1477">
        <f>IFERROR(VLOOKUP($A1477,Accounts!$A:$G,3,FALSE),"")</f>
        <v>0</v>
      </c>
    </row>
    <row r="1478" spans="1:15" outlineLevel="2" x14ac:dyDescent="0.2">
      <c r="A1478" t="str">
        <f t="shared" si="22"/>
        <v/>
      </c>
      <c r="F1478" s="1"/>
      <c r="H1478" s="1"/>
      <c r="I1478" s="2"/>
      <c r="J1478" s="2"/>
      <c r="N1478" s="2"/>
      <c r="O1478">
        <f>IFERROR(VLOOKUP($A1478,Accounts!$A:$G,3,FALSE),"")</f>
        <v>0</v>
      </c>
    </row>
    <row r="1479" spans="1:15" outlineLevel="2" x14ac:dyDescent="0.2">
      <c r="A1479" t="str">
        <f t="shared" si="22"/>
        <v/>
      </c>
      <c r="F1479" s="1"/>
      <c r="H1479" s="1"/>
      <c r="I1479" s="2"/>
      <c r="J1479" s="2"/>
      <c r="N1479" s="2"/>
      <c r="O1479">
        <f>IFERROR(VLOOKUP($A1479,Accounts!$A:$G,3,FALSE),"")</f>
        <v>0</v>
      </c>
    </row>
    <row r="1480" spans="1:15" outlineLevel="2" x14ac:dyDescent="0.2">
      <c r="A1480" t="str">
        <f t="shared" si="22"/>
        <v/>
      </c>
      <c r="F1480" s="1"/>
      <c r="H1480" s="1"/>
      <c r="I1480" s="2"/>
      <c r="J1480" s="2"/>
      <c r="N1480" s="2"/>
      <c r="O1480">
        <f>IFERROR(VLOOKUP($A1480,Accounts!$A:$G,3,FALSE),"")</f>
        <v>0</v>
      </c>
    </row>
    <row r="1481" spans="1:15" outlineLevel="2" x14ac:dyDescent="0.2">
      <c r="A1481" t="str">
        <f t="shared" si="22"/>
        <v/>
      </c>
      <c r="F1481" s="1"/>
      <c r="H1481" s="1"/>
      <c r="I1481" s="2"/>
      <c r="J1481" s="2"/>
      <c r="N1481" s="2"/>
      <c r="O1481">
        <f>IFERROR(VLOOKUP($A1481,Accounts!$A:$G,3,FALSE),"")</f>
        <v>0</v>
      </c>
    </row>
    <row r="1482" spans="1:15" outlineLevel="2" x14ac:dyDescent="0.2">
      <c r="A1482" t="str">
        <f t="shared" ref="A1482:A1545" si="23">IFERROR(IF(J1482=0,E1482&amp;C1482&amp;I1482,G1482&amp;B1482&amp;J1482),"")</f>
        <v/>
      </c>
      <c r="F1482" s="1"/>
      <c r="H1482" s="1"/>
      <c r="I1482" s="2"/>
      <c r="J1482" s="2"/>
      <c r="N1482" s="2"/>
      <c r="O1482">
        <f>IFERROR(VLOOKUP($A1482,Accounts!$A:$G,3,FALSE),"")</f>
        <v>0</v>
      </c>
    </row>
    <row r="1483" spans="1:15" outlineLevel="2" x14ac:dyDescent="0.2">
      <c r="A1483" t="str">
        <f t="shared" si="23"/>
        <v/>
      </c>
      <c r="F1483" s="1"/>
      <c r="H1483" s="1"/>
      <c r="I1483" s="2"/>
      <c r="J1483" s="2"/>
      <c r="N1483" s="2"/>
      <c r="O1483">
        <f>IFERROR(VLOOKUP($A1483,Accounts!$A:$G,3,FALSE),"")</f>
        <v>0</v>
      </c>
    </row>
    <row r="1484" spans="1:15" outlineLevel="2" x14ac:dyDescent="0.2">
      <c r="A1484" t="str">
        <f t="shared" si="23"/>
        <v/>
      </c>
      <c r="F1484" s="1"/>
      <c r="H1484" s="1"/>
      <c r="I1484" s="2"/>
      <c r="J1484" s="2"/>
      <c r="N1484" s="2"/>
      <c r="O1484">
        <f>IFERROR(VLOOKUP($A1484,Accounts!$A:$G,3,FALSE),"")</f>
        <v>0</v>
      </c>
    </row>
    <row r="1485" spans="1:15" outlineLevel="2" x14ac:dyDescent="0.2">
      <c r="A1485" t="str">
        <f t="shared" si="23"/>
        <v/>
      </c>
      <c r="F1485" s="1"/>
      <c r="H1485" s="1"/>
      <c r="I1485" s="2"/>
      <c r="J1485" s="2"/>
      <c r="N1485" s="2"/>
      <c r="O1485">
        <f>IFERROR(VLOOKUP($A1485,Accounts!$A:$G,3,FALSE),"")</f>
        <v>0</v>
      </c>
    </row>
    <row r="1486" spans="1:15" outlineLevel="2" x14ac:dyDescent="0.2">
      <c r="A1486" t="str">
        <f t="shared" si="23"/>
        <v/>
      </c>
      <c r="F1486" s="1"/>
      <c r="H1486" s="1"/>
      <c r="I1486" s="2"/>
      <c r="J1486" s="2"/>
      <c r="N1486" s="2"/>
      <c r="O1486">
        <f>IFERROR(VLOOKUP($A1486,Accounts!$A:$G,3,FALSE),"")</f>
        <v>0</v>
      </c>
    </row>
    <row r="1487" spans="1:15" outlineLevel="2" x14ac:dyDescent="0.2">
      <c r="A1487" t="str">
        <f t="shared" si="23"/>
        <v/>
      </c>
      <c r="F1487" s="1"/>
      <c r="H1487" s="1"/>
      <c r="I1487" s="2"/>
      <c r="J1487" s="2"/>
      <c r="N1487" s="2"/>
      <c r="O1487">
        <f>IFERROR(VLOOKUP($A1487,Accounts!$A:$G,3,FALSE),"")</f>
        <v>0</v>
      </c>
    </row>
    <row r="1488" spans="1:15" outlineLevel="2" x14ac:dyDescent="0.2">
      <c r="A1488" t="str">
        <f t="shared" si="23"/>
        <v/>
      </c>
      <c r="F1488" s="1"/>
      <c r="H1488" s="1"/>
      <c r="I1488" s="2"/>
      <c r="J1488" s="2"/>
      <c r="N1488" s="2"/>
      <c r="O1488">
        <f>IFERROR(VLOOKUP($A1488,Accounts!$A:$G,3,FALSE),"")</f>
        <v>0</v>
      </c>
    </row>
    <row r="1489" spans="1:15" outlineLevel="2" x14ac:dyDescent="0.2">
      <c r="A1489" t="str">
        <f t="shared" si="23"/>
        <v/>
      </c>
      <c r="F1489" s="1"/>
      <c r="H1489" s="1"/>
      <c r="I1489" s="2"/>
      <c r="J1489" s="2"/>
      <c r="N1489" s="2"/>
      <c r="O1489">
        <f>IFERROR(VLOOKUP($A1489,Accounts!$A:$G,3,FALSE),"")</f>
        <v>0</v>
      </c>
    </row>
    <row r="1490" spans="1:15" outlineLevel="2" x14ac:dyDescent="0.2">
      <c r="A1490" t="str">
        <f t="shared" si="23"/>
        <v/>
      </c>
      <c r="F1490" s="1"/>
      <c r="H1490" s="1"/>
      <c r="I1490" s="2"/>
      <c r="J1490" s="2"/>
      <c r="N1490" s="2"/>
      <c r="O1490">
        <f>IFERROR(VLOOKUP($A1490,Accounts!$A:$G,3,FALSE),"")</f>
        <v>0</v>
      </c>
    </row>
    <row r="1491" spans="1:15" outlineLevel="2" x14ac:dyDescent="0.2">
      <c r="A1491" t="str">
        <f t="shared" si="23"/>
        <v/>
      </c>
      <c r="B1491" s="3"/>
      <c r="C1491" s="3"/>
      <c r="D1491" s="3"/>
      <c r="E1491" s="3"/>
      <c r="F1491" s="4"/>
      <c r="G1491" s="3"/>
      <c r="H1491" s="4"/>
      <c r="I1491" s="5"/>
      <c r="J1491" s="5"/>
      <c r="K1491" s="3"/>
      <c r="L1491" s="3"/>
      <c r="M1491" s="3"/>
      <c r="N1491" s="5"/>
      <c r="O1491">
        <f>IFERROR(VLOOKUP($A1491,Accounts!$A:$G,3,FALSE),"")</f>
        <v>0</v>
      </c>
    </row>
    <row r="1492" spans="1:15" outlineLevel="2" x14ac:dyDescent="0.2">
      <c r="A1492" t="str">
        <f t="shared" si="23"/>
        <v/>
      </c>
      <c r="B1492" s="6"/>
      <c r="C1492" s="6"/>
      <c r="D1492" s="6"/>
      <c r="E1492" s="6"/>
      <c r="F1492" s="7"/>
      <c r="G1492" s="6"/>
      <c r="H1492" s="7"/>
      <c r="I1492" s="8"/>
      <c r="J1492" s="8"/>
      <c r="K1492" s="6"/>
      <c r="L1492" s="6"/>
      <c r="M1492" s="6"/>
      <c r="N1492" s="8"/>
      <c r="O1492">
        <f>IFERROR(VLOOKUP($A1492,Accounts!$A:$G,3,FALSE),"")</f>
        <v>0</v>
      </c>
    </row>
    <row r="1493" spans="1:15" outlineLevel="2" x14ac:dyDescent="0.2">
      <c r="A1493" t="str">
        <f t="shared" si="23"/>
        <v/>
      </c>
      <c r="B1493" s="6"/>
      <c r="C1493" s="6"/>
      <c r="D1493" s="6"/>
      <c r="E1493" s="6"/>
      <c r="F1493" s="7"/>
      <c r="G1493" s="6"/>
      <c r="H1493" s="7"/>
      <c r="I1493" s="8"/>
      <c r="J1493" s="8"/>
      <c r="K1493" s="6"/>
      <c r="L1493" s="6"/>
      <c r="M1493" s="6"/>
      <c r="N1493" s="8"/>
      <c r="O1493">
        <f>IFERROR(VLOOKUP($A1493,Accounts!$A:$G,3,FALSE),"")</f>
        <v>0</v>
      </c>
    </row>
    <row r="1494" spans="1:15" outlineLevel="2" x14ac:dyDescent="0.2">
      <c r="A1494" t="str">
        <f t="shared" si="23"/>
        <v/>
      </c>
      <c r="B1494" s="6"/>
      <c r="C1494" s="6"/>
      <c r="D1494" s="6"/>
      <c r="E1494" s="6"/>
      <c r="F1494" s="7"/>
      <c r="G1494" s="6"/>
      <c r="H1494" s="7"/>
      <c r="I1494" s="8"/>
      <c r="J1494" s="8"/>
      <c r="K1494" s="6"/>
      <c r="L1494" s="6"/>
      <c r="M1494" s="6"/>
      <c r="N1494" s="8"/>
      <c r="O1494">
        <f>IFERROR(VLOOKUP($A1494,Accounts!$A:$G,3,FALSE),"")</f>
        <v>0</v>
      </c>
    </row>
    <row r="1495" spans="1:15" outlineLevel="2" x14ac:dyDescent="0.2">
      <c r="A1495" t="str">
        <f t="shared" si="23"/>
        <v/>
      </c>
      <c r="B1495" s="6"/>
      <c r="C1495" s="6"/>
      <c r="D1495" s="6"/>
      <c r="E1495" s="6"/>
      <c r="F1495" s="7"/>
      <c r="G1495" s="6"/>
      <c r="H1495" s="7"/>
      <c r="I1495" s="8"/>
      <c r="J1495" s="8"/>
      <c r="K1495" s="6"/>
      <c r="L1495" s="6"/>
      <c r="M1495" s="6"/>
      <c r="N1495" s="8"/>
      <c r="O1495">
        <f>IFERROR(VLOOKUP($A1495,Accounts!$A:$G,3,FALSE),"")</f>
        <v>0</v>
      </c>
    </row>
    <row r="1496" spans="1:15" outlineLevel="2" x14ac:dyDescent="0.2">
      <c r="A1496" t="str">
        <f t="shared" si="23"/>
        <v/>
      </c>
      <c r="F1496" s="1"/>
      <c r="H1496" s="1"/>
      <c r="I1496" s="2"/>
      <c r="J1496" s="2"/>
      <c r="N1496" s="2"/>
      <c r="O1496">
        <f>IFERROR(VLOOKUP($A1496,Accounts!$A:$G,3,FALSE),"")</f>
        <v>0</v>
      </c>
    </row>
    <row r="1497" spans="1:15" outlineLevel="2" x14ac:dyDescent="0.2">
      <c r="A1497" t="str">
        <f t="shared" si="23"/>
        <v/>
      </c>
      <c r="F1497" s="1"/>
      <c r="H1497" s="1"/>
      <c r="I1497" s="2"/>
      <c r="J1497" s="2"/>
      <c r="N1497" s="2"/>
      <c r="O1497">
        <f>IFERROR(VLOOKUP($A1497,Accounts!$A:$G,3,FALSE),"")</f>
        <v>0</v>
      </c>
    </row>
    <row r="1498" spans="1:15" outlineLevel="2" x14ac:dyDescent="0.2">
      <c r="A1498" t="str">
        <f t="shared" si="23"/>
        <v/>
      </c>
      <c r="F1498" s="1"/>
      <c r="H1498" s="1"/>
      <c r="I1498" s="2"/>
      <c r="J1498" s="2"/>
      <c r="N1498" s="2"/>
      <c r="O1498">
        <f>IFERROR(VLOOKUP($A1498,Accounts!$A:$G,3,FALSE),"")</f>
        <v>0</v>
      </c>
    </row>
    <row r="1499" spans="1:15" outlineLevel="2" x14ac:dyDescent="0.2">
      <c r="A1499" t="str">
        <f t="shared" si="23"/>
        <v/>
      </c>
      <c r="F1499" s="1"/>
      <c r="H1499" s="1"/>
      <c r="I1499" s="2"/>
      <c r="J1499" s="2"/>
      <c r="N1499" s="2"/>
      <c r="O1499">
        <f>IFERROR(VLOOKUP($A1499,Accounts!$A:$G,3,FALSE),"")</f>
        <v>0</v>
      </c>
    </row>
    <row r="1500" spans="1:15" outlineLevel="2" x14ac:dyDescent="0.2">
      <c r="A1500" t="str">
        <f t="shared" si="23"/>
        <v/>
      </c>
      <c r="F1500" s="1"/>
      <c r="H1500" s="1"/>
      <c r="I1500" s="2"/>
      <c r="J1500" s="2"/>
      <c r="N1500" s="2"/>
      <c r="O1500">
        <f>IFERROR(VLOOKUP($A1500,Accounts!$A:$G,3,FALSE),"")</f>
        <v>0</v>
      </c>
    </row>
    <row r="1501" spans="1:15" outlineLevel="2" x14ac:dyDescent="0.2">
      <c r="A1501" t="str">
        <f t="shared" si="23"/>
        <v/>
      </c>
      <c r="F1501" s="1"/>
      <c r="H1501" s="1"/>
      <c r="I1501" s="2"/>
      <c r="J1501" s="2"/>
      <c r="N1501" s="2"/>
      <c r="O1501">
        <f>IFERROR(VLOOKUP($A1501,Accounts!$A:$G,3,FALSE),"")</f>
        <v>0</v>
      </c>
    </row>
    <row r="1502" spans="1:15" outlineLevel="2" x14ac:dyDescent="0.2">
      <c r="A1502" t="str">
        <f t="shared" si="23"/>
        <v/>
      </c>
      <c r="F1502" s="1"/>
      <c r="H1502" s="1"/>
      <c r="I1502" s="2"/>
      <c r="J1502" s="2"/>
      <c r="N1502" s="2"/>
      <c r="O1502">
        <f>IFERROR(VLOOKUP($A1502,Accounts!$A:$G,3,FALSE),"")</f>
        <v>0</v>
      </c>
    </row>
    <row r="1503" spans="1:15" outlineLevel="2" x14ac:dyDescent="0.2">
      <c r="A1503" t="str">
        <f t="shared" si="23"/>
        <v/>
      </c>
      <c r="F1503" s="1"/>
      <c r="H1503" s="1"/>
      <c r="I1503" s="2"/>
      <c r="J1503" s="2"/>
      <c r="N1503" s="2"/>
      <c r="O1503">
        <f>IFERROR(VLOOKUP($A1503,Accounts!$A:$G,3,FALSE),"")</f>
        <v>0</v>
      </c>
    </row>
    <row r="1504" spans="1:15" outlineLevel="2" x14ac:dyDescent="0.2">
      <c r="A1504" t="str">
        <f t="shared" si="23"/>
        <v/>
      </c>
      <c r="F1504" s="1"/>
      <c r="H1504" s="1"/>
      <c r="I1504" s="2"/>
      <c r="J1504" s="2"/>
      <c r="N1504" s="2"/>
      <c r="O1504">
        <f>IFERROR(VLOOKUP($A1504,Accounts!$A:$G,3,FALSE),"")</f>
        <v>0</v>
      </c>
    </row>
    <row r="1505" spans="1:15" outlineLevel="2" x14ac:dyDescent="0.2">
      <c r="A1505" t="str">
        <f t="shared" si="23"/>
        <v/>
      </c>
      <c r="F1505" s="1"/>
      <c r="H1505" s="1"/>
      <c r="I1505" s="2"/>
      <c r="J1505" s="2"/>
      <c r="N1505" s="2"/>
      <c r="O1505">
        <f>IFERROR(VLOOKUP($A1505,Accounts!$A:$G,3,FALSE),"")</f>
        <v>0</v>
      </c>
    </row>
    <row r="1506" spans="1:15" outlineLevel="2" x14ac:dyDescent="0.2">
      <c r="A1506" t="str">
        <f t="shared" si="23"/>
        <v/>
      </c>
      <c r="F1506" s="1"/>
      <c r="H1506" s="1"/>
      <c r="I1506" s="2"/>
      <c r="J1506" s="2"/>
      <c r="N1506" s="2"/>
      <c r="O1506">
        <f>IFERROR(VLOOKUP($A1506,Accounts!$A:$G,3,FALSE),"")</f>
        <v>0</v>
      </c>
    </row>
    <row r="1507" spans="1:15" outlineLevel="2" x14ac:dyDescent="0.2">
      <c r="A1507" t="str">
        <f t="shared" si="23"/>
        <v/>
      </c>
      <c r="F1507" s="1"/>
      <c r="H1507" s="1"/>
      <c r="I1507" s="2"/>
      <c r="J1507" s="2"/>
      <c r="N1507" s="2"/>
      <c r="O1507">
        <f>IFERROR(VLOOKUP($A1507,Accounts!$A:$G,3,FALSE),"")</f>
        <v>0</v>
      </c>
    </row>
    <row r="1508" spans="1:15" outlineLevel="2" x14ac:dyDescent="0.2">
      <c r="A1508" t="str">
        <f t="shared" si="23"/>
        <v/>
      </c>
      <c r="F1508" s="1"/>
      <c r="H1508" s="1"/>
      <c r="I1508" s="2"/>
      <c r="J1508" s="2"/>
      <c r="N1508" s="2"/>
      <c r="O1508">
        <f>IFERROR(VLOOKUP($A1508,Accounts!$A:$G,3,FALSE),"")</f>
        <v>0</v>
      </c>
    </row>
    <row r="1509" spans="1:15" outlineLevel="2" x14ac:dyDescent="0.2">
      <c r="A1509" t="str">
        <f t="shared" si="23"/>
        <v/>
      </c>
      <c r="F1509" s="1"/>
      <c r="H1509" s="1"/>
      <c r="I1509" s="2"/>
      <c r="J1509" s="2"/>
      <c r="N1509" s="2"/>
      <c r="O1509">
        <f>IFERROR(VLOOKUP($A1509,Accounts!$A:$G,3,FALSE),"")</f>
        <v>0</v>
      </c>
    </row>
    <row r="1510" spans="1:15" outlineLevel="2" x14ac:dyDescent="0.2">
      <c r="A1510" t="str">
        <f t="shared" si="23"/>
        <v/>
      </c>
      <c r="F1510" s="1"/>
      <c r="H1510" s="1"/>
      <c r="I1510" s="2"/>
      <c r="J1510" s="2"/>
      <c r="N1510" s="2"/>
      <c r="O1510">
        <f>IFERROR(VLOOKUP($A1510,Accounts!$A:$G,3,FALSE),"")</f>
        <v>0</v>
      </c>
    </row>
    <row r="1511" spans="1:15" outlineLevel="2" x14ac:dyDescent="0.2">
      <c r="A1511" t="str">
        <f t="shared" si="23"/>
        <v/>
      </c>
      <c r="F1511" s="1"/>
      <c r="H1511" s="1"/>
      <c r="I1511" s="2"/>
      <c r="J1511" s="2"/>
      <c r="N1511" s="2"/>
      <c r="O1511">
        <f>IFERROR(VLOOKUP($A1511,Accounts!$A:$G,3,FALSE),"")</f>
        <v>0</v>
      </c>
    </row>
    <row r="1512" spans="1:15" outlineLevel="2" x14ac:dyDescent="0.2">
      <c r="A1512" t="str">
        <f t="shared" si="23"/>
        <v/>
      </c>
      <c r="F1512" s="1"/>
      <c r="H1512" s="1"/>
      <c r="I1512" s="2"/>
      <c r="J1512" s="2"/>
      <c r="N1512" s="2"/>
      <c r="O1512">
        <f>IFERROR(VLOOKUP($A1512,Accounts!$A:$G,3,FALSE),"")</f>
        <v>0</v>
      </c>
    </row>
    <row r="1513" spans="1:15" outlineLevel="2" x14ac:dyDescent="0.2">
      <c r="A1513" t="str">
        <f t="shared" si="23"/>
        <v/>
      </c>
      <c r="F1513" s="1"/>
      <c r="H1513" s="1"/>
      <c r="I1513" s="2"/>
      <c r="J1513" s="2"/>
      <c r="N1513" s="2"/>
      <c r="O1513">
        <f>IFERROR(VLOOKUP($A1513,Accounts!$A:$G,3,FALSE),"")</f>
        <v>0</v>
      </c>
    </row>
    <row r="1514" spans="1:15" outlineLevel="2" x14ac:dyDescent="0.2">
      <c r="A1514" t="str">
        <f t="shared" si="23"/>
        <v/>
      </c>
      <c r="F1514" s="1"/>
      <c r="H1514" s="1"/>
      <c r="I1514" s="2"/>
      <c r="J1514" s="2"/>
      <c r="N1514" s="2"/>
      <c r="O1514">
        <f>IFERROR(VLOOKUP($A1514,Accounts!$A:$G,3,FALSE),"")</f>
        <v>0</v>
      </c>
    </row>
    <row r="1515" spans="1:15" outlineLevel="2" x14ac:dyDescent="0.2">
      <c r="A1515" t="str">
        <f t="shared" si="23"/>
        <v/>
      </c>
      <c r="F1515" s="1"/>
      <c r="H1515" s="1"/>
      <c r="I1515" s="2"/>
      <c r="J1515" s="2"/>
      <c r="N1515" s="2"/>
      <c r="O1515">
        <f>IFERROR(VLOOKUP($A1515,Accounts!$A:$G,3,FALSE),"")</f>
        <v>0</v>
      </c>
    </row>
    <row r="1516" spans="1:15" outlineLevel="2" x14ac:dyDescent="0.2">
      <c r="A1516" t="str">
        <f t="shared" si="23"/>
        <v/>
      </c>
      <c r="F1516" s="1"/>
      <c r="H1516" s="1"/>
      <c r="I1516" s="2"/>
      <c r="J1516" s="2"/>
      <c r="N1516" s="2"/>
      <c r="O1516">
        <f>IFERROR(VLOOKUP($A1516,Accounts!$A:$G,3,FALSE),"")</f>
        <v>0</v>
      </c>
    </row>
    <row r="1517" spans="1:15" outlineLevel="2" x14ac:dyDescent="0.2">
      <c r="A1517" t="str">
        <f t="shared" si="23"/>
        <v/>
      </c>
      <c r="F1517" s="1"/>
      <c r="H1517" s="1"/>
      <c r="I1517" s="2"/>
      <c r="J1517" s="2"/>
      <c r="N1517" s="2"/>
      <c r="O1517">
        <f>IFERROR(VLOOKUP($A1517,Accounts!$A:$G,3,FALSE),"")</f>
        <v>0</v>
      </c>
    </row>
    <row r="1518" spans="1:15" outlineLevel="2" x14ac:dyDescent="0.2">
      <c r="A1518" t="str">
        <f t="shared" si="23"/>
        <v/>
      </c>
      <c r="F1518" s="1"/>
      <c r="H1518" s="1"/>
      <c r="I1518" s="2"/>
      <c r="J1518" s="2"/>
      <c r="N1518" s="2"/>
      <c r="O1518">
        <f>IFERROR(VLOOKUP($A1518,Accounts!$A:$G,3,FALSE),"")</f>
        <v>0</v>
      </c>
    </row>
    <row r="1519" spans="1:15" outlineLevel="2" x14ac:dyDescent="0.2">
      <c r="A1519" t="str">
        <f t="shared" si="23"/>
        <v/>
      </c>
      <c r="F1519" s="1"/>
      <c r="H1519" s="1"/>
      <c r="I1519" s="2"/>
      <c r="J1519" s="2"/>
      <c r="N1519" s="2"/>
      <c r="O1519">
        <f>IFERROR(VLOOKUP($A1519,Accounts!$A:$G,3,FALSE),"")</f>
        <v>0</v>
      </c>
    </row>
    <row r="1520" spans="1:15" outlineLevel="2" x14ac:dyDescent="0.2">
      <c r="A1520" t="str">
        <f t="shared" si="23"/>
        <v/>
      </c>
      <c r="F1520" s="1"/>
      <c r="H1520" s="1"/>
      <c r="I1520" s="2"/>
      <c r="J1520" s="2"/>
      <c r="N1520" s="2"/>
      <c r="O1520">
        <f>IFERROR(VLOOKUP($A1520,Accounts!$A:$G,3,FALSE),"")</f>
        <v>0</v>
      </c>
    </row>
    <row r="1521" spans="1:15" outlineLevel="2" x14ac:dyDescent="0.2">
      <c r="A1521" t="str">
        <f t="shared" si="23"/>
        <v/>
      </c>
      <c r="F1521" s="1"/>
      <c r="H1521" s="1"/>
      <c r="I1521" s="2"/>
      <c r="J1521" s="2"/>
      <c r="N1521" s="2"/>
      <c r="O1521">
        <f>IFERROR(VLOOKUP($A1521,Accounts!$A:$G,3,FALSE),"")</f>
        <v>0</v>
      </c>
    </row>
    <row r="1522" spans="1:15" outlineLevel="2" x14ac:dyDescent="0.2">
      <c r="A1522" t="str">
        <f t="shared" si="23"/>
        <v/>
      </c>
      <c r="F1522" s="1"/>
      <c r="H1522" s="1"/>
      <c r="I1522" s="2"/>
      <c r="J1522" s="2"/>
      <c r="N1522" s="2"/>
      <c r="O1522">
        <f>IFERROR(VLOOKUP($A1522,Accounts!$A:$G,3,FALSE),"")</f>
        <v>0</v>
      </c>
    </row>
    <row r="1523" spans="1:15" outlineLevel="2" x14ac:dyDescent="0.2">
      <c r="A1523" t="str">
        <f t="shared" si="23"/>
        <v/>
      </c>
      <c r="F1523" s="1"/>
      <c r="H1523" s="1"/>
      <c r="I1523" s="2"/>
      <c r="J1523" s="2"/>
      <c r="N1523" s="2"/>
      <c r="O1523">
        <f>IFERROR(VLOOKUP($A1523,Accounts!$A:$G,3,FALSE),"")</f>
        <v>0</v>
      </c>
    </row>
    <row r="1524" spans="1:15" outlineLevel="2" x14ac:dyDescent="0.2">
      <c r="A1524" t="str">
        <f t="shared" si="23"/>
        <v/>
      </c>
      <c r="F1524" s="1"/>
      <c r="H1524" s="1"/>
      <c r="I1524" s="2"/>
      <c r="J1524" s="2"/>
      <c r="N1524" s="2"/>
      <c r="O1524">
        <f>IFERROR(VLOOKUP($A1524,Accounts!$A:$G,3,FALSE),"")</f>
        <v>0</v>
      </c>
    </row>
    <row r="1525" spans="1:15" outlineLevel="2" x14ac:dyDescent="0.2">
      <c r="A1525" t="str">
        <f t="shared" si="23"/>
        <v/>
      </c>
      <c r="F1525" s="1"/>
      <c r="H1525" s="1"/>
      <c r="I1525" s="2"/>
      <c r="J1525" s="2"/>
      <c r="N1525" s="2"/>
      <c r="O1525">
        <f>IFERROR(VLOOKUP($A1525,Accounts!$A:$G,3,FALSE),"")</f>
        <v>0</v>
      </c>
    </row>
    <row r="1526" spans="1:15" outlineLevel="2" x14ac:dyDescent="0.2">
      <c r="A1526" t="str">
        <f t="shared" si="23"/>
        <v/>
      </c>
      <c r="F1526" s="1"/>
      <c r="H1526" s="1"/>
      <c r="I1526" s="2"/>
      <c r="J1526" s="2"/>
      <c r="N1526" s="2"/>
      <c r="O1526">
        <f>IFERROR(VLOOKUP($A1526,Accounts!$A:$G,3,FALSE),"")</f>
        <v>0</v>
      </c>
    </row>
    <row r="1527" spans="1:15" outlineLevel="2" x14ac:dyDescent="0.2">
      <c r="A1527" t="str">
        <f t="shared" si="23"/>
        <v/>
      </c>
      <c r="F1527" s="1"/>
      <c r="H1527" s="1"/>
      <c r="I1527" s="2"/>
      <c r="J1527" s="2"/>
      <c r="N1527" s="2"/>
      <c r="O1527">
        <f>IFERROR(VLOOKUP($A1527,Accounts!$A:$G,3,FALSE),"")</f>
        <v>0</v>
      </c>
    </row>
    <row r="1528" spans="1:15" outlineLevel="2" x14ac:dyDescent="0.2">
      <c r="A1528" t="str">
        <f t="shared" si="23"/>
        <v/>
      </c>
      <c r="F1528" s="1"/>
      <c r="H1528" s="1"/>
      <c r="I1528" s="2"/>
      <c r="J1528" s="2"/>
      <c r="N1528" s="2"/>
      <c r="O1528">
        <f>IFERROR(VLOOKUP($A1528,Accounts!$A:$G,3,FALSE),"")</f>
        <v>0</v>
      </c>
    </row>
    <row r="1529" spans="1:15" outlineLevel="2" x14ac:dyDescent="0.2">
      <c r="A1529" t="str">
        <f t="shared" si="23"/>
        <v/>
      </c>
      <c r="F1529" s="1"/>
      <c r="H1529" s="1"/>
      <c r="I1529" s="2"/>
      <c r="J1529" s="2"/>
      <c r="N1529" s="2"/>
      <c r="O1529">
        <f>IFERROR(VLOOKUP($A1529,Accounts!$A:$G,3,FALSE),"")</f>
        <v>0</v>
      </c>
    </row>
    <row r="1530" spans="1:15" outlineLevel="2" x14ac:dyDescent="0.2">
      <c r="A1530" t="str">
        <f t="shared" si="23"/>
        <v/>
      </c>
      <c r="F1530" s="1"/>
      <c r="H1530" s="1"/>
      <c r="I1530" s="2"/>
      <c r="J1530" s="2"/>
      <c r="N1530" s="2"/>
      <c r="O1530">
        <f>IFERROR(VLOOKUP($A1530,Accounts!$A:$G,3,FALSE),"")</f>
        <v>0</v>
      </c>
    </row>
    <row r="1531" spans="1:15" outlineLevel="2" x14ac:dyDescent="0.2">
      <c r="A1531" t="str">
        <f t="shared" si="23"/>
        <v/>
      </c>
      <c r="F1531" s="1"/>
      <c r="H1531" s="1"/>
      <c r="I1531" s="2"/>
      <c r="J1531" s="2"/>
      <c r="N1531" s="2"/>
      <c r="O1531">
        <f>IFERROR(VLOOKUP($A1531,Accounts!$A:$G,3,FALSE),"")</f>
        <v>0</v>
      </c>
    </row>
    <row r="1532" spans="1:15" outlineLevel="2" x14ac:dyDescent="0.2">
      <c r="A1532" t="str">
        <f t="shared" si="23"/>
        <v/>
      </c>
      <c r="F1532" s="1"/>
      <c r="H1532" s="1"/>
      <c r="I1532" s="2"/>
      <c r="J1532" s="2"/>
      <c r="N1532" s="2"/>
      <c r="O1532">
        <f>IFERROR(VLOOKUP($A1532,Accounts!$A:$G,3,FALSE),"")</f>
        <v>0</v>
      </c>
    </row>
    <row r="1533" spans="1:15" outlineLevel="2" x14ac:dyDescent="0.2">
      <c r="A1533" t="str">
        <f t="shared" si="23"/>
        <v/>
      </c>
      <c r="F1533" s="1"/>
      <c r="H1533" s="1"/>
      <c r="I1533" s="2"/>
      <c r="J1533" s="2"/>
      <c r="N1533" s="2"/>
      <c r="O1533">
        <f>IFERROR(VLOOKUP($A1533,Accounts!$A:$G,3,FALSE),"")</f>
        <v>0</v>
      </c>
    </row>
    <row r="1534" spans="1:15" outlineLevel="2" x14ac:dyDescent="0.2">
      <c r="A1534" t="str">
        <f t="shared" si="23"/>
        <v/>
      </c>
      <c r="F1534" s="1"/>
      <c r="H1534" s="1"/>
      <c r="I1534" s="2"/>
      <c r="J1534" s="2"/>
      <c r="N1534" s="2"/>
      <c r="O1534">
        <f>IFERROR(VLOOKUP($A1534,Accounts!$A:$G,3,FALSE),"")</f>
        <v>0</v>
      </c>
    </row>
    <row r="1535" spans="1:15" outlineLevel="2" x14ac:dyDescent="0.2">
      <c r="A1535" t="str">
        <f t="shared" si="23"/>
        <v/>
      </c>
      <c r="F1535" s="1"/>
      <c r="H1535" s="1"/>
      <c r="I1535" s="2"/>
      <c r="J1535" s="2"/>
      <c r="N1535" s="2"/>
      <c r="O1535">
        <f>IFERROR(VLOOKUP($A1535,Accounts!$A:$G,3,FALSE),"")</f>
        <v>0</v>
      </c>
    </row>
    <row r="1536" spans="1:15" outlineLevel="2" x14ac:dyDescent="0.2">
      <c r="A1536" t="str">
        <f t="shared" si="23"/>
        <v/>
      </c>
      <c r="F1536" s="1"/>
      <c r="H1536" s="1"/>
      <c r="I1536" s="2"/>
      <c r="J1536" s="2"/>
      <c r="N1536" s="2"/>
      <c r="O1536">
        <f>IFERROR(VLOOKUP($A1536,Accounts!$A:$G,3,FALSE),"")</f>
        <v>0</v>
      </c>
    </row>
    <row r="1537" spans="1:15" outlineLevel="2" x14ac:dyDescent="0.2">
      <c r="A1537" t="str">
        <f t="shared" si="23"/>
        <v/>
      </c>
      <c r="F1537" s="1"/>
      <c r="H1537" s="1"/>
      <c r="I1537" s="2"/>
      <c r="J1537" s="2"/>
      <c r="N1537" s="2"/>
      <c r="O1537">
        <f>IFERROR(VLOOKUP($A1537,Accounts!$A:$G,3,FALSE),"")</f>
        <v>0</v>
      </c>
    </row>
    <row r="1538" spans="1:15" outlineLevel="2" x14ac:dyDescent="0.2">
      <c r="A1538" t="str">
        <f t="shared" si="23"/>
        <v/>
      </c>
      <c r="F1538" s="1"/>
      <c r="H1538" s="1"/>
      <c r="I1538" s="2"/>
      <c r="J1538" s="2"/>
      <c r="N1538" s="2"/>
      <c r="O1538">
        <f>IFERROR(VLOOKUP($A1538,Accounts!$A:$G,3,FALSE),"")</f>
        <v>0</v>
      </c>
    </row>
    <row r="1539" spans="1:15" outlineLevel="2" x14ac:dyDescent="0.2">
      <c r="A1539" t="str">
        <f t="shared" si="23"/>
        <v/>
      </c>
      <c r="F1539" s="1"/>
      <c r="H1539" s="1"/>
      <c r="I1539" s="2"/>
      <c r="J1539" s="2"/>
      <c r="N1539" s="2"/>
      <c r="O1539">
        <f>IFERROR(VLOOKUP($A1539,Accounts!$A:$G,3,FALSE),"")</f>
        <v>0</v>
      </c>
    </row>
    <row r="1540" spans="1:15" outlineLevel="2" x14ac:dyDescent="0.2">
      <c r="A1540" t="str">
        <f t="shared" si="23"/>
        <v/>
      </c>
      <c r="F1540" s="1"/>
      <c r="H1540" s="1"/>
      <c r="I1540" s="2"/>
      <c r="J1540" s="2"/>
      <c r="N1540" s="2"/>
      <c r="O1540">
        <f>IFERROR(VLOOKUP($A1540,Accounts!$A:$G,3,FALSE),"")</f>
        <v>0</v>
      </c>
    </row>
    <row r="1541" spans="1:15" outlineLevel="2" x14ac:dyDescent="0.2">
      <c r="A1541" t="str">
        <f t="shared" si="23"/>
        <v/>
      </c>
      <c r="F1541" s="1"/>
      <c r="H1541" s="1"/>
      <c r="I1541" s="2"/>
      <c r="J1541" s="2"/>
      <c r="N1541" s="2"/>
      <c r="O1541">
        <f>IFERROR(VLOOKUP($A1541,Accounts!$A:$G,3,FALSE),"")</f>
        <v>0</v>
      </c>
    </row>
    <row r="1542" spans="1:15" outlineLevel="2" x14ac:dyDescent="0.2">
      <c r="A1542" t="str">
        <f t="shared" si="23"/>
        <v/>
      </c>
      <c r="F1542" s="1"/>
      <c r="H1542" s="1"/>
      <c r="I1542" s="2"/>
      <c r="J1542" s="2"/>
      <c r="N1542" s="2"/>
      <c r="O1542">
        <f>IFERROR(VLOOKUP($A1542,Accounts!$A:$G,3,FALSE),"")</f>
        <v>0</v>
      </c>
    </row>
    <row r="1543" spans="1:15" outlineLevel="2" x14ac:dyDescent="0.2">
      <c r="A1543" t="str">
        <f t="shared" si="23"/>
        <v/>
      </c>
      <c r="F1543" s="1"/>
      <c r="H1543" s="1"/>
      <c r="I1543" s="2"/>
      <c r="J1543" s="2"/>
      <c r="N1543" s="2"/>
      <c r="O1543">
        <f>IFERROR(VLOOKUP($A1543,Accounts!$A:$G,3,FALSE),"")</f>
        <v>0</v>
      </c>
    </row>
    <row r="1544" spans="1:15" outlineLevel="2" x14ac:dyDescent="0.2">
      <c r="A1544" t="str">
        <f t="shared" si="23"/>
        <v/>
      </c>
      <c r="F1544" s="1"/>
      <c r="H1544" s="1"/>
      <c r="I1544" s="2"/>
      <c r="J1544" s="2"/>
      <c r="N1544" s="2"/>
      <c r="O1544">
        <f>IFERROR(VLOOKUP($A1544,Accounts!$A:$G,3,FALSE),"")</f>
        <v>0</v>
      </c>
    </row>
    <row r="1545" spans="1:15" outlineLevel="2" x14ac:dyDescent="0.2">
      <c r="A1545" t="str">
        <f t="shared" si="23"/>
        <v/>
      </c>
      <c r="F1545" s="1"/>
      <c r="H1545" s="1"/>
      <c r="I1545" s="2"/>
      <c r="J1545" s="2"/>
      <c r="N1545" s="2"/>
      <c r="O1545">
        <f>IFERROR(VLOOKUP($A1545,Accounts!$A:$G,3,FALSE),"")</f>
        <v>0</v>
      </c>
    </row>
    <row r="1546" spans="1:15" outlineLevel="2" x14ac:dyDescent="0.2">
      <c r="A1546" t="str">
        <f t="shared" ref="A1546:A1609" si="24">IFERROR(IF(J1546=0,E1546&amp;C1546&amp;I1546,G1546&amp;B1546&amp;J1546),"")</f>
        <v/>
      </c>
      <c r="F1546" s="1"/>
      <c r="H1546" s="1"/>
      <c r="I1546" s="2"/>
      <c r="J1546" s="2"/>
      <c r="N1546" s="2"/>
      <c r="O1546">
        <f>IFERROR(VLOOKUP($A1546,Accounts!$A:$G,3,FALSE),"")</f>
        <v>0</v>
      </c>
    </row>
    <row r="1547" spans="1:15" outlineLevel="2" x14ac:dyDescent="0.2">
      <c r="A1547" t="str">
        <f t="shared" si="24"/>
        <v/>
      </c>
      <c r="F1547" s="1"/>
      <c r="H1547" s="1"/>
      <c r="I1547" s="2"/>
      <c r="J1547" s="2"/>
      <c r="N1547" s="2"/>
      <c r="O1547">
        <f>IFERROR(VLOOKUP($A1547,Accounts!$A:$G,3,FALSE),"")</f>
        <v>0</v>
      </c>
    </row>
    <row r="1548" spans="1:15" outlineLevel="2" x14ac:dyDescent="0.2">
      <c r="A1548" t="str">
        <f t="shared" si="24"/>
        <v/>
      </c>
      <c r="F1548" s="1"/>
      <c r="H1548" s="1"/>
      <c r="I1548" s="2"/>
      <c r="J1548" s="2"/>
      <c r="N1548" s="2"/>
      <c r="O1548">
        <f>IFERROR(VLOOKUP($A1548,Accounts!$A:$G,3,FALSE),"")</f>
        <v>0</v>
      </c>
    </row>
    <row r="1549" spans="1:15" outlineLevel="2" x14ac:dyDescent="0.2">
      <c r="A1549" t="str">
        <f t="shared" si="24"/>
        <v/>
      </c>
      <c r="F1549" s="1"/>
      <c r="H1549" s="1"/>
      <c r="I1549" s="2"/>
      <c r="J1549" s="2"/>
      <c r="N1549" s="2"/>
      <c r="O1549">
        <f>IFERROR(VLOOKUP($A1549,Accounts!$A:$G,3,FALSE),"")</f>
        <v>0</v>
      </c>
    </row>
    <row r="1550" spans="1:15" outlineLevel="1" x14ac:dyDescent="0.2">
      <c r="A1550" t="str">
        <f t="shared" si="24"/>
        <v/>
      </c>
      <c r="F1550" s="1"/>
      <c r="H1550" s="1"/>
      <c r="I1550" s="2"/>
      <c r="J1550" s="2"/>
      <c r="N1550" s="2"/>
      <c r="O1550">
        <f>IFERROR(VLOOKUP($A1550,Accounts!$A:$G,3,FALSE),"")</f>
        <v>0</v>
      </c>
    </row>
    <row r="1551" spans="1:15" outlineLevel="2" x14ac:dyDescent="0.2">
      <c r="A1551" t="str">
        <f t="shared" si="24"/>
        <v/>
      </c>
      <c r="F1551" s="1"/>
      <c r="H1551" s="1"/>
      <c r="I1551" s="2"/>
      <c r="J1551" s="2"/>
      <c r="N1551" s="2"/>
      <c r="O1551">
        <f>IFERROR(VLOOKUP($A1551,Accounts!$A:$G,3,FALSE),"")</f>
        <v>0</v>
      </c>
    </row>
    <row r="1552" spans="1:15" outlineLevel="2" x14ac:dyDescent="0.2">
      <c r="A1552" t="str">
        <f t="shared" si="24"/>
        <v/>
      </c>
      <c r="F1552" s="1"/>
      <c r="H1552" s="1"/>
      <c r="I1552" s="2"/>
      <c r="J1552" s="2"/>
      <c r="N1552" s="2"/>
      <c r="O1552">
        <f>IFERROR(VLOOKUP($A1552,Accounts!$A:$G,3,FALSE),"")</f>
        <v>0</v>
      </c>
    </row>
    <row r="1553" spans="1:15" outlineLevel="2" x14ac:dyDescent="0.2">
      <c r="A1553" t="str">
        <f t="shared" si="24"/>
        <v/>
      </c>
      <c r="F1553" s="1"/>
      <c r="H1553" s="1"/>
      <c r="I1553" s="2"/>
      <c r="J1553" s="2"/>
      <c r="N1553" s="2"/>
      <c r="O1553">
        <f>IFERROR(VLOOKUP($A1553,Accounts!$A:$G,3,FALSE),"")</f>
        <v>0</v>
      </c>
    </row>
    <row r="1554" spans="1:15" outlineLevel="2" x14ac:dyDescent="0.2">
      <c r="A1554" t="str">
        <f t="shared" si="24"/>
        <v/>
      </c>
      <c r="F1554" s="1"/>
      <c r="H1554" s="1"/>
      <c r="I1554" s="2"/>
      <c r="J1554" s="2"/>
      <c r="N1554" s="2"/>
      <c r="O1554">
        <f>IFERROR(VLOOKUP($A1554,Accounts!$A:$G,3,FALSE),"")</f>
        <v>0</v>
      </c>
    </row>
    <row r="1555" spans="1:15" outlineLevel="2" x14ac:dyDescent="0.2">
      <c r="A1555" t="str">
        <f t="shared" si="24"/>
        <v/>
      </c>
      <c r="F1555" s="1"/>
      <c r="H1555" s="1"/>
      <c r="I1555" s="2"/>
      <c r="J1555" s="2"/>
      <c r="N1555" s="2"/>
      <c r="O1555">
        <f>IFERROR(VLOOKUP($A1555,Accounts!$A:$G,3,FALSE),"")</f>
        <v>0</v>
      </c>
    </row>
    <row r="1556" spans="1:15" outlineLevel="2" x14ac:dyDescent="0.2">
      <c r="A1556" t="str">
        <f t="shared" si="24"/>
        <v/>
      </c>
      <c r="F1556" s="1"/>
      <c r="H1556" s="1"/>
      <c r="I1556" s="2"/>
      <c r="J1556" s="2"/>
      <c r="N1556" s="2"/>
      <c r="O1556">
        <f>IFERROR(VLOOKUP($A1556,Accounts!$A:$G,3,FALSE),"")</f>
        <v>0</v>
      </c>
    </row>
    <row r="1557" spans="1:15" outlineLevel="2" x14ac:dyDescent="0.2">
      <c r="A1557" t="str">
        <f t="shared" si="24"/>
        <v/>
      </c>
      <c r="F1557" s="1"/>
      <c r="H1557" s="1"/>
      <c r="I1557" s="2"/>
      <c r="J1557" s="2"/>
      <c r="N1557" s="2"/>
      <c r="O1557">
        <f>IFERROR(VLOOKUP($A1557,Accounts!$A:$G,3,FALSE),"")</f>
        <v>0</v>
      </c>
    </row>
    <row r="1558" spans="1:15" outlineLevel="2" x14ac:dyDescent="0.2">
      <c r="A1558" t="str">
        <f t="shared" si="24"/>
        <v/>
      </c>
      <c r="F1558" s="1"/>
      <c r="H1558" s="1"/>
      <c r="I1558" s="2"/>
      <c r="J1558" s="2"/>
      <c r="N1558" s="2"/>
      <c r="O1558">
        <f>IFERROR(VLOOKUP($A1558,Accounts!$A:$G,3,FALSE),"")</f>
        <v>0</v>
      </c>
    </row>
    <row r="1559" spans="1:15" outlineLevel="1" x14ac:dyDescent="0.2">
      <c r="A1559" t="str">
        <f t="shared" si="24"/>
        <v/>
      </c>
      <c r="F1559" s="1"/>
      <c r="H1559" s="1"/>
      <c r="I1559" s="2"/>
      <c r="J1559" s="2"/>
      <c r="N1559" s="2"/>
      <c r="O1559">
        <f>IFERROR(VLOOKUP($A1559,Accounts!$A:$G,3,FALSE),"")</f>
        <v>0</v>
      </c>
    </row>
    <row r="1560" spans="1:15" outlineLevel="1" x14ac:dyDescent="0.2">
      <c r="A1560" t="str">
        <f t="shared" si="24"/>
        <v/>
      </c>
      <c r="F1560" s="1"/>
      <c r="H1560" s="1"/>
      <c r="I1560" s="2"/>
      <c r="J1560" s="2"/>
      <c r="N1560" s="2"/>
      <c r="O1560">
        <f>IFERROR(VLOOKUP($A1560,Accounts!$A:$G,3,FALSE),"")</f>
        <v>0</v>
      </c>
    </row>
    <row r="1561" spans="1:15" outlineLevel="2" x14ac:dyDescent="0.2">
      <c r="A1561" t="str">
        <f t="shared" si="24"/>
        <v/>
      </c>
      <c r="F1561" s="1"/>
      <c r="H1561" s="1"/>
      <c r="I1561" s="2"/>
      <c r="J1561" s="2"/>
      <c r="N1561" s="2"/>
      <c r="O1561">
        <f>IFERROR(VLOOKUP($A1561,Accounts!$A:$G,3,FALSE),"")</f>
        <v>0</v>
      </c>
    </row>
    <row r="1562" spans="1:15" outlineLevel="2" x14ac:dyDescent="0.2">
      <c r="A1562" t="str">
        <f t="shared" si="24"/>
        <v/>
      </c>
      <c r="F1562" s="1"/>
      <c r="H1562" s="1"/>
      <c r="I1562" s="2"/>
      <c r="J1562" s="2"/>
      <c r="N1562" s="2"/>
      <c r="O1562">
        <f>IFERROR(VLOOKUP($A1562,Accounts!$A:$G,3,FALSE),"")</f>
        <v>0</v>
      </c>
    </row>
    <row r="1563" spans="1:15" outlineLevel="2" x14ac:dyDescent="0.2">
      <c r="A1563" t="str">
        <f t="shared" si="24"/>
        <v/>
      </c>
      <c r="F1563" s="1"/>
      <c r="H1563" s="1"/>
      <c r="I1563" s="2"/>
      <c r="J1563" s="2"/>
      <c r="N1563" s="2"/>
      <c r="O1563">
        <f>IFERROR(VLOOKUP($A1563,Accounts!$A:$G,3,FALSE),"")</f>
        <v>0</v>
      </c>
    </row>
    <row r="1564" spans="1:15" outlineLevel="2" x14ac:dyDescent="0.2">
      <c r="A1564" t="str">
        <f t="shared" si="24"/>
        <v/>
      </c>
      <c r="B1564" s="3"/>
      <c r="C1564" s="3"/>
      <c r="D1564" s="3"/>
      <c r="E1564" s="3"/>
      <c r="F1564" s="4"/>
      <c r="G1564" s="3"/>
      <c r="H1564" s="4"/>
      <c r="I1564" s="5"/>
      <c r="J1564" s="5"/>
      <c r="K1564" s="3"/>
      <c r="L1564" s="3"/>
      <c r="M1564" s="3"/>
      <c r="N1564" s="5"/>
      <c r="O1564">
        <f>IFERROR(VLOOKUP($A1564,Accounts!$A:$G,3,FALSE),"")</f>
        <v>0</v>
      </c>
    </row>
    <row r="1565" spans="1:15" outlineLevel="2" x14ac:dyDescent="0.2">
      <c r="A1565" t="str">
        <f t="shared" si="24"/>
        <v/>
      </c>
      <c r="F1565" s="1"/>
      <c r="H1565" s="1"/>
      <c r="I1565" s="2"/>
      <c r="J1565" s="2"/>
      <c r="N1565" s="2"/>
      <c r="O1565">
        <f>IFERROR(VLOOKUP($A1565,Accounts!$A:$G,3,FALSE),"")</f>
        <v>0</v>
      </c>
    </row>
    <row r="1566" spans="1:15" outlineLevel="2" x14ac:dyDescent="0.2">
      <c r="A1566" t="str">
        <f t="shared" si="24"/>
        <v/>
      </c>
      <c r="F1566" s="1"/>
      <c r="H1566" s="1"/>
      <c r="I1566" s="2"/>
      <c r="J1566" s="2"/>
      <c r="N1566" s="2"/>
      <c r="O1566">
        <f>IFERROR(VLOOKUP($A1566,Accounts!$A:$G,3,FALSE),"")</f>
        <v>0</v>
      </c>
    </row>
    <row r="1567" spans="1:15" outlineLevel="2" x14ac:dyDescent="0.2">
      <c r="A1567" t="str">
        <f t="shared" si="24"/>
        <v/>
      </c>
      <c r="F1567" s="1"/>
      <c r="H1567" s="1"/>
      <c r="I1567" s="2"/>
      <c r="J1567" s="2"/>
      <c r="N1567" s="2"/>
      <c r="O1567">
        <f>IFERROR(VLOOKUP($A1567,Accounts!$A:$G,3,FALSE),"")</f>
        <v>0</v>
      </c>
    </row>
    <row r="1568" spans="1:15" outlineLevel="2" x14ac:dyDescent="0.2">
      <c r="A1568" t="str">
        <f t="shared" si="24"/>
        <v/>
      </c>
      <c r="F1568" s="1"/>
      <c r="H1568" s="1"/>
      <c r="I1568" s="2"/>
      <c r="J1568" s="2"/>
      <c r="N1568" s="2"/>
      <c r="O1568">
        <f>IFERROR(VLOOKUP($A1568,Accounts!$A:$G,3,FALSE),"")</f>
        <v>0</v>
      </c>
    </row>
    <row r="1569" spans="1:15" outlineLevel="1" x14ac:dyDescent="0.2">
      <c r="A1569" t="str">
        <f t="shared" si="24"/>
        <v/>
      </c>
      <c r="F1569" s="1"/>
      <c r="H1569" s="1"/>
      <c r="I1569" s="2"/>
      <c r="J1569" s="2"/>
      <c r="N1569" s="2"/>
      <c r="O1569">
        <f>IFERROR(VLOOKUP($A1569,Accounts!$A:$G,3,FALSE),"")</f>
        <v>0</v>
      </c>
    </row>
    <row r="1570" spans="1:15" outlineLevel="2" x14ac:dyDescent="0.2">
      <c r="A1570" t="str">
        <f t="shared" si="24"/>
        <v/>
      </c>
      <c r="F1570" s="1"/>
      <c r="H1570" s="1"/>
      <c r="I1570" s="2"/>
      <c r="J1570" s="2"/>
      <c r="N1570" s="2"/>
      <c r="O1570">
        <f>IFERROR(VLOOKUP($A1570,Accounts!$A:$G,3,FALSE),"")</f>
        <v>0</v>
      </c>
    </row>
    <row r="1571" spans="1:15" outlineLevel="2" x14ac:dyDescent="0.2">
      <c r="A1571" t="str">
        <f t="shared" si="24"/>
        <v/>
      </c>
      <c r="F1571" s="1"/>
      <c r="H1571" s="1"/>
      <c r="I1571" s="2"/>
      <c r="J1571" s="2"/>
      <c r="N1571" s="2"/>
      <c r="O1571">
        <f>IFERROR(VLOOKUP($A1571,Accounts!$A:$G,3,FALSE),"")</f>
        <v>0</v>
      </c>
    </row>
    <row r="1572" spans="1:15" outlineLevel="2" x14ac:dyDescent="0.2">
      <c r="A1572" t="str">
        <f t="shared" si="24"/>
        <v/>
      </c>
      <c r="F1572" s="1"/>
      <c r="H1572" s="1"/>
      <c r="I1572" s="2"/>
      <c r="J1572" s="2"/>
      <c r="N1572" s="2"/>
      <c r="O1572">
        <f>IFERROR(VLOOKUP($A1572,Accounts!$A:$G,3,FALSE),"")</f>
        <v>0</v>
      </c>
    </row>
    <row r="1573" spans="1:15" outlineLevel="2" x14ac:dyDescent="0.2">
      <c r="A1573" t="str">
        <f t="shared" si="24"/>
        <v/>
      </c>
      <c r="F1573" s="1"/>
      <c r="H1573" s="1"/>
      <c r="I1573" s="2"/>
      <c r="J1573" s="2"/>
      <c r="N1573" s="2"/>
      <c r="O1573">
        <f>IFERROR(VLOOKUP($A1573,Accounts!$A:$G,3,FALSE),"")</f>
        <v>0</v>
      </c>
    </row>
    <row r="1574" spans="1:15" outlineLevel="2" x14ac:dyDescent="0.2">
      <c r="A1574" t="str">
        <f t="shared" si="24"/>
        <v/>
      </c>
      <c r="F1574" s="1"/>
      <c r="H1574" s="1"/>
      <c r="I1574" s="2"/>
      <c r="J1574" s="2"/>
      <c r="N1574" s="2"/>
      <c r="O1574">
        <f>IFERROR(VLOOKUP($A1574,Accounts!$A:$G,3,FALSE),"")</f>
        <v>0</v>
      </c>
    </row>
    <row r="1575" spans="1:15" outlineLevel="2" x14ac:dyDescent="0.2">
      <c r="A1575" t="str">
        <f t="shared" si="24"/>
        <v/>
      </c>
      <c r="F1575" s="1"/>
      <c r="H1575" s="1"/>
      <c r="I1575" s="2"/>
      <c r="J1575" s="2"/>
      <c r="N1575" s="2"/>
      <c r="O1575">
        <f>IFERROR(VLOOKUP($A1575,Accounts!$A:$G,3,FALSE),"")</f>
        <v>0</v>
      </c>
    </row>
    <row r="1576" spans="1:15" outlineLevel="2" x14ac:dyDescent="0.2">
      <c r="A1576" t="str">
        <f t="shared" si="24"/>
        <v/>
      </c>
      <c r="F1576" s="1"/>
      <c r="H1576" s="1"/>
      <c r="I1576" s="2"/>
      <c r="J1576" s="2"/>
      <c r="N1576" s="2"/>
      <c r="O1576">
        <f>IFERROR(VLOOKUP($A1576,Accounts!$A:$G,3,FALSE),"")</f>
        <v>0</v>
      </c>
    </row>
    <row r="1577" spans="1:15" outlineLevel="2" x14ac:dyDescent="0.2">
      <c r="A1577" t="str">
        <f t="shared" si="24"/>
        <v/>
      </c>
      <c r="F1577" s="1"/>
      <c r="H1577" s="1"/>
      <c r="I1577" s="2"/>
      <c r="J1577" s="2"/>
      <c r="N1577" s="2"/>
      <c r="O1577">
        <f>IFERROR(VLOOKUP($A1577,Accounts!$A:$G,3,FALSE),"")</f>
        <v>0</v>
      </c>
    </row>
    <row r="1578" spans="1:15" outlineLevel="2" x14ac:dyDescent="0.2">
      <c r="A1578" t="str">
        <f t="shared" si="24"/>
        <v/>
      </c>
      <c r="F1578" s="1"/>
      <c r="H1578" s="1"/>
      <c r="I1578" s="2"/>
      <c r="J1578" s="2"/>
      <c r="N1578" s="2"/>
      <c r="O1578">
        <f>IFERROR(VLOOKUP($A1578,Accounts!$A:$G,3,FALSE),"")</f>
        <v>0</v>
      </c>
    </row>
    <row r="1579" spans="1:15" outlineLevel="1" x14ac:dyDescent="0.2">
      <c r="A1579" t="str">
        <f t="shared" si="24"/>
        <v/>
      </c>
      <c r="F1579" s="1"/>
      <c r="H1579" s="1"/>
      <c r="I1579" s="2"/>
      <c r="J1579" s="2"/>
      <c r="N1579" s="2"/>
      <c r="O1579">
        <f>IFERROR(VLOOKUP($A1579,Accounts!$A:$G,3,FALSE),"")</f>
        <v>0</v>
      </c>
    </row>
    <row r="1580" spans="1:15" outlineLevel="2" x14ac:dyDescent="0.2">
      <c r="A1580" t="str">
        <f t="shared" si="24"/>
        <v/>
      </c>
      <c r="F1580" s="1"/>
      <c r="H1580" s="1"/>
      <c r="I1580" s="2"/>
      <c r="J1580" s="2"/>
      <c r="N1580" s="2"/>
      <c r="O1580">
        <f>IFERROR(VLOOKUP($A1580,Accounts!$A:$G,3,FALSE),"")</f>
        <v>0</v>
      </c>
    </row>
    <row r="1581" spans="1:15" outlineLevel="2" x14ac:dyDescent="0.2">
      <c r="A1581" t="str">
        <f t="shared" si="24"/>
        <v/>
      </c>
      <c r="F1581" s="1"/>
      <c r="H1581" s="1"/>
      <c r="I1581" s="2"/>
      <c r="J1581" s="2"/>
      <c r="N1581" s="2"/>
      <c r="O1581">
        <f>IFERROR(VLOOKUP($A1581,Accounts!$A:$G,3,FALSE),"")</f>
        <v>0</v>
      </c>
    </row>
    <row r="1582" spans="1:15" outlineLevel="2" x14ac:dyDescent="0.2">
      <c r="A1582" t="str">
        <f t="shared" si="24"/>
        <v/>
      </c>
      <c r="F1582" s="1"/>
      <c r="H1582" s="1"/>
      <c r="I1582" s="2"/>
      <c r="J1582" s="2"/>
      <c r="N1582" s="2"/>
      <c r="O1582">
        <f>IFERROR(VLOOKUP($A1582,Accounts!$A:$G,3,FALSE),"")</f>
        <v>0</v>
      </c>
    </row>
    <row r="1583" spans="1:15" outlineLevel="2" x14ac:dyDescent="0.2">
      <c r="A1583" t="str">
        <f t="shared" si="24"/>
        <v/>
      </c>
      <c r="F1583" s="1"/>
      <c r="H1583" s="1"/>
      <c r="I1583" s="2"/>
      <c r="J1583" s="2"/>
      <c r="N1583" s="2"/>
      <c r="O1583">
        <f>IFERROR(VLOOKUP($A1583,Accounts!$A:$G,3,FALSE),"")</f>
        <v>0</v>
      </c>
    </row>
    <row r="1584" spans="1:15" outlineLevel="2" x14ac:dyDescent="0.2">
      <c r="A1584" t="str">
        <f t="shared" si="24"/>
        <v/>
      </c>
      <c r="F1584" s="1"/>
      <c r="H1584" s="1"/>
      <c r="I1584" s="2"/>
      <c r="J1584" s="2"/>
      <c r="N1584" s="2"/>
      <c r="O1584">
        <f>IFERROR(VLOOKUP($A1584,Accounts!$A:$G,3,FALSE),"")</f>
        <v>0</v>
      </c>
    </row>
    <row r="1585" spans="1:15" outlineLevel="2" x14ac:dyDescent="0.2">
      <c r="A1585" t="str">
        <f t="shared" si="24"/>
        <v/>
      </c>
      <c r="F1585" s="1"/>
      <c r="H1585" s="1"/>
      <c r="I1585" s="2"/>
      <c r="J1585" s="2"/>
      <c r="N1585" s="2"/>
      <c r="O1585">
        <f>IFERROR(VLOOKUP($A1585,Accounts!$A:$G,3,FALSE),"")</f>
        <v>0</v>
      </c>
    </row>
    <row r="1586" spans="1:15" outlineLevel="2" x14ac:dyDescent="0.2">
      <c r="A1586" t="str">
        <f t="shared" si="24"/>
        <v/>
      </c>
      <c r="F1586" s="1"/>
      <c r="H1586" s="1"/>
      <c r="I1586" s="2"/>
      <c r="J1586" s="2"/>
      <c r="N1586" s="2"/>
      <c r="O1586">
        <f>IFERROR(VLOOKUP($A1586,Accounts!$A:$G,3,FALSE),"")</f>
        <v>0</v>
      </c>
    </row>
    <row r="1587" spans="1:15" outlineLevel="2" x14ac:dyDescent="0.2">
      <c r="A1587" t="str">
        <f t="shared" si="24"/>
        <v/>
      </c>
      <c r="F1587" s="1"/>
      <c r="H1587" s="1"/>
      <c r="I1587" s="2"/>
      <c r="J1587" s="2"/>
      <c r="N1587" s="2"/>
      <c r="O1587">
        <f>IFERROR(VLOOKUP($A1587,Accounts!$A:$G,3,FALSE),"")</f>
        <v>0</v>
      </c>
    </row>
    <row r="1588" spans="1:15" outlineLevel="2" x14ac:dyDescent="0.2">
      <c r="A1588" t="str">
        <f t="shared" si="24"/>
        <v/>
      </c>
      <c r="F1588" s="1"/>
      <c r="H1588" s="1"/>
      <c r="I1588" s="2"/>
      <c r="J1588" s="2"/>
      <c r="N1588" s="2"/>
      <c r="O1588">
        <f>IFERROR(VLOOKUP($A1588,Accounts!$A:$G,3,FALSE),"")</f>
        <v>0</v>
      </c>
    </row>
    <row r="1589" spans="1:15" outlineLevel="2" x14ac:dyDescent="0.2">
      <c r="A1589" t="str">
        <f t="shared" si="24"/>
        <v/>
      </c>
      <c r="F1589" s="1"/>
      <c r="H1589" s="1"/>
      <c r="I1589" s="2"/>
      <c r="J1589" s="2"/>
      <c r="N1589" s="2"/>
      <c r="O1589">
        <f>IFERROR(VLOOKUP($A1589,Accounts!$A:$G,3,FALSE),"")</f>
        <v>0</v>
      </c>
    </row>
    <row r="1590" spans="1:15" outlineLevel="2" x14ac:dyDescent="0.2">
      <c r="A1590" t="str">
        <f t="shared" si="24"/>
        <v/>
      </c>
      <c r="F1590" s="1"/>
      <c r="H1590" s="1"/>
      <c r="I1590" s="2"/>
      <c r="J1590" s="2"/>
      <c r="N1590" s="2"/>
      <c r="O1590">
        <f>IFERROR(VLOOKUP($A1590,Accounts!$A:$G,3,FALSE),"")</f>
        <v>0</v>
      </c>
    </row>
    <row r="1591" spans="1:15" outlineLevel="2" x14ac:dyDescent="0.2">
      <c r="A1591" t="str">
        <f t="shared" si="24"/>
        <v/>
      </c>
      <c r="F1591" s="1"/>
      <c r="H1591" s="1"/>
      <c r="I1591" s="2"/>
      <c r="J1591" s="2"/>
      <c r="N1591" s="2"/>
      <c r="O1591">
        <f>IFERROR(VLOOKUP($A1591,Accounts!$A:$G,3,FALSE),"")</f>
        <v>0</v>
      </c>
    </row>
    <row r="1592" spans="1:15" outlineLevel="2" x14ac:dyDescent="0.2">
      <c r="A1592" t="str">
        <f t="shared" si="24"/>
        <v/>
      </c>
      <c r="F1592" s="1"/>
      <c r="H1592" s="1"/>
      <c r="I1592" s="2"/>
      <c r="J1592" s="2"/>
      <c r="N1592" s="2"/>
      <c r="O1592">
        <f>IFERROR(VLOOKUP($A1592,Accounts!$A:$G,3,FALSE),"")</f>
        <v>0</v>
      </c>
    </row>
    <row r="1593" spans="1:15" outlineLevel="2" x14ac:dyDescent="0.2">
      <c r="A1593" t="str">
        <f t="shared" si="24"/>
        <v/>
      </c>
      <c r="F1593" s="1"/>
      <c r="H1593" s="1"/>
      <c r="I1593" s="2"/>
      <c r="J1593" s="2"/>
      <c r="N1593" s="2"/>
      <c r="O1593">
        <f>IFERROR(VLOOKUP($A1593,Accounts!$A:$G,3,FALSE),"")</f>
        <v>0</v>
      </c>
    </row>
    <row r="1594" spans="1:15" outlineLevel="2" x14ac:dyDescent="0.2">
      <c r="A1594" t="str">
        <f t="shared" si="24"/>
        <v/>
      </c>
      <c r="F1594" s="1"/>
      <c r="H1594" s="1"/>
      <c r="I1594" s="2"/>
      <c r="J1594" s="2"/>
      <c r="N1594" s="2"/>
      <c r="O1594">
        <f>IFERROR(VLOOKUP($A1594,Accounts!$A:$G,3,FALSE),"")</f>
        <v>0</v>
      </c>
    </row>
    <row r="1595" spans="1:15" outlineLevel="2" x14ac:dyDescent="0.2">
      <c r="A1595" t="str">
        <f t="shared" si="24"/>
        <v/>
      </c>
      <c r="F1595" s="1"/>
      <c r="H1595" s="1"/>
      <c r="I1595" s="2"/>
      <c r="J1595" s="2"/>
      <c r="N1595" s="2"/>
      <c r="O1595">
        <f>IFERROR(VLOOKUP($A1595,Accounts!$A:$G,3,FALSE),"")</f>
        <v>0</v>
      </c>
    </row>
    <row r="1596" spans="1:15" outlineLevel="2" x14ac:dyDescent="0.2">
      <c r="A1596" t="str">
        <f t="shared" si="24"/>
        <v/>
      </c>
      <c r="F1596" s="1"/>
      <c r="H1596" s="1"/>
      <c r="I1596" s="2"/>
      <c r="J1596" s="2"/>
      <c r="N1596" s="2"/>
      <c r="O1596">
        <f>IFERROR(VLOOKUP($A1596,Accounts!$A:$G,3,FALSE),"")</f>
        <v>0</v>
      </c>
    </row>
    <row r="1597" spans="1:15" outlineLevel="2" x14ac:dyDescent="0.2">
      <c r="A1597" t="str">
        <f t="shared" si="24"/>
        <v/>
      </c>
      <c r="F1597" s="1"/>
      <c r="H1597" s="1"/>
      <c r="I1597" s="2"/>
      <c r="J1597" s="2"/>
      <c r="N1597" s="2"/>
      <c r="O1597">
        <f>IFERROR(VLOOKUP($A1597,Accounts!$A:$G,3,FALSE),"")</f>
        <v>0</v>
      </c>
    </row>
    <row r="1598" spans="1:15" outlineLevel="2" x14ac:dyDescent="0.2">
      <c r="A1598" t="str">
        <f t="shared" si="24"/>
        <v/>
      </c>
      <c r="F1598" s="1"/>
      <c r="H1598" s="1"/>
      <c r="I1598" s="2"/>
      <c r="J1598" s="2"/>
      <c r="N1598" s="2"/>
      <c r="O1598">
        <f>IFERROR(VLOOKUP($A1598,Accounts!$A:$G,3,FALSE),"")</f>
        <v>0</v>
      </c>
    </row>
    <row r="1599" spans="1:15" outlineLevel="2" x14ac:dyDescent="0.2">
      <c r="A1599" t="str">
        <f t="shared" si="24"/>
        <v/>
      </c>
      <c r="F1599" s="1"/>
      <c r="H1599" s="1"/>
      <c r="I1599" s="2"/>
      <c r="J1599" s="2"/>
      <c r="N1599" s="2"/>
      <c r="O1599">
        <f>IFERROR(VLOOKUP($A1599,Accounts!$A:$G,3,FALSE),"")</f>
        <v>0</v>
      </c>
    </row>
    <row r="1600" spans="1:15" outlineLevel="2" x14ac:dyDescent="0.2">
      <c r="A1600" t="str">
        <f t="shared" si="24"/>
        <v/>
      </c>
      <c r="F1600" s="1"/>
      <c r="H1600" s="1"/>
      <c r="I1600" s="2"/>
      <c r="J1600" s="2"/>
      <c r="N1600" s="2"/>
      <c r="O1600">
        <f>IFERROR(VLOOKUP($A1600,Accounts!$A:$G,3,FALSE),"")</f>
        <v>0</v>
      </c>
    </row>
    <row r="1601" spans="1:15" outlineLevel="2" x14ac:dyDescent="0.2">
      <c r="A1601" t="str">
        <f t="shared" si="24"/>
        <v/>
      </c>
      <c r="F1601" s="1"/>
      <c r="H1601" s="1"/>
      <c r="I1601" s="2"/>
      <c r="J1601" s="2"/>
      <c r="N1601" s="2"/>
      <c r="O1601">
        <f>IFERROR(VLOOKUP($A1601,Accounts!$A:$G,3,FALSE),"")</f>
        <v>0</v>
      </c>
    </row>
    <row r="1602" spans="1:15" outlineLevel="2" x14ac:dyDescent="0.2">
      <c r="A1602" t="str">
        <f t="shared" si="24"/>
        <v/>
      </c>
      <c r="F1602" s="1"/>
      <c r="H1602" s="1"/>
      <c r="I1602" s="2"/>
      <c r="J1602" s="2"/>
      <c r="N1602" s="2"/>
      <c r="O1602">
        <f>IFERROR(VLOOKUP($A1602,Accounts!$A:$G,3,FALSE),"")</f>
        <v>0</v>
      </c>
    </row>
    <row r="1603" spans="1:15" outlineLevel="2" x14ac:dyDescent="0.2">
      <c r="A1603" t="str">
        <f t="shared" si="24"/>
        <v/>
      </c>
      <c r="F1603" s="1"/>
      <c r="H1603" s="1"/>
      <c r="I1603" s="2"/>
      <c r="J1603" s="2"/>
      <c r="N1603" s="2"/>
      <c r="O1603">
        <f>IFERROR(VLOOKUP($A1603,Accounts!$A:$G,3,FALSE),"")</f>
        <v>0</v>
      </c>
    </row>
    <row r="1604" spans="1:15" outlineLevel="2" x14ac:dyDescent="0.2">
      <c r="A1604" t="str">
        <f t="shared" si="24"/>
        <v/>
      </c>
      <c r="F1604" s="1"/>
      <c r="H1604" s="1"/>
      <c r="I1604" s="2"/>
      <c r="J1604" s="2"/>
      <c r="N1604" s="2"/>
      <c r="O1604">
        <f>IFERROR(VLOOKUP($A1604,Accounts!$A:$G,3,FALSE),"")</f>
        <v>0</v>
      </c>
    </row>
    <row r="1605" spans="1:15" outlineLevel="2" x14ac:dyDescent="0.2">
      <c r="A1605" t="str">
        <f t="shared" si="24"/>
        <v/>
      </c>
      <c r="F1605" s="1"/>
      <c r="H1605" s="1"/>
      <c r="I1605" s="2"/>
      <c r="J1605" s="2"/>
      <c r="N1605" s="2"/>
      <c r="O1605">
        <f>IFERROR(VLOOKUP($A1605,Accounts!$A:$G,3,FALSE),"")</f>
        <v>0</v>
      </c>
    </row>
    <row r="1606" spans="1:15" outlineLevel="2" x14ac:dyDescent="0.2">
      <c r="A1606" t="str">
        <f t="shared" si="24"/>
        <v/>
      </c>
      <c r="F1606" s="1"/>
      <c r="H1606" s="1"/>
      <c r="I1606" s="2"/>
      <c r="J1606" s="2"/>
      <c r="N1606" s="2"/>
      <c r="O1606">
        <f>IFERROR(VLOOKUP($A1606,Accounts!$A:$G,3,FALSE),"")</f>
        <v>0</v>
      </c>
    </row>
    <row r="1607" spans="1:15" outlineLevel="2" x14ac:dyDescent="0.2">
      <c r="A1607" t="str">
        <f t="shared" si="24"/>
        <v/>
      </c>
      <c r="F1607" s="1"/>
      <c r="H1607" s="1"/>
      <c r="I1607" s="2"/>
      <c r="J1607" s="2"/>
      <c r="N1607" s="2"/>
      <c r="O1607">
        <f>IFERROR(VLOOKUP($A1607,Accounts!$A:$G,3,FALSE),"")</f>
        <v>0</v>
      </c>
    </row>
    <row r="1608" spans="1:15" outlineLevel="2" x14ac:dyDescent="0.2">
      <c r="A1608" t="str">
        <f t="shared" si="24"/>
        <v/>
      </c>
      <c r="F1608" s="1"/>
      <c r="H1608" s="1"/>
      <c r="I1608" s="2"/>
      <c r="J1608" s="2"/>
      <c r="N1608" s="2"/>
      <c r="O1608">
        <f>IFERROR(VLOOKUP($A1608,Accounts!$A:$G,3,FALSE),"")</f>
        <v>0</v>
      </c>
    </row>
    <row r="1609" spans="1:15" outlineLevel="2" x14ac:dyDescent="0.2">
      <c r="A1609" t="str">
        <f t="shared" si="24"/>
        <v/>
      </c>
      <c r="F1609" s="1"/>
      <c r="H1609" s="1"/>
      <c r="I1609" s="2"/>
      <c r="J1609" s="2"/>
      <c r="N1609" s="2"/>
      <c r="O1609">
        <f>IFERROR(VLOOKUP($A1609,Accounts!$A:$G,3,FALSE),"")</f>
        <v>0</v>
      </c>
    </row>
    <row r="1610" spans="1:15" outlineLevel="2" x14ac:dyDescent="0.2">
      <c r="A1610" t="str">
        <f t="shared" ref="A1610:A1673" si="25">IFERROR(IF(J1610=0,E1610&amp;C1610&amp;I1610,G1610&amp;B1610&amp;J1610),"")</f>
        <v/>
      </c>
      <c r="F1610" s="1"/>
      <c r="H1610" s="1"/>
      <c r="I1610" s="2"/>
      <c r="J1610" s="2"/>
      <c r="N1610" s="2"/>
      <c r="O1610">
        <f>IFERROR(VLOOKUP($A1610,Accounts!$A:$G,3,FALSE),"")</f>
        <v>0</v>
      </c>
    </row>
    <row r="1611" spans="1:15" outlineLevel="2" x14ac:dyDescent="0.2">
      <c r="A1611" t="str">
        <f t="shared" si="25"/>
        <v/>
      </c>
      <c r="F1611" s="1"/>
      <c r="H1611" s="1"/>
      <c r="I1611" s="2"/>
      <c r="J1611" s="2"/>
      <c r="N1611" s="2"/>
      <c r="O1611">
        <f>IFERROR(VLOOKUP($A1611,Accounts!$A:$G,3,FALSE),"")</f>
        <v>0</v>
      </c>
    </row>
    <row r="1612" spans="1:15" outlineLevel="1" x14ac:dyDescent="0.2">
      <c r="A1612" t="str">
        <f t="shared" si="25"/>
        <v/>
      </c>
      <c r="F1612" s="1"/>
      <c r="H1612" s="1"/>
      <c r="I1612" s="2"/>
      <c r="J1612" s="2"/>
      <c r="N1612" s="2"/>
      <c r="O1612">
        <f>IFERROR(VLOOKUP($A1612,Accounts!$A:$G,3,FALSE),"")</f>
        <v>0</v>
      </c>
    </row>
    <row r="1613" spans="1:15" outlineLevel="2" x14ac:dyDescent="0.2">
      <c r="A1613" t="str">
        <f t="shared" si="25"/>
        <v/>
      </c>
      <c r="F1613" s="1"/>
      <c r="H1613" s="1"/>
      <c r="I1613" s="2"/>
      <c r="J1613" s="2"/>
      <c r="N1613" s="2"/>
      <c r="O1613">
        <f>IFERROR(VLOOKUP($A1613,Accounts!$A:$G,3,FALSE),"")</f>
        <v>0</v>
      </c>
    </row>
    <row r="1614" spans="1:15" outlineLevel="2" x14ac:dyDescent="0.2">
      <c r="A1614" t="str">
        <f t="shared" si="25"/>
        <v/>
      </c>
      <c r="F1614" s="1"/>
      <c r="H1614" s="1"/>
      <c r="I1614" s="2"/>
      <c r="J1614" s="2"/>
      <c r="N1614" s="2"/>
      <c r="O1614">
        <f>IFERROR(VLOOKUP($A1614,Accounts!$A:$G,3,FALSE),"")</f>
        <v>0</v>
      </c>
    </row>
    <row r="1615" spans="1:15" outlineLevel="2" x14ac:dyDescent="0.2">
      <c r="A1615" t="str">
        <f t="shared" si="25"/>
        <v/>
      </c>
      <c r="F1615" s="1"/>
      <c r="H1615" s="1"/>
      <c r="I1615" s="2"/>
      <c r="J1615" s="2"/>
      <c r="N1615" s="2"/>
      <c r="O1615">
        <f>IFERROR(VLOOKUP($A1615,Accounts!$A:$G,3,FALSE),"")</f>
        <v>0</v>
      </c>
    </row>
    <row r="1616" spans="1:15" outlineLevel="2" x14ac:dyDescent="0.2">
      <c r="A1616" t="str">
        <f t="shared" si="25"/>
        <v/>
      </c>
      <c r="F1616" s="1"/>
      <c r="H1616" s="1"/>
      <c r="I1616" s="2"/>
      <c r="J1616" s="2"/>
      <c r="N1616" s="2"/>
      <c r="O1616">
        <f>IFERROR(VLOOKUP($A1616,Accounts!$A:$G,3,FALSE),"")</f>
        <v>0</v>
      </c>
    </row>
    <row r="1617" spans="1:15" outlineLevel="2" x14ac:dyDescent="0.2">
      <c r="A1617" t="str">
        <f t="shared" si="25"/>
        <v/>
      </c>
      <c r="F1617" s="1"/>
      <c r="H1617" s="1"/>
      <c r="I1617" s="2"/>
      <c r="J1617" s="2"/>
      <c r="N1617" s="2"/>
      <c r="O1617">
        <f>IFERROR(VLOOKUP($A1617,Accounts!$A:$G,3,FALSE),"")</f>
        <v>0</v>
      </c>
    </row>
    <row r="1618" spans="1:15" outlineLevel="2" x14ac:dyDescent="0.2">
      <c r="A1618" t="str">
        <f t="shared" si="25"/>
        <v/>
      </c>
      <c r="F1618" s="1"/>
      <c r="H1618" s="1"/>
      <c r="I1618" s="2"/>
      <c r="J1618" s="2"/>
      <c r="N1618" s="2"/>
      <c r="O1618">
        <f>IFERROR(VLOOKUP($A1618,Accounts!$A:$G,3,FALSE),"")</f>
        <v>0</v>
      </c>
    </row>
    <row r="1619" spans="1:15" outlineLevel="2" x14ac:dyDescent="0.2">
      <c r="A1619" t="str">
        <f t="shared" si="25"/>
        <v/>
      </c>
      <c r="F1619" s="1"/>
      <c r="H1619" s="1"/>
      <c r="I1619" s="2"/>
      <c r="J1619" s="2"/>
      <c r="N1619" s="2"/>
      <c r="O1619">
        <f>IFERROR(VLOOKUP($A1619,Accounts!$A:$G,3,FALSE),"")</f>
        <v>0</v>
      </c>
    </row>
    <row r="1620" spans="1:15" outlineLevel="2" x14ac:dyDescent="0.2">
      <c r="A1620" t="str">
        <f t="shared" si="25"/>
        <v/>
      </c>
      <c r="F1620" s="1"/>
      <c r="H1620" s="1"/>
      <c r="I1620" s="2"/>
      <c r="J1620" s="2"/>
      <c r="N1620" s="2"/>
      <c r="O1620">
        <f>IFERROR(VLOOKUP($A1620,Accounts!$A:$G,3,FALSE),"")</f>
        <v>0</v>
      </c>
    </row>
    <row r="1621" spans="1:15" outlineLevel="2" x14ac:dyDescent="0.2">
      <c r="A1621" t="str">
        <f t="shared" si="25"/>
        <v/>
      </c>
      <c r="F1621" s="1"/>
      <c r="H1621" s="1"/>
      <c r="I1621" s="2"/>
      <c r="J1621" s="2"/>
      <c r="N1621" s="2"/>
      <c r="O1621">
        <f>IFERROR(VLOOKUP($A1621,Accounts!$A:$G,3,FALSE),"")</f>
        <v>0</v>
      </c>
    </row>
    <row r="1622" spans="1:15" outlineLevel="2" x14ac:dyDescent="0.2">
      <c r="A1622" t="str">
        <f t="shared" si="25"/>
        <v/>
      </c>
      <c r="F1622" s="1"/>
      <c r="H1622" s="1"/>
      <c r="I1622" s="2"/>
      <c r="J1622" s="2"/>
      <c r="N1622" s="2"/>
      <c r="O1622">
        <f>IFERROR(VLOOKUP($A1622,Accounts!$A:$G,3,FALSE),"")</f>
        <v>0</v>
      </c>
    </row>
    <row r="1623" spans="1:15" outlineLevel="2" x14ac:dyDescent="0.2">
      <c r="A1623" t="str">
        <f t="shared" si="25"/>
        <v/>
      </c>
      <c r="F1623" s="1"/>
      <c r="H1623" s="1"/>
      <c r="I1623" s="2"/>
      <c r="J1623" s="2"/>
      <c r="N1623" s="2"/>
      <c r="O1623">
        <f>IFERROR(VLOOKUP($A1623,Accounts!$A:$G,3,FALSE),"")</f>
        <v>0</v>
      </c>
    </row>
    <row r="1624" spans="1:15" outlineLevel="2" x14ac:dyDescent="0.2">
      <c r="A1624" t="str">
        <f t="shared" si="25"/>
        <v/>
      </c>
      <c r="F1624" s="1"/>
      <c r="H1624" s="1"/>
      <c r="I1624" s="2"/>
      <c r="J1624" s="2"/>
      <c r="N1624" s="2"/>
      <c r="O1624">
        <f>IFERROR(VLOOKUP($A1624,Accounts!$A:$G,3,FALSE),"")</f>
        <v>0</v>
      </c>
    </row>
    <row r="1625" spans="1:15" outlineLevel="2" x14ac:dyDescent="0.2">
      <c r="A1625" t="str">
        <f t="shared" si="25"/>
        <v/>
      </c>
      <c r="F1625" s="1"/>
      <c r="H1625" s="1"/>
      <c r="I1625" s="2"/>
      <c r="J1625" s="2"/>
      <c r="N1625" s="2"/>
      <c r="O1625">
        <f>IFERROR(VLOOKUP($A1625,Accounts!$A:$G,3,FALSE),"")</f>
        <v>0</v>
      </c>
    </row>
    <row r="1626" spans="1:15" outlineLevel="2" x14ac:dyDescent="0.2">
      <c r="A1626" t="str">
        <f t="shared" si="25"/>
        <v/>
      </c>
      <c r="F1626" s="1"/>
      <c r="H1626" s="1"/>
      <c r="I1626" s="2"/>
      <c r="J1626" s="2"/>
      <c r="N1626" s="2"/>
      <c r="O1626">
        <f>IFERROR(VLOOKUP($A1626,Accounts!$A:$G,3,FALSE),"")</f>
        <v>0</v>
      </c>
    </row>
    <row r="1627" spans="1:15" outlineLevel="2" x14ac:dyDescent="0.2">
      <c r="A1627" t="str">
        <f t="shared" si="25"/>
        <v/>
      </c>
      <c r="F1627" s="1"/>
      <c r="H1627" s="1"/>
      <c r="I1627" s="2"/>
      <c r="J1627" s="2"/>
      <c r="N1627" s="2"/>
      <c r="O1627">
        <f>IFERROR(VLOOKUP($A1627,Accounts!$A:$G,3,FALSE),"")</f>
        <v>0</v>
      </c>
    </row>
    <row r="1628" spans="1:15" outlineLevel="2" x14ac:dyDescent="0.2">
      <c r="A1628" t="str">
        <f t="shared" si="25"/>
        <v/>
      </c>
      <c r="F1628" s="1"/>
      <c r="H1628" s="1"/>
      <c r="I1628" s="2"/>
      <c r="J1628" s="2"/>
      <c r="N1628" s="2"/>
      <c r="O1628">
        <f>IFERROR(VLOOKUP($A1628,Accounts!$A:$G,3,FALSE),"")</f>
        <v>0</v>
      </c>
    </row>
    <row r="1629" spans="1:15" outlineLevel="2" x14ac:dyDescent="0.2">
      <c r="A1629" t="str">
        <f t="shared" si="25"/>
        <v/>
      </c>
      <c r="B1629" s="3"/>
      <c r="C1629" s="3"/>
      <c r="D1629" s="3"/>
      <c r="E1629" s="3"/>
      <c r="F1629" s="4"/>
      <c r="G1629" s="3"/>
      <c r="H1629" s="4"/>
      <c r="I1629" s="5"/>
      <c r="J1629" s="5"/>
      <c r="K1629" s="3"/>
      <c r="L1629" s="3"/>
      <c r="M1629" s="3"/>
      <c r="N1629" s="5"/>
      <c r="O1629">
        <f>IFERROR(VLOOKUP($A1629,Accounts!$A:$G,3,FALSE),"")</f>
        <v>0</v>
      </c>
    </row>
    <row r="1630" spans="1:15" outlineLevel="2" x14ac:dyDescent="0.2">
      <c r="A1630" t="str">
        <f t="shared" si="25"/>
        <v/>
      </c>
      <c r="F1630" s="1"/>
      <c r="H1630" s="1"/>
      <c r="I1630" s="2"/>
      <c r="J1630" s="2"/>
      <c r="N1630" s="2"/>
      <c r="O1630">
        <f>IFERROR(VLOOKUP($A1630,Accounts!$A:$G,3,FALSE),"")</f>
        <v>0</v>
      </c>
    </row>
    <row r="1631" spans="1:15" outlineLevel="2" x14ac:dyDescent="0.2">
      <c r="A1631" t="str">
        <f t="shared" si="25"/>
        <v/>
      </c>
      <c r="F1631" s="1"/>
      <c r="H1631" s="1"/>
      <c r="I1631" s="2"/>
      <c r="J1631" s="2"/>
      <c r="N1631" s="2"/>
      <c r="O1631">
        <f>IFERROR(VLOOKUP($A1631,Accounts!$A:$G,3,FALSE),"")</f>
        <v>0</v>
      </c>
    </row>
    <row r="1632" spans="1:15" outlineLevel="2" x14ac:dyDescent="0.2">
      <c r="A1632" t="str">
        <f t="shared" si="25"/>
        <v/>
      </c>
      <c r="B1632" s="3"/>
      <c r="C1632" s="3"/>
      <c r="D1632" s="3"/>
      <c r="E1632" s="3"/>
      <c r="F1632" s="4"/>
      <c r="G1632" s="3"/>
      <c r="H1632" s="4"/>
      <c r="I1632" s="5"/>
      <c r="J1632" s="5"/>
      <c r="K1632" s="3"/>
      <c r="L1632" s="3"/>
      <c r="M1632" s="3"/>
      <c r="N1632" s="5"/>
      <c r="O1632">
        <f>IFERROR(VLOOKUP($A1632,Accounts!$A:$G,3,FALSE),"")</f>
        <v>0</v>
      </c>
    </row>
    <row r="1633" spans="1:15" outlineLevel="2" x14ac:dyDescent="0.2">
      <c r="A1633" t="str">
        <f t="shared" si="25"/>
        <v/>
      </c>
      <c r="F1633" s="1"/>
      <c r="H1633" s="1"/>
      <c r="I1633" s="2"/>
      <c r="J1633" s="2"/>
      <c r="N1633" s="2"/>
      <c r="O1633">
        <f>IFERROR(VLOOKUP($A1633,Accounts!$A:$G,3,FALSE),"")</f>
        <v>0</v>
      </c>
    </row>
    <row r="1634" spans="1:15" outlineLevel="2" x14ac:dyDescent="0.2">
      <c r="A1634" t="str">
        <f t="shared" si="25"/>
        <v/>
      </c>
      <c r="F1634" s="1"/>
      <c r="H1634" s="1"/>
      <c r="I1634" s="2"/>
      <c r="J1634" s="2"/>
      <c r="N1634" s="2"/>
      <c r="O1634">
        <f>IFERROR(VLOOKUP($A1634,Accounts!$A:$G,3,FALSE),"")</f>
        <v>0</v>
      </c>
    </row>
    <row r="1635" spans="1:15" outlineLevel="2" x14ac:dyDescent="0.2">
      <c r="A1635" t="str">
        <f t="shared" si="25"/>
        <v/>
      </c>
      <c r="F1635" s="1"/>
      <c r="H1635" s="1"/>
      <c r="I1635" s="2"/>
      <c r="J1635" s="2"/>
      <c r="N1635" s="2"/>
      <c r="O1635">
        <f>IFERROR(VLOOKUP($A1635,Accounts!$A:$G,3,FALSE),"")</f>
        <v>0</v>
      </c>
    </row>
    <row r="1636" spans="1:15" outlineLevel="2" x14ac:dyDescent="0.2">
      <c r="A1636" t="str">
        <f t="shared" si="25"/>
        <v/>
      </c>
      <c r="F1636" s="1"/>
      <c r="H1636" s="1"/>
      <c r="I1636" s="2"/>
      <c r="J1636" s="2"/>
      <c r="N1636" s="2"/>
      <c r="O1636">
        <f>IFERROR(VLOOKUP($A1636,Accounts!$A:$G,3,FALSE),"")</f>
        <v>0</v>
      </c>
    </row>
    <row r="1637" spans="1:15" outlineLevel="2" x14ac:dyDescent="0.2">
      <c r="A1637" t="str">
        <f t="shared" si="25"/>
        <v/>
      </c>
      <c r="B1637" s="3"/>
      <c r="C1637" s="3"/>
      <c r="D1637" s="3"/>
      <c r="E1637" s="3"/>
      <c r="F1637" s="4"/>
      <c r="G1637" s="3"/>
      <c r="H1637" s="4"/>
      <c r="I1637" s="5"/>
      <c r="J1637" s="5"/>
      <c r="K1637" s="3"/>
      <c r="L1637" s="3"/>
      <c r="M1637" s="3"/>
      <c r="N1637" s="5"/>
      <c r="O1637">
        <f>IFERROR(VLOOKUP($A1637,Accounts!$A:$G,3,FALSE),"")</f>
        <v>0</v>
      </c>
    </row>
    <row r="1638" spans="1:15" outlineLevel="2" x14ac:dyDescent="0.2">
      <c r="A1638" t="str">
        <f t="shared" si="25"/>
        <v/>
      </c>
      <c r="F1638" s="1"/>
      <c r="H1638" s="1"/>
      <c r="I1638" s="2"/>
      <c r="J1638" s="2"/>
      <c r="N1638" s="2"/>
      <c r="O1638">
        <f>IFERROR(VLOOKUP($A1638,Accounts!$A:$G,3,FALSE),"")</f>
        <v>0</v>
      </c>
    </row>
    <row r="1639" spans="1:15" outlineLevel="2" x14ac:dyDescent="0.2">
      <c r="A1639" t="str">
        <f t="shared" si="25"/>
        <v/>
      </c>
      <c r="F1639" s="1"/>
      <c r="H1639" s="1"/>
      <c r="I1639" s="2"/>
      <c r="J1639" s="2"/>
      <c r="N1639" s="2"/>
      <c r="O1639">
        <f>IFERROR(VLOOKUP($A1639,Accounts!$A:$G,3,FALSE),"")</f>
        <v>0</v>
      </c>
    </row>
    <row r="1640" spans="1:15" outlineLevel="2" x14ac:dyDescent="0.2">
      <c r="A1640" t="str">
        <f t="shared" si="25"/>
        <v/>
      </c>
      <c r="F1640" s="1"/>
      <c r="H1640" s="1"/>
      <c r="I1640" s="2"/>
      <c r="J1640" s="2"/>
      <c r="N1640" s="2"/>
      <c r="O1640">
        <f>IFERROR(VLOOKUP($A1640,Accounts!$A:$G,3,FALSE),"")</f>
        <v>0</v>
      </c>
    </row>
    <row r="1641" spans="1:15" outlineLevel="2" x14ac:dyDescent="0.2">
      <c r="A1641" t="str">
        <f t="shared" si="25"/>
        <v/>
      </c>
      <c r="F1641" s="1"/>
      <c r="H1641" s="1"/>
      <c r="I1641" s="2"/>
      <c r="J1641" s="2"/>
      <c r="N1641" s="2"/>
      <c r="O1641">
        <f>IFERROR(VLOOKUP($A1641,Accounts!$A:$G,3,FALSE),"")</f>
        <v>0</v>
      </c>
    </row>
    <row r="1642" spans="1:15" outlineLevel="2" x14ac:dyDescent="0.2">
      <c r="A1642" t="str">
        <f t="shared" si="25"/>
        <v/>
      </c>
      <c r="F1642" s="1"/>
      <c r="H1642" s="1"/>
      <c r="I1642" s="2"/>
      <c r="J1642" s="2"/>
      <c r="N1642" s="2"/>
      <c r="O1642">
        <f>IFERROR(VLOOKUP($A1642,Accounts!$A:$G,3,FALSE),"")</f>
        <v>0</v>
      </c>
    </row>
    <row r="1643" spans="1:15" outlineLevel="2" x14ac:dyDescent="0.2">
      <c r="A1643" t="str">
        <f t="shared" si="25"/>
        <v/>
      </c>
      <c r="F1643" s="1"/>
      <c r="H1643" s="1"/>
      <c r="I1643" s="2"/>
      <c r="J1643" s="2"/>
      <c r="N1643" s="2"/>
      <c r="O1643">
        <f>IFERROR(VLOOKUP($A1643,Accounts!$A:$G,3,FALSE),"")</f>
        <v>0</v>
      </c>
    </row>
    <row r="1644" spans="1:15" outlineLevel="2" x14ac:dyDescent="0.2">
      <c r="A1644" t="str">
        <f t="shared" si="25"/>
        <v/>
      </c>
      <c r="F1644" s="1"/>
      <c r="H1644" s="1"/>
      <c r="I1644" s="2"/>
      <c r="J1644" s="2"/>
      <c r="N1644" s="2"/>
      <c r="O1644">
        <f>IFERROR(VLOOKUP($A1644,Accounts!$A:$G,3,FALSE),"")</f>
        <v>0</v>
      </c>
    </row>
    <row r="1645" spans="1:15" outlineLevel="2" x14ac:dyDescent="0.2">
      <c r="A1645" t="str">
        <f t="shared" si="25"/>
        <v/>
      </c>
      <c r="F1645" s="1"/>
      <c r="H1645" s="1"/>
      <c r="I1645" s="2"/>
      <c r="J1645" s="2"/>
      <c r="N1645" s="2"/>
      <c r="O1645">
        <f>IFERROR(VLOOKUP($A1645,Accounts!$A:$G,3,FALSE),"")</f>
        <v>0</v>
      </c>
    </row>
    <row r="1646" spans="1:15" outlineLevel="2" x14ac:dyDescent="0.2">
      <c r="A1646" t="str">
        <f t="shared" si="25"/>
        <v/>
      </c>
      <c r="F1646" s="1"/>
      <c r="H1646" s="1"/>
      <c r="I1646" s="2"/>
      <c r="J1646" s="2"/>
      <c r="N1646" s="2"/>
      <c r="O1646">
        <f>IFERROR(VLOOKUP($A1646,Accounts!$A:$G,3,FALSE),"")</f>
        <v>0</v>
      </c>
    </row>
    <row r="1647" spans="1:15" outlineLevel="2" x14ac:dyDescent="0.2">
      <c r="A1647" t="str">
        <f t="shared" si="25"/>
        <v/>
      </c>
      <c r="F1647" s="1"/>
      <c r="H1647" s="1"/>
      <c r="I1647" s="2"/>
      <c r="J1647" s="2"/>
      <c r="N1647" s="2"/>
      <c r="O1647">
        <f>IFERROR(VLOOKUP($A1647,Accounts!$A:$G,3,FALSE),"")</f>
        <v>0</v>
      </c>
    </row>
    <row r="1648" spans="1:15" outlineLevel="2" x14ac:dyDescent="0.2">
      <c r="A1648" t="str">
        <f t="shared" si="25"/>
        <v/>
      </c>
      <c r="F1648" s="1"/>
      <c r="H1648" s="1"/>
      <c r="I1648" s="2"/>
      <c r="J1648" s="2"/>
      <c r="N1648" s="2"/>
      <c r="O1648">
        <f>IFERROR(VLOOKUP($A1648,Accounts!$A:$G,3,FALSE),"")</f>
        <v>0</v>
      </c>
    </row>
    <row r="1649" spans="1:15" outlineLevel="2" x14ac:dyDescent="0.2">
      <c r="A1649" t="str">
        <f t="shared" si="25"/>
        <v/>
      </c>
      <c r="F1649" s="1"/>
      <c r="H1649" s="1"/>
      <c r="I1649" s="2"/>
      <c r="J1649" s="2"/>
      <c r="N1649" s="2"/>
      <c r="O1649">
        <f>IFERROR(VLOOKUP($A1649,Accounts!$A:$G,3,FALSE),"")</f>
        <v>0</v>
      </c>
    </row>
    <row r="1650" spans="1:15" outlineLevel="2" x14ac:dyDescent="0.2">
      <c r="A1650" t="str">
        <f t="shared" si="25"/>
        <v/>
      </c>
      <c r="F1650" s="1"/>
      <c r="H1650" s="1"/>
      <c r="I1650" s="2"/>
      <c r="J1650" s="2"/>
      <c r="N1650" s="2"/>
      <c r="O1650">
        <f>IFERROR(VLOOKUP($A1650,Accounts!$A:$G,3,FALSE),"")</f>
        <v>0</v>
      </c>
    </row>
    <row r="1651" spans="1:15" outlineLevel="2" x14ac:dyDescent="0.2">
      <c r="A1651" t="str">
        <f t="shared" si="25"/>
        <v/>
      </c>
      <c r="F1651" s="1"/>
      <c r="H1651" s="1"/>
      <c r="I1651" s="2"/>
      <c r="J1651" s="2"/>
      <c r="N1651" s="2"/>
      <c r="O1651">
        <f>IFERROR(VLOOKUP($A1651,Accounts!$A:$G,3,FALSE),"")</f>
        <v>0</v>
      </c>
    </row>
    <row r="1652" spans="1:15" outlineLevel="2" x14ac:dyDescent="0.2">
      <c r="A1652" t="str">
        <f t="shared" si="25"/>
        <v/>
      </c>
      <c r="F1652" s="1"/>
      <c r="H1652" s="1"/>
      <c r="I1652" s="2"/>
      <c r="J1652" s="2"/>
      <c r="N1652" s="2"/>
      <c r="O1652">
        <f>IFERROR(VLOOKUP($A1652,Accounts!$A:$G,3,FALSE),"")</f>
        <v>0</v>
      </c>
    </row>
    <row r="1653" spans="1:15" outlineLevel="2" x14ac:dyDescent="0.2">
      <c r="A1653" t="str">
        <f t="shared" si="25"/>
        <v/>
      </c>
      <c r="F1653" s="1"/>
      <c r="H1653" s="1"/>
      <c r="I1653" s="2"/>
      <c r="J1653" s="2"/>
      <c r="N1653" s="2"/>
      <c r="O1653">
        <f>IFERROR(VLOOKUP($A1653,Accounts!$A:$G,3,FALSE),"")</f>
        <v>0</v>
      </c>
    </row>
    <row r="1654" spans="1:15" outlineLevel="2" x14ac:dyDescent="0.2">
      <c r="A1654" t="str">
        <f t="shared" si="25"/>
        <v/>
      </c>
      <c r="F1654" s="1"/>
      <c r="H1654" s="1"/>
      <c r="I1654" s="2"/>
      <c r="J1654" s="2"/>
      <c r="N1654" s="2"/>
      <c r="O1654">
        <f>IFERROR(VLOOKUP($A1654,Accounts!$A:$G,3,FALSE),"")</f>
        <v>0</v>
      </c>
    </row>
    <row r="1655" spans="1:15" outlineLevel="2" x14ac:dyDescent="0.2">
      <c r="A1655" t="str">
        <f t="shared" si="25"/>
        <v/>
      </c>
      <c r="F1655" s="1"/>
      <c r="H1655" s="1"/>
      <c r="I1655" s="2"/>
      <c r="J1655" s="2"/>
      <c r="N1655" s="2"/>
      <c r="O1655">
        <f>IFERROR(VLOOKUP($A1655,Accounts!$A:$G,3,FALSE),"")</f>
        <v>0</v>
      </c>
    </row>
    <row r="1656" spans="1:15" outlineLevel="2" x14ac:dyDescent="0.2">
      <c r="A1656" t="str">
        <f t="shared" si="25"/>
        <v/>
      </c>
      <c r="F1656" s="1"/>
      <c r="H1656" s="1"/>
      <c r="I1656" s="2"/>
      <c r="J1656" s="2"/>
      <c r="N1656" s="2"/>
      <c r="O1656">
        <f>IFERROR(VLOOKUP($A1656,Accounts!$A:$G,3,FALSE),"")</f>
        <v>0</v>
      </c>
    </row>
    <row r="1657" spans="1:15" outlineLevel="2" x14ac:dyDescent="0.2">
      <c r="A1657" t="str">
        <f t="shared" si="25"/>
        <v/>
      </c>
      <c r="F1657" s="1"/>
      <c r="H1657" s="1"/>
      <c r="I1657" s="2"/>
      <c r="J1657" s="2"/>
      <c r="N1657" s="2"/>
      <c r="O1657">
        <f>IFERROR(VLOOKUP($A1657,Accounts!$A:$G,3,FALSE),"")</f>
        <v>0</v>
      </c>
    </row>
    <row r="1658" spans="1:15" outlineLevel="2" x14ac:dyDescent="0.2">
      <c r="A1658" t="str">
        <f t="shared" si="25"/>
        <v/>
      </c>
      <c r="F1658" s="1"/>
      <c r="H1658" s="1"/>
      <c r="I1658" s="2"/>
      <c r="J1658" s="2"/>
      <c r="N1658" s="2"/>
      <c r="O1658">
        <f>IFERROR(VLOOKUP($A1658,Accounts!$A:$G,3,FALSE),"")</f>
        <v>0</v>
      </c>
    </row>
    <row r="1659" spans="1:15" outlineLevel="2" x14ac:dyDescent="0.2">
      <c r="A1659" t="str">
        <f t="shared" si="25"/>
        <v/>
      </c>
      <c r="F1659" s="1"/>
      <c r="H1659" s="1"/>
      <c r="I1659" s="2"/>
      <c r="J1659" s="2"/>
      <c r="N1659" s="2"/>
      <c r="O1659">
        <f>IFERROR(VLOOKUP($A1659,Accounts!$A:$G,3,FALSE),"")</f>
        <v>0</v>
      </c>
    </row>
    <row r="1660" spans="1:15" outlineLevel="2" x14ac:dyDescent="0.2">
      <c r="A1660" t="str">
        <f t="shared" si="25"/>
        <v/>
      </c>
      <c r="F1660" s="1"/>
      <c r="H1660" s="1"/>
      <c r="I1660" s="2"/>
      <c r="J1660" s="2"/>
      <c r="N1660" s="2"/>
      <c r="O1660">
        <f>IFERROR(VLOOKUP($A1660,Accounts!$A:$G,3,FALSE),"")</f>
        <v>0</v>
      </c>
    </row>
    <row r="1661" spans="1:15" outlineLevel="2" x14ac:dyDescent="0.2">
      <c r="A1661" t="str">
        <f t="shared" si="25"/>
        <v/>
      </c>
      <c r="F1661" s="1"/>
      <c r="H1661" s="1"/>
      <c r="I1661" s="2"/>
      <c r="J1661" s="2"/>
      <c r="N1661" s="2"/>
      <c r="O1661">
        <f>IFERROR(VLOOKUP($A1661,Accounts!$A:$G,3,FALSE),"")</f>
        <v>0</v>
      </c>
    </row>
    <row r="1662" spans="1:15" outlineLevel="2" x14ac:dyDescent="0.2">
      <c r="A1662" t="str">
        <f t="shared" si="25"/>
        <v/>
      </c>
      <c r="F1662" s="1"/>
      <c r="H1662" s="1"/>
      <c r="I1662" s="2"/>
      <c r="J1662" s="2"/>
      <c r="N1662" s="2"/>
      <c r="O1662">
        <f>IFERROR(VLOOKUP($A1662,Accounts!$A:$G,3,FALSE),"")</f>
        <v>0</v>
      </c>
    </row>
    <row r="1663" spans="1:15" outlineLevel="2" x14ac:dyDescent="0.2">
      <c r="A1663" t="str">
        <f t="shared" si="25"/>
        <v/>
      </c>
      <c r="F1663" s="1"/>
      <c r="H1663" s="1"/>
      <c r="I1663" s="2"/>
      <c r="J1663" s="2"/>
      <c r="N1663" s="2"/>
      <c r="O1663">
        <f>IFERROR(VLOOKUP($A1663,Accounts!$A:$G,3,FALSE),"")</f>
        <v>0</v>
      </c>
    </row>
    <row r="1664" spans="1:15" outlineLevel="2" x14ac:dyDescent="0.2">
      <c r="A1664" t="str">
        <f t="shared" si="25"/>
        <v/>
      </c>
      <c r="F1664" s="1"/>
      <c r="H1664" s="1"/>
      <c r="I1664" s="2"/>
      <c r="J1664" s="2"/>
      <c r="N1664" s="2"/>
      <c r="O1664">
        <f>IFERROR(VLOOKUP($A1664,Accounts!$A:$G,3,FALSE),"")</f>
        <v>0</v>
      </c>
    </row>
    <row r="1665" spans="1:15" outlineLevel="2" x14ac:dyDescent="0.2">
      <c r="A1665" t="str">
        <f t="shared" si="25"/>
        <v/>
      </c>
      <c r="F1665" s="1"/>
      <c r="H1665" s="1"/>
      <c r="I1665" s="2"/>
      <c r="J1665" s="2"/>
      <c r="N1665" s="2"/>
      <c r="O1665">
        <f>IFERROR(VLOOKUP($A1665,Accounts!$A:$G,3,FALSE),"")</f>
        <v>0</v>
      </c>
    </row>
    <row r="1666" spans="1:15" outlineLevel="2" x14ac:dyDescent="0.2">
      <c r="A1666" t="str">
        <f t="shared" si="25"/>
        <v/>
      </c>
      <c r="F1666" s="1"/>
      <c r="H1666" s="1"/>
      <c r="I1666" s="2"/>
      <c r="J1666" s="2"/>
      <c r="N1666" s="2"/>
      <c r="O1666">
        <f>IFERROR(VLOOKUP($A1666,Accounts!$A:$G,3,FALSE),"")</f>
        <v>0</v>
      </c>
    </row>
    <row r="1667" spans="1:15" outlineLevel="2" x14ac:dyDescent="0.2">
      <c r="A1667" t="str">
        <f t="shared" si="25"/>
        <v/>
      </c>
      <c r="F1667" s="1"/>
      <c r="H1667" s="1"/>
      <c r="I1667" s="2"/>
      <c r="J1667" s="2"/>
      <c r="N1667" s="2"/>
      <c r="O1667">
        <f>IFERROR(VLOOKUP($A1667,Accounts!$A:$G,3,FALSE),"")</f>
        <v>0</v>
      </c>
    </row>
    <row r="1668" spans="1:15" outlineLevel="2" x14ac:dyDescent="0.2">
      <c r="A1668" t="str">
        <f t="shared" si="25"/>
        <v/>
      </c>
      <c r="F1668" s="1"/>
      <c r="H1668" s="1"/>
      <c r="I1668" s="2"/>
      <c r="J1668" s="2"/>
      <c r="N1668" s="2"/>
      <c r="O1668">
        <f>IFERROR(VLOOKUP($A1668,Accounts!$A:$G,3,FALSE),"")</f>
        <v>0</v>
      </c>
    </row>
    <row r="1669" spans="1:15" outlineLevel="2" x14ac:dyDescent="0.2">
      <c r="A1669" t="str">
        <f t="shared" si="25"/>
        <v/>
      </c>
      <c r="F1669" s="1"/>
      <c r="H1669" s="1"/>
      <c r="I1669" s="2"/>
      <c r="J1669" s="2"/>
      <c r="N1669" s="2"/>
      <c r="O1669">
        <f>IFERROR(VLOOKUP($A1669,Accounts!$A:$G,3,FALSE),"")</f>
        <v>0</v>
      </c>
    </row>
    <row r="1670" spans="1:15" outlineLevel="2" x14ac:dyDescent="0.2">
      <c r="A1670" t="str">
        <f t="shared" si="25"/>
        <v/>
      </c>
      <c r="F1670" s="1"/>
      <c r="H1670" s="1"/>
      <c r="I1670" s="2"/>
      <c r="J1670" s="2"/>
      <c r="N1670" s="2"/>
      <c r="O1670">
        <f>IFERROR(VLOOKUP($A1670,Accounts!$A:$G,3,FALSE),"")</f>
        <v>0</v>
      </c>
    </row>
    <row r="1671" spans="1:15" outlineLevel="2" x14ac:dyDescent="0.2">
      <c r="A1671" t="str">
        <f t="shared" si="25"/>
        <v/>
      </c>
      <c r="F1671" s="1"/>
      <c r="H1671" s="1"/>
      <c r="I1671" s="2"/>
      <c r="J1671" s="2"/>
      <c r="N1671" s="2"/>
      <c r="O1671">
        <f>IFERROR(VLOOKUP($A1671,Accounts!$A:$G,3,FALSE),"")</f>
        <v>0</v>
      </c>
    </row>
    <row r="1672" spans="1:15" outlineLevel="2" x14ac:dyDescent="0.2">
      <c r="A1672" t="str">
        <f t="shared" si="25"/>
        <v/>
      </c>
      <c r="F1672" s="1"/>
      <c r="H1672" s="1"/>
      <c r="I1672" s="2"/>
      <c r="J1672" s="2"/>
      <c r="N1672" s="2"/>
      <c r="O1672">
        <f>IFERROR(VLOOKUP($A1672,Accounts!$A:$G,3,FALSE),"")</f>
        <v>0</v>
      </c>
    </row>
    <row r="1673" spans="1:15" outlineLevel="2" x14ac:dyDescent="0.2">
      <c r="A1673" t="str">
        <f t="shared" si="25"/>
        <v/>
      </c>
      <c r="F1673" s="1"/>
      <c r="H1673" s="1"/>
      <c r="I1673" s="2"/>
      <c r="J1673" s="2"/>
      <c r="N1673" s="2"/>
      <c r="O1673">
        <f>IFERROR(VLOOKUP($A1673,Accounts!$A:$G,3,FALSE),"")</f>
        <v>0</v>
      </c>
    </row>
    <row r="1674" spans="1:15" outlineLevel="2" x14ac:dyDescent="0.2">
      <c r="A1674" t="str">
        <f t="shared" ref="A1674:A1737" si="26">IFERROR(IF(J1674=0,E1674&amp;C1674&amp;I1674,G1674&amp;B1674&amp;J1674),"")</f>
        <v/>
      </c>
      <c r="F1674" s="1"/>
      <c r="H1674" s="1"/>
      <c r="I1674" s="2"/>
      <c r="J1674" s="2"/>
      <c r="N1674" s="2"/>
      <c r="O1674">
        <f>IFERROR(VLOOKUP($A1674,Accounts!$A:$G,3,FALSE),"")</f>
        <v>0</v>
      </c>
    </row>
    <row r="1675" spans="1:15" outlineLevel="2" x14ac:dyDescent="0.2">
      <c r="A1675" t="str">
        <f t="shared" si="26"/>
        <v/>
      </c>
      <c r="F1675" s="1"/>
      <c r="H1675" s="1"/>
      <c r="I1675" s="2"/>
      <c r="J1675" s="2"/>
      <c r="N1675" s="2"/>
      <c r="O1675">
        <f>IFERROR(VLOOKUP($A1675,Accounts!$A:$G,3,FALSE),"")</f>
        <v>0</v>
      </c>
    </row>
    <row r="1676" spans="1:15" outlineLevel="2" x14ac:dyDescent="0.2">
      <c r="A1676" t="str">
        <f t="shared" si="26"/>
        <v/>
      </c>
      <c r="F1676" s="1"/>
      <c r="H1676" s="1"/>
      <c r="I1676" s="2"/>
      <c r="J1676" s="2"/>
      <c r="N1676" s="2"/>
      <c r="O1676">
        <f>IFERROR(VLOOKUP($A1676,Accounts!$A:$G,3,FALSE),"")</f>
        <v>0</v>
      </c>
    </row>
    <row r="1677" spans="1:15" outlineLevel="2" x14ac:dyDescent="0.2">
      <c r="A1677" t="str">
        <f t="shared" si="26"/>
        <v/>
      </c>
      <c r="F1677" s="1"/>
      <c r="H1677" s="1"/>
      <c r="I1677" s="2"/>
      <c r="J1677" s="2"/>
      <c r="N1677" s="2"/>
      <c r="O1677">
        <f>IFERROR(VLOOKUP($A1677,Accounts!$A:$G,3,FALSE),"")</f>
        <v>0</v>
      </c>
    </row>
    <row r="1678" spans="1:15" outlineLevel="2" x14ac:dyDescent="0.2">
      <c r="A1678" t="str">
        <f t="shared" si="26"/>
        <v/>
      </c>
      <c r="F1678" s="1"/>
      <c r="H1678" s="1"/>
      <c r="I1678" s="2"/>
      <c r="J1678" s="2"/>
      <c r="N1678" s="2"/>
      <c r="O1678">
        <f>IFERROR(VLOOKUP($A1678,Accounts!$A:$G,3,FALSE),"")</f>
        <v>0</v>
      </c>
    </row>
    <row r="1679" spans="1:15" outlineLevel="2" x14ac:dyDescent="0.2">
      <c r="A1679" t="str">
        <f t="shared" si="26"/>
        <v/>
      </c>
      <c r="F1679" s="1"/>
      <c r="H1679" s="1"/>
      <c r="I1679" s="2"/>
      <c r="J1679" s="2"/>
      <c r="N1679" s="2"/>
      <c r="O1679">
        <f>IFERROR(VLOOKUP($A1679,Accounts!$A:$G,3,FALSE),"")</f>
        <v>0</v>
      </c>
    </row>
    <row r="1680" spans="1:15" outlineLevel="2" x14ac:dyDescent="0.2">
      <c r="A1680" t="str">
        <f t="shared" si="26"/>
        <v/>
      </c>
      <c r="F1680" s="1"/>
      <c r="H1680" s="1"/>
      <c r="I1680" s="2"/>
      <c r="J1680" s="2"/>
      <c r="N1680" s="2"/>
      <c r="O1680">
        <f>IFERROR(VLOOKUP($A1680,Accounts!$A:$G,3,FALSE),"")</f>
        <v>0</v>
      </c>
    </row>
    <row r="1681" spans="1:15" outlineLevel="2" x14ac:dyDescent="0.2">
      <c r="A1681" t="str">
        <f t="shared" si="26"/>
        <v/>
      </c>
      <c r="F1681" s="1"/>
      <c r="H1681" s="1"/>
      <c r="I1681" s="2"/>
      <c r="J1681" s="2"/>
      <c r="N1681" s="2"/>
      <c r="O1681">
        <f>IFERROR(VLOOKUP($A1681,Accounts!$A:$G,3,FALSE),"")</f>
        <v>0</v>
      </c>
    </row>
    <row r="1682" spans="1:15" outlineLevel="2" x14ac:dyDescent="0.2">
      <c r="A1682" t="str">
        <f t="shared" si="26"/>
        <v/>
      </c>
      <c r="F1682" s="1"/>
      <c r="H1682" s="1"/>
      <c r="I1682" s="2"/>
      <c r="J1682" s="2"/>
      <c r="N1682" s="2"/>
      <c r="O1682">
        <f>IFERROR(VLOOKUP($A1682,Accounts!$A:$G,3,FALSE),"")</f>
        <v>0</v>
      </c>
    </row>
    <row r="1683" spans="1:15" outlineLevel="2" x14ac:dyDescent="0.2">
      <c r="A1683" t="str">
        <f t="shared" si="26"/>
        <v/>
      </c>
      <c r="F1683" s="1"/>
      <c r="H1683" s="1"/>
      <c r="I1683" s="2"/>
      <c r="J1683" s="2"/>
      <c r="N1683" s="2"/>
      <c r="O1683">
        <f>IFERROR(VLOOKUP($A1683,Accounts!$A:$G,3,FALSE),"")</f>
        <v>0</v>
      </c>
    </row>
    <row r="1684" spans="1:15" outlineLevel="2" x14ac:dyDescent="0.2">
      <c r="A1684" t="str">
        <f t="shared" si="26"/>
        <v/>
      </c>
      <c r="F1684" s="1"/>
      <c r="H1684" s="1"/>
      <c r="I1684" s="2"/>
      <c r="J1684" s="2"/>
      <c r="N1684" s="2"/>
      <c r="O1684">
        <f>IFERROR(VLOOKUP($A1684,Accounts!$A:$G,3,FALSE),"")</f>
        <v>0</v>
      </c>
    </row>
    <row r="1685" spans="1:15" outlineLevel="2" x14ac:dyDescent="0.2">
      <c r="A1685" t="str">
        <f t="shared" si="26"/>
        <v/>
      </c>
      <c r="F1685" s="1"/>
      <c r="H1685" s="1"/>
      <c r="I1685" s="2"/>
      <c r="J1685" s="2"/>
      <c r="N1685" s="2"/>
      <c r="O1685">
        <f>IFERROR(VLOOKUP($A1685,Accounts!$A:$G,3,FALSE),"")</f>
        <v>0</v>
      </c>
    </row>
    <row r="1686" spans="1:15" outlineLevel="2" x14ac:dyDescent="0.2">
      <c r="A1686" t="str">
        <f t="shared" si="26"/>
        <v/>
      </c>
      <c r="F1686" s="1"/>
      <c r="H1686" s="1"/>
      <c r="I1686" s="2"/>
      <c r="J1686" s="2"/>
      <c r="N1686" s="2"/>
      <c r="O1686">
        <f>IFERROR(VLOOKUP($A1686,Accounts!$A:$G,3,FALSE),"")</f>
        <v>0</v>
      </c>
    </row>
    <row r="1687" spans="1:15" outlineLevel="2" x14ac:dyDescent="0.2">
      <c r="A1687" t="str">
        <f t="shared" si="26"/>
        <v/>
      </c>
      <c r="F1687" s="1"/>
      <c r="H1687" s="1"/>
      <c r="I1687" s="2"/>
      <c r="J1687" s="2"/>
      <c r="N1687" s="2"/>
      <c r="O1687">
        <f>IFERROR(VLOOKUP($A1687,Accounts!$A:$G,3,FALSE),"")</f>
        <v>0</v>
      </c>
    </row>
    <row r="1688" spans="1:15" outlineLevel="2" x14ac:dyDescent="0.2">
      <c r="A1688" t="str">
        <f t="shared" si="26"/>
        <v/>
      </c>
      <c r="F1688" s="1"/>
      <c r="H1688" s="1"/>
      <c r="I1688" s="2"/>
      <c r="J1688" s="2"/>
      <c r="N1688" s="2"/>
      <c r="O1688">
        <f>IFERROR(VLOOKUP($A1688,Accounts!$A:$G,3,FALSE),"")</f>
        <v>0</v>
      </c>
    </row>
    <row r="1689" spans="1:15" outlineLevel="2" x14ac:dyDescent="0.2">
      <c r="A1689" t="str">
        <f t="shared" si="26"/>
        <v/>
      </c>
      <c r="F1689" s="1"/>
      <c r="H1689" s="1"/>
      <c r="I1689" s="2"/>
      <c r="J1689" s="2"/>
      <c r="N1689" s="2"/>
      <c r="O1689">
        <f>IFERROR(VLOOKUP($A1689,Accounts!$A:$G,3,FALSE),"")</f>
        <v>0</v>
      </c>
    </row>
    <row r="1690" spans="1:15" outlineLevel="2" x14ac:dyDescent="0.2">
      <c r="A1690" t="str">
        <f t="shared" si="26"/>
        <v/>
      </c>
      <c r="F1690" s="1"/>
      <c r="H1690" s="1"/>
      <c r="I1690" s="2"/>
      <c r="J1690" s="2"/>
      <c r="N1690" s="2"/>
      <c r="O1690">
        <f>IFERROR(VLOOKUP($A1690,Accounts!$A:$G,3,FALSE),"")</f>
        <v>0</v>
      </c>
    </row>
    <row r="1691" spans="1:15" outlineLevel="2" x14ac:dyDescent="0.2">
      <c r="A1691" t="str">
        <f t="shared" si="26"/>
        <v/>
      </c>
      <c r="F1691" s="1"/>
      <c r="H1691" s="1"/>
      <c r="I1691" s="2"/>
      <c r="J1691" s="2"/>
      <c r="N1691" s="2"/>
      <c r="O1691">
        <f>IFERROR(VLOOKUP($A1691,Accounts!$A:$G,3,FALSE),"")</f>
        <v>0</v>
      </c>
    </row>
    <row r="1692" spans="1:15" outlineLevel="2" x14ac:dyDescent="0.2">
      <c r="A1692" t="str">
        <f t="shared" si="26"/>
        <v/>
      </c>
      <c r="F1692" s="1"/>
      <c r="H1692" s="1"/>
      <c r="I1692" s="2"/>
      <c r="J1692" s="2"/>
      <c r="N1692" s="2"/>
      <c r="O1692">
        <f>IFERROR(VLOOKUP($A1692,Accounts!$A:$G,3,FALSE),"")</f>
        <v>0</v>
      </c>
    </row>
    <row r="1693" spans="1:15" outlineLevel="2" x14ac:dyDescent="0.2">
      <c r="A1693" t="str">
        <f t="shared" si="26"/>
        <v/>
      </c>
      <c r="F1693" s="1"/>
      <c r="H1693" s="1"/>
      <c r="I1693" s="2"/>
      <c r="J1693" s="2"/>
      <c r="N1693" s="2"/>
      <c r="O1693">
        <f>IFERROR(VLOOKUP($A1693,Accounts!$A:$G,3,FALSE),"")</f>
        <v>0</v>
      </c>
    </row>
    <row r="1694" spans="1:15" outlineLevel="2" x14ac:dyDescent="0.2">
      <c r="A1694" t="str">
        <f t="shared" si="26"/>
        <v/>
      </c>
      <c r="F1694" s="1"/>
      <c r="H1694" s="1"/>
      <c r="I1694" s="2"/>
      <c r="J1694" s="2"/>
      <c r="N1694" s="2"/>
      <c r="O1694">
        <f>IFERROR(VLOOKUP($A1694,Accounts!$A:$G,3,FALSE),"")</f>
        <v>0</v>
      </c>
    </row>
    <row r="1695" spans="1:15" outlineLevel="2" x14ac:dyDescent="0.2">
      <c r="A1695" t="str">
        <f t="shared" si="26"/>
        <v/>
      </c>
      <c r="F1695" s="1"/>
      <c r="H1695" s="1"/>
      <c r="I1695" s="2"/>
      <c r="J1695" s="2"/>
      <c r="N1695" s="2"/>
      <c r="O1695">
        <f>IFERROR(VLOOKUP($A1695,Accounts!$A:$G,3,FALSE),"")</f>
        <v>0</v>
      </c>
    </row>
    <row r="1696" spans="1:15" outlineLevel="2" x14ac:dyDescent="0.2">
      <c r="A1696" t="str">
        <f t="shared" si="26"/>
        <v/>
      </c>
      <c r="F1696" s="1"/>
      <c r="H1696" s="1"/>
      <c r="I1696" s="2"/>
      <c r="J1696" s="2"/>
      <c r="N1696" s="2"/>
      <c r="O1696">
        <f>IFERROR(VLOOKUP($A1696,Accounts!$A:$G,3,FALSE),"")</f>
        <v>0</v>
      </c>
    </row>
    <row r="1697" spans="1:15" outlineLevel="2" x14ac:dyDescent="0.2">
      <c r="A1697" t="str">
        <f t="shared" si="26"/>
        <v/>
      </c>
      <c r="F1697" s="1"/>
      <c r="H1697" s="1"/>
      <c r="I1697" s="2"/>
      <c r="J1697" s="2"/>
      <c r="N1697" s="2"/>
      <c r="O1697">
        <f>IFERROR(VLOOKUP($A1697,Accounts!$A:$G,3,FALSE),"")</f>
        <v>0</v>
      </c>
    </row>
    <row r="1698" spans="1:15" outlineLevel="2" x14ac:dyDescent="0.2">
      <c r="A1698" t="str">
        <f t="shared" si="26"/>
        <v/>
      </c>
      <c r="F1698" s="1"/>
      <c r="H1698" s="1"/>
      <c r="I1698" s="2"/>
      <c r="J1698" s="2"/>
      <c r="N1698" s="2"/>
      <c r="O1698">
        <f>IFERROR(VLOOKUP($A1698,Accounts!$A:$G,3,FALSE),"")</f>
        <v>0</v>
      </c>
    </row>
    <row r="1699" spans="1:15" outlineLevel="2" x14ac:dyDescent="0.2">
      <c r="A1699" t="str">
        <f t="shared" si="26"/>
        <v/>
      </c>
      <c r="F1699" s="1"/>
      <c r="H1699" s="1"/>
      <c r="I1699" s="2"/>
      <c r="J1699" s="2"/>
      <c r="N1699" s="2"/>
      <c r="O1699">
        <f>IFERROR(VLOOKUP($A1699,Accounts!$A:$G,3,FALSE),"")</f>
        <v>0</v>
      </c>
    </row>
    <row r="1700" spans="1:15" outlineLevel="2" x14ac:dyDescent="0.2">
      <c r="A1700" t="str">
        <f t="shared" si="26"/>
        <v/>
      </c>
      <c r="F1700" s="1"/>
      <c r="H1700" s="1"/>
      <c r="I1700" s="2"/>
      <c r="J1700" s="2"/>
      <c r="N1700" s="2"/>
      <c r="O1700">
        <f>IFERROR(VLOOKUP($A1700,Accounts!$A:$G,3,FALSE),"")</f>
        <v>0</v>
      </c>
    </row>
    <row r="1701" spans="1:15" outlineLevel="2" x14ac:dyDescent="0.2">
      <c r="A1701" t="str">
        <f t="shared" si="26"/>
        <v/>
      </c>
      <c r="F1701" s="1"/>
      <c r="H1701" s="1"/>
      <c r="I1701" s="2"/>
      <c r="J1701" s="2"/>
      <c r="N1701" s="2"/>
      <c r="O1701">
        <f>IFERROR(VLOOKUP($A1701,Accounts!$A:$G,3,FALSE),"")</f>
        <v>0</v>
      </c>
    </row>
    <row r="1702" spans="1:15" outlineLevel="2" x14ac:dyDescent="0.2">
      <c r="A1702" t="str">
        <f t="shared" si="26"/>
        <v/>
      </c>
      <c r="F1702" s="1"/>
      <c r="H1702" s="1"/>
      <c r="I1702" s="2"/>
      <c r="J1702" s="2"/>
      <c r="N1702" s="2"/>
      <c r="O1702">
        <f>IFERROR(VLOOKUP($A1702,Accounts!$A:$G,3,FALSE),"")</f>
        <v>0</v>
      </c>
    </row>
    <row r="1703" spans="1:15" outlineLevel="2" x14ac:dyDescent="0.2">
      <c r="A1703" t="str">
        <f t="shared" si="26"/>
        <v/>
      </c>
      <c r="F1703" s="1"/>
      <c r="H1703" s="1"/>
      <c r="I1703" s="2"/>
      <c r="J1703" s="2"/>
      <c r="N1703" s="2"/>
      <c r="O1703">
        <f>IFERROR(VLOOKUP($A1703,Accounts!$A:$G,3,FALSE),"")</f>
        <v>0</v>
      </c>
    </row>
    <row r="1704" spans="1:15" outlineLevel="2" x14ac:dyDescent="0.2">
      <c r="A1704" t="str">
        <f t="shared" si="26"/>
        <v/>
      </c>
      <c r="F1704" s="1"/>
      <c r="H1704" s="1"/>
      <c r="I1704" s="2"/>
      <c r="J1704" s="2"/>
      <c r="N1704" s="2"/>
      <c r="O1704">
        <f>IFERROR(VLOOKUP($A1704,Accounts!$A:$G,3,FALSE),"")</f>
        <v>0</v>
      </c>
    </row>
    <row r="1705" spans="1:15" outlineLevel="2" x14ac:dyDescent="0.2">
      <c r="A1705" t="str">
        <f t="shared" si="26"/>
        <v/>
      </c>
      <c r="F1705" s="1"/>
      <c r="H1705" s="1"/>
      <c r="I1705" s="2"/>
      <c r="J1705" s="2"/>
      <c r="N1705" s="2"/>
      <c r="O1705">
        <f>IFERROR(VLOOKUP($A1705,Accounts!$A:$G,3,FALSE),"")</f>
        <v>0</v>
      </c>
    </row>
    <row r="1706" spans="1:15" outlineLevel="2" x14ac:dyDescent="0.2">
      <c r="A1706" t="str">
        <f t="shared" si="26"/>
        <v/>
      </c>
      <c r="F1706" s="1"/>
      <c r="H1706" s="1"/>
      <c r="I1706" s="2"/>
      <c r="J1706" s="2"/>
      <c r="N1706" s="2"/>
      <c r="O1706">
        <f>IFERROR(VLOOKUP($A1706,Accounts!$A:$G,3,FALSE),"")</f>
        <v>0</v>
      </c>
    </row>
    <row r="1707" spans="1:15" outlineLevel="2" x14ac:dyDescent="0.2">
      <c r="A1707" t="str">
        <f t="shared" si="26"/>
        <v/>
      </c>
      <c r="F1707" s="1"/>
      <c r="H1707" s="1"/>
      <c r="I1707" s="2"/>
      <c r="J1707" s="2"/>
      <c r="N1707" s="2"/>
      <c r="O1707">
        <f>IFERROR(VLOOKUP($A1707,Accounts!$A:$G,3,FALSE),"")</f>
        <v>0</v>
      </c>
    </row>
    <row r="1708" spans="1:15" outlineLevel="2" x14ac:dyDescent="0.2">
      <c r="A1708" t="str">
        <f t="shared" si="26"/>
        <v/>
      </c>
      <c r="F1708" s="1"/>
      <c r="H1708" s="1"/>
      <c r="I1708" s="2"/>
      <c r="J1708" s="2"/>
      <c r="N1708" s="2"/>
      <c r="O1708">
        <f>IFERROR(VLOOKUP($A1708,Accounts!$A:$G,3,FALSE),"")</f>
        <v>0</v>
      </c>
    </row>
    <row r="1709" spans="1:15" outlineLevel="2" x14ac:dyDescent="0.2">
      <c r="A1709" t="str">
        <f t="shared" si="26"/>
        <v/>
      </c>
      <c r="B1709" s="3"/>
      <c r="C1709" s="3"/>
      <c r="D1709" s="3"/>
      <c r="E1709" s="3"/>
      <c r="F1709" s="4"/>
      <c r="G1709" s="3"/>
      <c r="H1709" s="4"/>
      <c r="I1709" s="5"/>
      <c r="J1709" s="5"/>
      <c r="K1709" s="3"/>
      <c r="L1709" s="3"/>
      <c r="M1709" s="3"/>
      <c r="N1709" s="5"/>
      <c r="O1709">
        <f>IFERROR(VLOOKUP($A1709,Accounts!$A:$G,3,FALSE),"")</f>
        <v>0</v>
      </c>
    </row>
    <row r="1710" spans="1:15" outlineLevel="2" x14ac:dyDescent="0.2">
      <c r="A1710" t="str">
        <f t="shared" si="26"/>
        <v/>
      </c>
      <c r="F1710" s="1"/>
      <c r="H1710" s="1"/>
      <c r="I1710" s="2"/>
      <c r="J1710" s="2"/>
      <c r="N1710" s="2"/>
      <c r="O1710">
        <f>IFERROR(VLOOKUP($A1710,Accounts!$A:$G,3,FALSE),"")</f>
        <v>0</v>
      </c>
    </row>
    <row r="1711" spans="1:15" outlineLevel="2" x14ac:dyDescent="0.2">
      <c r="A1711" t="str">
        <f t="shared" si="26"/>
        <v/>
      </c>
      <c r="F1711" s="1"/>
      <c r="H1711" s="1"/>
      <c r="I1711" s="2"/>
      <c r="J1711" s="2"/>
      <c r="N1711" s="2"/>
      <c r="O1711">
        <f>IFERROR(VLOOKUP($A1711,Accounts!$A:$G,3,FALSE),"")</f>
        <v>0</v>
      </c>
    </row>
    <row r="1712" spans="1:15" outlineLevel="2" x14ac:dyDescent="0.2">
      <c r="A1712" t="str">
        <f t="shared" si="26"/>
        <v/>
      </c>
      <c r="F1712" s="1"/>
      <c r="H1712" s="1"/>
      <c r="I1712" s="2"/>
      <c r="J1712" s="2"/>
      <c r="N1712" s="2"/>
      <c r="O1712">
        <f>IFERROR(VLOOKUP($A1712,Accounts!$A:$G,3,FALSE),"")</f>
        <v>0</v>
      </c>
    </row>
    <row r="1713" spans="1:15" outlineLevel="2" x14ac:dyDescent="0.2">
      <c r="A1713" t="str">
        <f t="shared" si="26"/>
        <v/>
      </c>
      <c r="F1713" s="1"/>
      <c r="H1713" s="1"/>
      <c r="I1713" s="2"/>
      <c r="J1713" s="2"/>
      <c r="N1713" s="2"/>
      <c r="O1713">
        <f>IFERROR(VLOOKUP($A1713,Accounts!$A:$G,3,FALSE),"")</f>
        <v>0</v>
      </c>
    </row>
    <row r="1714" spans="1:15" outlineLevel="2" x14ac:dyDescent="0.2">
      <c r="A1714" t="str">
        <f t="shared" si="26"/>
        <v/>
      </c>
      <c r="B1714" s="3"/>
      <c r="C1714" s="3"/>
      <c r="D1714" s="3"/>
      <c r="E1714" s="3"/>
      <c r="F1714" s="4"/>
      <c r="G1714" s="3"/>
      <c r="H1714" s="4"/>
      <c r="I1714" s="5"/>
      <c r="J1714" s="5"/>
      <c r="K1714" s="3"/>
      <c r="L1714" s="3"/>
      <c r="M1714" s="3"/>
      <c r="N1714" s="5"/>
      <c r="O1714">
        <f>IFERROR(VLOOKUP($A1714,Accounts!$A:$G,3,FALSE),"")</f>
        <v>0</v>
      </c>
    </row>
    <row r="1715" spans="1:15" outlineLevel="2" x14ac:dyDescent="0.2">
      <c r="A1715" t="str">
        <f t="shared" si="26"/>
        <v/>
      </c>
      <c r="F1715" s="1"/>
      <c r="H1715" s="1"/>
      <c r="I1715" s="2"/>
      <c r="J1715" s="2"/>
      <c r="N1715" s="2"/>
      <c r="O1715">
        <f>IFERROR(VLOOKUP($A1715,Accounts!$A:$G,3,FALSE),"")</f>
        <v>0</v>
      </c>
    </row>
    <row r="1716" spans="1:15" outlineLevel="2" x14ac:dyDescent="0.2">
      <c r="A1716" t="str">
        <f t="shared" si="26"/>
        <v/>
      </c>
      <c r="F1716" s="1"/>
      <c r="H1716" s="1"/>
      <c r="I1716" s="2"/>
      <c r="J1716" s="2"/>
      <c r="N1716" s="2"/>
      <c r="O1716">
        <f>IFERROR(VLOOKUP($A1716,Accounts!$A:$G,3,FALSE),"")</f>
        <v>0</v>
      </c>
    </row>
    <row r="1717" spans="1:15" outlineLevel="2" x14ac:dyDescent="0.2">
      <c r="A1717" t="str">
        <f t="shared" si="26"/>
        <v/>
      </c>
      <c r="F1717" s="1"/>
      <c r="H1717" s="1"/>
      <c r="I1717" s="2"/>
      <c r="J1717" s="2"/>
      <c r="N1717" s="2"/>
      <c r="O1717">
        <f>IFERROR(VLOOKUP($A1717,Accounts!$A:$G,3,FALSE),"")</f>
        <v>0</v>
      </c>
    </row>
    <row r="1718" spans="1:15" outlineLevel="2" x14ac:dyDescent="0.2">
      <c r="A1718" t="str">
        <f t="shared" si="26"/>
        <v/>
      </c>
      <c r="F1718" s="1"/>
      <c r="H1718" s="1"/>
      <c r="I1718" s="2"/>
      <c r="J1718" s="2"/>
      <c r="N1718" s="2"/>
      <c r="O1718">
        <f>IFERROR(VLOOKUP($A1718,Accounts!$A:$G,3,FALSE),"")</f>
        <v>0</v>
      </c>
    </row>
    <row r="1719" spans="1:15" outlineLevel="2" x14ac:dyDescent="0.2">
      <c r="A1719" t="str">
        <f t="shared" si="26"/>
        <v/>
      </c>
      <c r="F1719" s="1"/>
      <c r="H1719" s="1"/>
      <c r="I1719" s="2"/>
      <c r="J1719" s="2"/>
      <c r="N1719" s="2"/>
      <c r="O1719">
        <f>IFERROR(VLOOKUP($A1719,Accounts!$A:$G,3,FALSE),"")</f>
        <v>0</v>
      </c>
    </row>
    <row r="1720" spans="1:15" outlineLevel="2" x14ac:dyDescent="0.2">
      <c r="A1720" t="str">
        <f t="shared" si="26"/>
        <v/>
      </c>
      <c r="F1720" s="1"/>
      <c r="H1720" s="1"/>
      <c r="I1720" s="2"/>
      <c r="J1720" s="2"/>
      <c r="N1720" s="2"/>
      <c r="O1720">
        <f>IFERROR(VLOOKUP($A1720,Accounts!$A:$G,3,FALSE),"")</f>
        <v>0</v>
      </c>
    </row>
    <row r="1721" spans="1:15" outlineLevel="2" x14ac:dyDescent="0.2">
      <c r="A1721" t="str">
        <f t="shared" si="26"/>
        <v/>
      </c>
      <c r="F1721" s="1"/>
      <c r="H1721" s="1"/>
      <c r="I1721" s="2"/>
      <c r="J1721" s="2"/>
      <c r="N1721" s="2"/>
      <c r="O1721">
        <f>IFERROR(VLOOKUP($A1721,Accounts!$A:$G,3,FALSE),"")</f>
        <v>0</v>
      </c>
    </row>
    <row r="1722" spans="1:15" outlineLevel="2" x14ac:dyDescent="0.2">
      <c r="A1722" t="str">
        <f t="shared" si="26"/>
        <v/>
      </c>
      <c r="F1722" s="1"/>
      <c r="H1722" s="1"/>
      <c r="I1722" s="2"/>
      <c r="J1722" s="2"/>
      <c r="N1722" s="2"/>
      <c r="O1722">
        <f>IFERROR(VLOOKUP($A1722,Accounts!$A:$G,3,FALSE),"")</f>
        <v>0</v>
      </c>
    </row>
    <row r="1723" spans="1:15" outlineLevel="2" x14ac:dyDescent="0.2">
      <c r="A1723" t="str">
        <f t="shared" si="26"/>
        <v/>
      </c>
      <c r="B1723" s="3"/>
      <c r="C1723" s="3"/>
      <c r="D1723" s="3"/>
      <c r="E1723" s="3"/>
      <c r="F1723" s="4"/>
      <c r="G1723" s="3"/>
      <c r="H1723" s="4"/>
      <c r="I1723" s="5"/>
      <c r="J1723" s="5"/>
      <c r="K1723" s="3"/>
      <c r="L1723" s="3"/>
      <c r="M1723" s="3"/>
      <c r="N1723" s="5"/>
      <c r="O1723">
        <f>IFERROR(VLOOKUP($A1723,Accounts!$A:$G,3,FALSE),"")</f>
        <v>0</v>
      </c>
    </row>
    <row r="1724" spans="1:15" outlineLevel="2" x14ac:dyDescent="0.2">
      <c r="A1724" t="str">
        <f t="shared" si="26"/>
        <v/>
      </c>
      <c r="F1724" s="1"/>
      <c r="H1724" s="1"/>
      <c r="I1724" s="2"/>
      <c r="J1724" s="2"/>
      <c r="N1724" s="2"/>
      <c r="O1724">
        <f>IFERROR(VLOOKUP($A1724,Accounts!$A:$G,3,FALSE),"")</f>
        <v>0</v>
      </c>
    </row>
    <row r="1725" spans="1:15" outlineLevel="2" x14ac:dyDescent="0.2">
      <c r="A1725" t="str">
        <f t="shared" si="26"/>
        <v/>
      </c>
      <c r="F1725" s="1"/>
      <c r="H1725" s="1"/>
      <c r="I1725" s="2"/>
      <c r="J1725" s="2"/>
      <c r="N1725" s="2"/>
      <c r="O1725">
        <f>IFERROR(VLOOKUP($A1725,Accounts!$A:$G,3,FALSE),"")</f>
        <v>0</v>
      </c>
    </row>
    <row r="1726" spans="1:15" outlineLevel="2" x14ac:dyDescent="0.2">
      <c r="A1726" t="str">
        <f t="shared" si="26"/>
        <v/>
      </c>
      <c r="F1726" s="1"/>
      <c r="H1726" s="1"/>
      <c r="I1726" s="2"/>
      <c r="J1726" s="2"/>
      <c r="N1726" s="2"/>
      <c r="O1726">
        <f>IFERROR(VLOOKUP($A1726,Accounts!$A:$G,3,FALSE),"")</f>
        <v>0</v>
      </c>
    </row>
    <row r="1727" spans="1:15" outlineLevel="2" x14ac:dyDescent="0.2">
      <c r="A1727" t="str">
        <f t="shared" si="26"/>
        <v/>
      </c>
      <c r="F1727" s="1"/>
      <c r="H1727" s="1"/>
      <c r="I1727" s="2"/>
      <c r="J1727" s="2"/>
      <c r="N1727" s="2"/>
      <c r="O1727">
        <f>IFERROR(VLOOKUP($A1727,Accounts!$A:$G,3,FALSE),"")</f>
        <v>0</v>
      </c>
    </row>
    <row r="1728" spans="1:15" outlineLevel="2" x14ac:dyDescent="0.2">
      <c r="A1728" t="str">
        <f t="shared" si="26"/>
        <v/>
      </c>
      <c r="B1728" s="3"/>
      <c r="C1728" s="3"/>
      <c r="D1728" s="3"/>
      <c r="E1728" s="3"/>
      <c r="F1728" s="4"/>
      <c r="G1728" s="3"/>
      <c r="H1728" s="4"/>
      <c r="I1728" s="5"/>
      <c r="J1728" s="5"/>
      <c r="K1728" s="3"/>
      <c r="L1728" s="3"/>
      <c r="M1728" s="3"/>
      <c r="N1728" s="5"/>
      <c r="O1728">
        <f>IFERROR(VLOOKUP($A1728,Accounts!$A:$G,3,FALSE),"")</f>
        <v>0</v>
      </c>
    </row>
    <row r="1729" spans="1:15" outlineLevel="2" x14ac:dyDescent="0.2">
      <c r="A1729" t="str">
        <f t="shared" si="26"/>
        <v/>
      </c>
      <c r="F1729" s="1"/>
      <c r="H1729" s="1"/>
      <c r="I1729" s="2"/>
      <c r="J1729" s="2"/>
      <c r="N1729" s="2"/>
      <c r="O1729">
        <f>IFERROR(VLOOKUP($A1729,Accounts!$A:$G,3,FALSE),"")</f>
        <v>0</v>
      </c>
    </row>
    <row r="1730" spans="1:15" outlineLevel="2" x14ac:dyDescent="0.2">
      <c r="A1730" t="str">
        <f t="shared" si="26"/>
        <v/>
      </c>
      <c r="B1730" s="3"/>
      <c r="C1730" s="3"/>
      <c r="D1730" s="3"/>
      <c r="E1730" s="3"/>
      <c r="F1730" s="4"/>
      <c r="G1730" s="3"/>
      <c r="H1730" s="4"/>
      <c r="I1730" s="5"/>
      <c r="J1730" s="5"/>
      <c r="K1730" s="3"/>
      <c r="L1730" s="3"/>
      <c r="M1730" s="3"/>
      <c r="N1730" s="5"/>
      <c r="O1730">
        <f>IFERROR(VLOOKUP($A1730,Accounts!$A:$G,3,FALSE),"")</f>
        <v>0</v>
      </c>
    </row>
    <row r="1731" spans="1:15" outlineLevel="2" x14ac:dyDescent="0.2">
      <c r="A1731" t="str">
        <f t="shared" si="26"/>
        <v/>
      </c>
      <c r="F1731" s="1"/>
      <c r="H1731" s="1"/>
      <c r="I1731" s="2"/>
      <c r="J1731" s="2"/>
      <c r="N1731" s="2"/>
      <c r="O1731">
        <f>IFERROR(VLOOKUP($A1731,Accounts!$A:$G,3,FALSE),"")</f>
        <v>0</v>
      </c>
    </row>
    <row r="1732" spans="1:15" outlineLevel="2" x14ac:dyDescent="0.2">
      <c r="A1732" t="str">
        <f t="shared" si="26"/>
        <v/>
      </c>
      <c r="F1732" s="1"/>
      <c r="H1732" s="1"/>
      <c r="I1732" s="2"/>
      <c r="J1732" s="2"/>
      <c r="N1732" s="2"/>
      <c r="O1732">
        <f>IFERROR(VLOOKUP($A1732,Accounts!$A:$G,3,FALSE),"")</f>
        <v>0</v>
      </c>
    </row>
    <row r="1733" spans="1:15" outlineLevel="2" x14ac:dyDescent="0.2">
      <c r="A1733" t="str">
        <f t="shared" si="26"/>
        <v/>
      </c>
      <c r="F1733" s="1"/>
      <c r="H1733" s="1"/>
      <c r="I1733" s="2"/>
      <c r="J1733" s="2"/>
      <c r="N1733" s="2"/>
      <c r="O1733">
        <f>IFERROR(VLOOKUP($A1733,Accounts!$A:$G,3,FALSE),"")</f>
        <v>0</v>
      </c>
    </row>
    <row r="1734" spans="1:15" outlineLevel="2" x14ac:dyDescent="0.2">
      <c r="A1734" t="str">
        <f t="shared" si="26"/>
        <v/>
      </c>
      <c r="B1734" s="3"/>
      <c r="C1734" s="3"/>
      <c r="D1734" s="3"/>
      <c r="E1734" s="3"/>
      <c r="F1734" s="4"/>
      <c r="G1734" s="3"/>
      <c r="H1734" s="4"/>
      <c r="I1734" s="5"/>
      <c r="J1734" s="5"/>
      <c r="K1734" s="3"/>
      <c r="L1734" s="3"/>
      <c r="M1734" s="3"/>
      <c r="N1734" s="5"/>
      <c r="O1734">
        <f>IFERROR(VLOOKUP($A1734,Accounts!$A:$G,3,FALSE),"")</f>
        <v>0</v>
      </c>
    </row>
    <row r="1735" spans="1:15" outlineLevel="2" x14ac:dyDescent="0.2">
      <c r="A1735" t="str">
        <f t="shared" si="26"/>
        <v/>
      </c>
      <c r="F1735" s="1"/>
      <c r="H1735" s="1"/>
      <c r="I1735" s="2"/>
      <c r="J1735" s="2"/>
      <c r="N1735" s="2"/>
      <c r="O1735">
        <f>IFERROR(VLOOKUP($A1735,Accounts!$A:$G,3,FALSE),"")</f>
        <v>0</v>
      </c>
    </row>
    <row r="1736" spans="1:15" outlineLevel="2" x14ac:dyDescent="0.2">
      <c r="A1736" t="str">
        <f t="shared" si="26"/>
        <v/>
      </c>
      <c r="F1736" s="1"/>
      <c r="H1736" s="1"/>
      <c r="I1736" s="2"/>
      <c r="J1736" s="2"/>
      <c r="N1736" s="2"/>
      <c r="O1736">
        <f>IFERROR(VLOOKUP($A1736,Accounts!$A:$G,3,FALSE),"")</f>
        <v>0</v>
      </c>
    </row>
    <row r="1737" spans="1:15" outlineLevel="2" x14ac:dyDescent="0.2">
      <c r="A1737" t="str">
        <f t="shared" si="26"/>
        <v/>
      </c>
      <c r="F1737" s="1"/>
      <c r="H1737" s="1"/>
      <c r="I1737" s="2"/>
      <c r="J1737" s="2"/>
      <c r="N1737" s="2"/>
      <c r="O1737">
        <f>IFERROR(VLOOKUP($A1737,Accounts!$A:$G,3,FALSE),"")</f>
        <v>0</v>
      </c>
    </row>
    <row r="1738" spans="1:15" outlineLevel="2" x14ac:dyDescent="0.2">
      <c r="A1738" t="str">
        <f t="shared" ref="A1738:A1801" si="27">IFERROR(IF(J1738=0,E1738&amp;C1738&amp;I1738,G1738&amp;B1738&amp;J1738),"")</f>
        <v/>
      </c>
      <c r="F1738" s="1"/>
      <c r="H1738" s="1"/>
      <c r="I1738" s="2"/>
      <c r="J1738" s="2"/>
      <c r="N1738" s="2"/>
      <c r="O1738">
        <f>IFERROR(VLOOKUP($A1738,Accounts!$A:$G,3,FALSE),"")</f>
        <v>0</v>
      </c>
    </row>
    <row r="1739" spans="1:15" outlineLevel="2" x14ac:dyDescent="0.2">
      <c r="A1739" t="str">
        <f t="shared" si="27"/>
        <v/>
      </c>
      <c r="F1739" s="1"/>
      <c r="H1739" s="1"/>
      <c r="I1739" s="2"/>
      <c r="J1739" s="2"/>
      <c r="N1739" s="2"/>
      <c r="O1739">
        <f>IFERROR(VLOOKUP($A1739,Accounts!$A:$G,3,FALSE),"")</f>
        <v>0</v>
      </c>
    </row>
    <row r="1740" spans="1:15" outlineLevel="2" x14ac:dyDescent="0.2">
      <c r="A1740" t="str">
        <f t="shared" si="27"/>
        <v/>
      </c>
      <c r="F1740" s="1"/>
      <c r="H1740" s="1"/>
      <c r="I1740" s="2"/>
      <c r="J1740" s="2"/>
      <c r="N1740" s="2"/>
      <c r="O1740">
        <f>IFERROR(VLOOKUP($A1740,Accounts!$A:$G,3,FALSE),"")</f>
        <v>0</v>
      </c>
    </row>
    <row r="1741" spans="1:15" outlineLevel="2" x14ac:dyDescent="0.2">
      <c r="A1741" t="str">
        <f t="shared" si="27"/>
        <v/>
      </c>
      <c r="F1741" s="1"/>
      <c r="H1741" s="1"/>
      <c r="I1741" s="2"/>
      <c r="J1741" s="2"/>
      <c r="N1741" s="2"/>
      <c r="O1741">
        <f>IFERROR(VLOOKUP($A1741,Accounts!$A:$G,3,FALSE),"")</f>
        <v>0</v>
      </c>
    </row>
    <row r="1742" spans="1:15" outlineLevel="2" x14ac:dyDescent="0.2">
      <c r="A1742" t="str">
        <f t="shared" si="27"/>
        <v/>
      </c>
      <c r="F1742" s="1"/>
      <c r="H1742" s="1"/>
      <c r="I1742" s="2"/>
      <c r="J1742" s="2"/>
      <c r="N1742" s="2"/>
      <c r="O1742">
        <f>IFERROR(VLOOKUP($A1742,Accounts!$A:$G,3,FALSE),"")</f>
        <v>0</v>
      </c>
    </row>
    <row r="1743" spans="1:15" outlineLevel="2" x14ac:dyDescent="0.2">
      <c r="A1743" t="str">
        <f t="shared" si="27"/>
        <v/>
      </c>
      <c r="F1743" s="1"/>
      <c r="H1743" s="1"/>
      <c r="I1743" s="2"/>
      <c r="J1743" s="2"/>
      <c r="N1743" s="2"/>
      <c r="O1743">
        <f>IFERROR(VLOOKUP($A1743,Accounts!$A:$G,3,FALSE),"")</f>
        <v>0</v>
      </c>
    </row>
    <row r="1744" spans="1:15" outlineLevel="2" x14ac:dyDescent="0.2">
      <c r="A1744" t="str">
        <f t="shared" si="27"/>
        <v/>
      </c>
      <c r="F1744" s="1"/>
      <c r="H1744" s="1"/>
      <c r="I1744" s="2"/>
      <c r="J1744" s="2"/>
      <c r="N1744" s="2"/>
      <c r="O1744">
        <f>IFERROR(VLOOKUP($A1744,Accounts!$A:$G,3,FALSE),"")</f>
        <v>0</v>
      </c>
    </row>
    <row r="1745" spans="1:15" outlineLevel="2" x14ac:dyDescent="0.2">
      <c r="A1745" t="str">
        <f t="shared" si="27"/>
        <v/>
      </c>
      <c r="F1745" s="1"/>
      <c r="H1745" s="1"/>
      <c r="I1745" s="2"/>
      <c r="J1745" s="2"/>
      <c r="N1745" s="2"/>
      <c r="O1745">
        <f>IFERROR(VLOOKUP($A1745,Accounts!$A:$G,3,FALSE),"")</f>
        <v>0</v>
      </c>
    </row>
    <row r="1746" spans="1:15" outlineLevel="2" x14ac:dyDescent="0.2">
      <c r="A1746" t="str">
        <f t="shared" si="27"/>
        <v/>
      </c>
      <c r="F1746" s="1"/>
      <c r="H1746" s="1"/>
      <c r="I1746" s="2"/>
      <c r="J1746" s="2"/>
      <c r="N1746" s="2"/>
      <c r="O1746">
        <f>IFERROR(VLOOKUP($A1746,Accounts!$A:$G,3,FALSE),"")</f>
        <v>0</v>
      </c>
    </row>
    <row r="1747" spans="1:15" outlineLevel="2" x14ac:dyDescent="0.2">
      <c r="A1747" t="str">
        <f t="shared" si="27"/>
        <v/>
      </c>
      <c r="F1747" s="1"/>
      <c r="H1747" s="1"/>
      <c r="I1747" s="2"/>
      <c r="J1747" s="2"/>
      <c r="N1747" s="2"/>
      <c r="O1747">
        <f>IFERROR(VLOOKUP($A1747,Accounts!$A:$G,3,FALSE),"")</f>
        <v>0</v>
      </c>
    </row>
    <row r="1748" spans="1:15" outlineLevel="2" x14ac:dyDescent="0.2">
      <c r="A1748" t="str">
        <f t="shared" si="27"/>
        <v/>
      </c>
      <c r="F1748" s="1"/>
      <c r="H1748" s="1"/>
      <c r="I1748" s="2"/>
      <c r="J1748" s="2"/>
      <c r="N1748" s="2"/>
      <c r="O1748">
        <f>IFERROR(VLOOKUP($A1748,Accounts!$A:$G,3,FALSE),"")</f>
        <v>0</v>
      </c>
    </row>
    <row r="1749" spans="1:15" outlineLevel="2" x14ac:dyDescent="0.2">
      <c r="A1749" t="str">
        <f t="shared" si="27"/>
        <v/>
      </c>
      <c r="F1749" s="1"/>
      <c r="H1749" s="1"/>
      <c r="I1749" s="2"/>
      <c r="J1749" s="2"/>
      <c r="N1749" s="2"/>
      <c r="O1749">
        <f>IFERROR(VLOOKUP($A1749,Accounts!$A:$G,3,FALSE),"")</f>
        <v>0</v>
      </c>
    </row>
    <row r="1750" spans="1:15" outlineLevel="2" x14ac:dyDescent="0.2">
      <c r="A1750" t="str">
        <f t="shared" si="27"/>
        <v/>
      </c>
      <c r="F1750" s="1"/>
      <c r="H1750" s="1"/>
      <c r="I1750" s="2"/>
      <c r="J1750" s="2"/>
      <c r="N1750" s="2"/>
      <c r="O1750">
        <f>IFERROR(VLOOKUP($A1750,Accounts!$A:$G,3,FALSE),"")</f>
        <v>0</v>
      </c>
    </row>
    <row r="1751" spans="1:15" outlineLevel="2" x14ac:dyDescent="0.2">
      <c r="A1751" t="str">
        <f t="shared" si="27"/>
        <v/>
      </c>
      <c r="F1751" s="1"/>
      <c r="H1751" s="1"/>
      <c r="I1751" s="2"/>
      <c r="J1751" s="2"/>
      <c r="N1751" s="2"/>
      <c r="O1751">
        <f>IFERROR(VLOOKUP($A1751,Accounts!$A:$G,3,FALSE),"")</f>
        <v>0</v>
      </c>
    </row>
    <row r="1752" spans="1:15" outlineLevel="2" x14ac:dyDescent="0.2">
      <c r="A1752" t="str">
        <f t="shared" si="27"/>
        <v/>
      </c>
      <c r="F1752" s="1"/>
      <c r="H1752" s="1"/>
      <c r="I1752" s="2"/>
      <c r="J1752" s="2"/>
      <c r="N1752" s="2"/>
      <c r="O1752">
        <f>IFERROR(VLOOKUP($A1752,Accounts!$A:$G,3,FALSE),"")</f>
        <v>0</v>
      </c>
    </row>
    <row r="1753" spans="1:15" outlineLevel="2" x14ac:dyDescent="0.2">
      <c r="A1753" t="str">
        <f t="shared" si="27"/>
        <v/>
      </c>
      <c r="F1753" s="1"/>
      <c r="H1753" s="1"/>
      <c r="I1753" s="2"/>
      <c r="J1753" s="2"/>
      <c r="N1753" s="2"/>
      <c r="O1753">
        <f>IFERROR(VLOOKUP($A1753,Accounts!$A:$G,3,FALSE),"")</f>
        <v>0</v>
      </c>
    </row>
    <row r="1754" spans="1:15" outlineLevel="2" x14ac:dyDescent="0.2">
      <c r="A1754" t="str">
        <f t="shared" si="27"/>
        <v/>
      </c>
      <c r="B1754" s="3"/>
      <c r="C1754" s="3"/>
      <c r="D1754" s="3"/>
      <c r="E1754" s="3"/>
      <c r="F1754" s="4"/>
      <c r="G1754" s="3"/>
      <c r="H1754" s="4"/>
      <c r="I1754" s="5"/>
      <c r="J1754" s="5"/>
      <c r="K1754" s="3"/>
      <c r="L1754" s="3"/>
      <c r="M1754" s="3"/>
      <c r="N1754" s="5"/>
      <c r="O1754">
        <f>IFERROR(VLOOKUP($A1754,Accounts!$A:$G,3,FALSE),"")</f>
        <v>0</v>
      </c>
    </row>
    <row r="1755" spans="1:15" outlineLevel="2" x14ac:dyDescent="0.2">
      <c r="A1755" t="str">
        <f t="shared" si="27"/>
        <v/>
      </c>
      <c r="F1755" s="1"/>
      <c r="H1755" s="1"/>
      <c r="I1755" s="2"/>
      <c r="J1755" s="2"/>
      <c r="N1755" s="2"/>
      <c r="O1755">
        <f>IFERROR(VLOOKUP($A1755,Accounts!$A:$G,3,FALSE),"")</f>
        <v>0</v>
      </c>
    </row>
    <row r="1756" spans="1:15" outlineLevel="2" x14ac:dyDescent="0.2">
      <c r="A1756" t="str">
        <f t="shared" si="27"/>
        <v/>
      </c>
      <c r="B1756" s="3"/>
      <c r="C1756" s="3"/>
      <c r="D1756" s="3"/>
      <c r="E1756" s="3"/>
      <c r="F1756" s="4"/>
      <c r="G1756" s="3"/>
      <c r="H1756" s="4"/>
      <c r="I1756" s="5"/>
      <c r="J1756" s="5"/>
      <c r="K1756" s="3"/>
      <c r="L1756" s="3"/>
      <c r="M1756" s="3"/>
      <c r="N1756" s="5"/>
      <c r="O1756">
        <f>IFERROR(VLOOKUP($A1756,Accounts!$A:$G,3,FALSE),"")</f>
        <v>0</v>
      </c>
    </row>
    <row r="1757" spans="1:15" outlineLevel="2" x14ac:dyDescent="0.2">
      <c r="A1757" t="str">
        <f t="shared" si="27"/>
        <v/>
      </c>
      <c r="F1757" s="1"/>
      <c r="H1757" s="1"/>
      <c r="I1757" s="2"/>
      <c r="J1757" s="2"/>
      <c r="N1757" s="2"/>
      <c r="O1757">
        <f>IFERROR(VLOOKUP($A1757,Accounts!$A:$G,3,FALSE),"")</f>
        <v>0</v>
      </c>
    </row>
    <row r="1758" spans="1:15" outlineLevel="2" x14ac:dyDescent="0.2">
      <c r="A1758" t="str">
        <f t="shared" si="27"/>
        <v/>
      </c>
      <c r="B1758" s="3"/>
      <c r="C1758" s="3"/>
      <c r="D1758" s="3"/>
      <c r="E1758" s="3"/>
      <c r="F1758" s="4"/>
      <c r="G1758" s="3"/>
      <c r="H1758" s="4"/>
      <c r="I1758" s="5"/>
      <c r="J1758" s="5"/>
      <c r="K1758" s="3"/>
      <c r="L1758" s="3"/>
      <c r="M1758" s="3"/>
      <c r="N1758" s="5"/>
      <c r="O1758">
        <f>IFERROR(VLOOKUP($A1758,Accounts!$A:$G,3,FALSE),"")</f>
        <v>0</v>
      </c>
    </row>
    <row r="1759" spans="1:15" outlineLevel="2" x14ac:dyDescent="0.2">
      <c r="A1759" t="str">
        <f t="shared" si="27"/>
        <v/>
      </c>
      <c r="F1759" s="1"/>
      <c r="H1759" s="1"/>
      <c r="I1759" s="2"/>
      <c r="J1759" s="2"/>
      <c r="N1759" s="2"/>
      <c r="O1759">
        <f>IFERROR(VLOOKUP($A1759,Accounts!$A:$G,3,FALSE),"")</f>
        <v>0</v>
      </c>
    </row>
    <row r="1760" spans="1:15" outlineLevel="2" x14ac:dyDescent="0.2">
      <c r="A1760" t="str">
        <f t="shared" si="27"/>
        <v/>
      </c>
      <c r="F1760" s="1"/>
      <c r="H1760" s="1"/>
      <c r="I1760" s="2"/>
      <c r="J1760" s="2"/>
      <c r="N1760" s="2"/>
      <c r="O1760">
        <f>IFERROR(VLOOKUP($A1760,Accounts!$A:$G,3,FALSE),"")</f>
        <v>0</v>
      </c>
    </row>
    <row r="1761" spans="1:15" outlineLevel="2" x14ac:dyDescent="0.2">
      <c r="A1761" t="str">
        <f t="shared" si="27"/>
        <v/>
      </c>
      <c r="B1761" s="3"/>
      <c r="C1761" s="3"/>
      <c r="D1761" s="3"/>
      <c r="E1761" s="3"/>
      <c r="F1761" s="4"/>
      <c r="G1761" s="3"/>
      <c r="H1761" s="4"/>
      <c r="I1761" s="5"/>
      <c r="J1761" s="5"/>
      <c r="K1761" s="3"/>
      <c r="L1761" s="3"/>
      <c r="M1761" s="3"/>
      <c r="N1761" s="5"/>
      <c r="O1761">
        <f>IFERROR(VLOOKUP($A1761,Accounts!$A:$G,3,FALSE),"")</f>
        <v>0</v>
      </c>
    </row>
    <row r="1762" spans="1:15" outlineLevel="2" x14ac:dyDescent="0.2">
      <c r="A1762" t="str">
        <f t="shared" si="27"/>
        <v/>
      </c>
      <c r="F1762" s="1"/>
      <c r="H1762" s="1"/>
      <c r="I1762" s="2"/>
      <c r="J1762" s="2"/>
      <c r="N1762" s="2"/>
      <c r="O1762">
        <f>IFERROR(VLOOKUP($A1762,Accounts!$A:$G,3,FALSE),"")</f>
        <v>0</v>
      </c>
    </row>
    <row r="1763" spans="1:15" outlineLevel="2" x14ac:dyDescent="0.2">
      <c r="A1763" t="str">
        <f t="shared" si="27"/>
        <v/>
      </c>
      <c r="F1763" s="1"/>
      <c r="H1763" s="1"/>
      <c r="I1763" s="2"/>
      <c r="J1763" s="2"/>
      <c r="N1763" s="2"/>
      <c r="O1763">
        <f>IFERROR(VLOOKUP($A1763,Accounts!$A:$G,3,FALSE),"")</f>
        <v>0</v>
      </c>
    </row>
    <row r="1764" spans="1:15" outlineLevel="2" x14ac:dyDescent="0.2">
      <c r="A1764" t="str">
        <f t="shared" si="27"/>
        <v/>
      </c>
      <c r="F1764" s="1"/>
      <c r="H1764" s="1"/>
      <c r="I1764" s="2"/>
      <c r="J1764" s="2"/>
      <c r="N1764" s="2"/>
      <c r="O1764">
        <f>IFERROR(VLOOKUP($A1764,Accounts!$A:$G,3,FALSE),"")</f>
        <v>0</v>
      </c>
    </row>
    <row r="1765" spans="1:15" outlineLevel="2" x14ac:dyDescent="0.2">
      <c r="A1765" t="str">
        <f t="shared" si="27"/>
        <v/>
      </c>
      <c r="F1765" s="1"/>
      <c r="H1765" s="1"/>
      <c r="I1765" s="2"/>
      <c r="J1765" s="2"/>
      <c r="N1765" s="2"/>
      <c r="O1765">
        <f>IFERROR(VLOOKUP($A1765,Accounts!$A:$G,3,FALSE),"")</f>
        <v>0</v>
      </c>
    </row>
    <row r="1766" spans="1:15" outlineLevel="2" x14ac:dyDescent="0.2">
      <c r="A1766" t="str">
        <f t="shared" si="27"/>
        <v/>
      </c>
      <c r="F1766" s="1"/>
      <c r="H1766" s="1"/>
      <c r="I1766" s="2"/>
      <c r="J1766" s="2"/>
      <c r="N1766" s="2"/>
      <c r="O1766">
        <f>IFERROR(VLOOKUP($A1766,Accounts!$A:$G,3,FALSE),"")</f>
        <v>0</v>
      </c>
    </row>
    <row r="1767" spans="1:15" outlineLevel="2" x14ac:dyDescent="0.2">
      <c r="A1767" t="str">
        <f t="shared" si="27"/>
        <v/>
      </c>
      <c r="F1767" s="1"/>
      <c r="H1767" s="1"/>
      <c r="I1767" s="2"/>
      <c r="J1767" s="2"/>
      <c r="N1767" s="2"/>
      <c r="O1767">
        <f>IFERROR(VLOOKUP($A1767,Accounts!$A:$G,3,FALSE),"")</f>
        <v>0</v>
      </c>
    </row>
    <row r="1768" spans="1:15" outlineLevel="2" x14ac:dyDescent="0.2">
      <c r="A1768" t="str">
        <f t="shared" si="27"/>
        <v/>
      </c>
      <c r="F1768" s="1"/>
      <c r="H1768" s="1"/>
      <c r="I1768" s="2"/>
      <c r="J1768" s="2"/>
      <c r="N1768" s="2"/>
      <c r="O1768">
        <f>IFERROR(VLOOKUP($A1768,Accounts!$A:$G,3,FALSE),"")</f>
        <v>0</v>
      </c>
    </row>
    <row r="1769" spans="1:15" outlineLevel="2" x14ac:dyDescent="0.2">
      <c r="A1769" t="str">
        <f t="shared" si="27"/>
        <v/>
      </c>
      <c r="F1769" s="1"/>
      <c r="H1769" s="1"/>
      <c r="I1769" s="2"/>
      <c r="J1769" s="2"/>
      <c r="N1769" s="2"/>
      <c r="O1769">
        <f>IFERROR(VLOOKUP($A1769,Accounts!$A:$G,3,FALSE),"")</f>
        <v>0</v>
      </c>
    </row>
    <row r="1770" spans="1:15" outlineLevel="2" x14ac:dyDescent="0.2">
      <c r="A1770" t="str">
        <f t="shared" si="27"/>
        <v/>
      </c>
      <c r="F1770" s="1"/>
      <c r="H1770" s="1"/>
      <c r="I1770" s="2"/>
      <c r="J1770" s="2"/>
      <c r="N1770" s="2"/>
      <c r="O1770">
        <f>IFERROR(VLOOKUP($A1770,Accounts!$A:$G,3,FALSE),"")</f>
        <v>0</v>
      </c>
    </row>
    <row r="1771" spans="1:15" outlineLevel="2" x14ac:dyDescent="0.2">
      <c r="A1771" t="str">
        <f t="shared" si="27"/>
        <v/>
      </c>
      <c r="F1771" s="1"/>
      <c r="H1771" s="1"/>
      <c r="I1771" s="2"/>
      <c r="J1771" s="2"/>
      <c r="N1771" s="2"/>
      <c r="O1771">
        <f>IFERROR(VLOOKUP($A1771,Accounts!$A:$G,3,FALSE),"")</f>
        <v>0</v>
      </c>
    </row>
    <row r="1772" spans="1:15" outlineLevel="2" x14ac:dyDescent="0.2">
      <c r="A1772" t="str">
        <f t="shared" si="27"/>
        <v/>
      </c>
      <c r="F1772" s="1"/>
      <c r="H1772" s="1"/>
      <c r="I1772" s="2"/>
      <c r="J1772" s="2"/>
      <c r="N1772" s="2"/>
      <c r="O1772">
        <f>IFERROR(VLOOKUP($A1772,Accounts!$A:$G,3,FALSE),"")</f>
        <v>0</v>
      </c>
    </row>
    <row r="1773" spans="1:15" outlineLevel="2" x14ac:dyDescent="0.2">
      <c r="A1773" t="str">
        <f t="shared" si="27"/>
        <v/>
      </c>
      <c r="F1773" s="1"/>
      <c r="H1773" s="1"/>
      <c r="I1773" s="2"/>
      <c r="J1773" s="2"/>
      <c r="N1773" s="2"/>
      <c r="O1773">
        <f>IFERROR(VLOOKUP($A1773,Accounts!$A:$G,3,FALSE),"")</f>
        <v>0</v>
      </c>
    </row>
    <row r="1774" spans="1:15" outlineLevel="2" x14ac:dyDescent="0.2">
      <c r="A1774" t="str">
        <f t="shared" si="27"/>
        <v/>
      </c>
      <c r="F1774" s="1"/>
      <c r="H1774" s="1"/>
      <c r="I1774" s="2"/>
      <c r="J1774" s="2"/>
      <c r="N1774" s="2"/>
      <c r="O1774">
        <f>IFERROR(VLOOKUP($A1774,Accounts!$A:$G,3,FALSE),"")</f>
        <v>0</v>
      </c>
    </row>
    <row r="1775" spans="1:15" outlineLevel="2" x14ac:dyDescent="0.2">
      <c r="A1775" t="str">
        <f t="shared" si="27"/>
        <v/>
      </c>
      <c r="F1775" s="1"/>
      <c r="H1775" s="1"/>
      <c r="I1775" s="2"/>
      <c r="J1775" s="2"/>
      <c r="N1775" s="2"/>
      <c r="O1775">
        <f>IFERROR(VLOOKUP($A1775,Accounts!$A:$G,3,FALSE),"")</f>
        <v>0</v>
      </c>
    </row>
    <row r="1776" spans="1:15" outlineLevel="2" x14ac:dyDescent="0.2">
      <c r="A1776" t="str">
        <f t="shared" si="27"/>
        <v/>
      </c>
      <c r="F1776" s="1"/>
      <c r="H1776" s="1"/>
      <c r="I1776" s="2"/>
      <c r="J1776" s="2"/>
      <c r="N1776" s="2"/>
      <c r="O1776">
        <f>IFERROR(VLOOKUP($A1776,Accounts!$A:$G,3,FALSE),"")</f>
        <v>0</v>
      </c>
    </row>
    <row r="1777" spans="1:15" outlineLevel="2" x14ac:dyDescent="0.2">
      <c r="A1777" t="str">
        <f t="shared" si="27"/>
        <v/>
      </c>
      <c r="F1777" s="1"/>
      <c r="H1777" s="1"/>
      <c r="I1777" s="2"/>
      <c r="J1777" s="2"/>
      <c r="N1777" s="2"/>
      <c r="O1777">
        <f>IFERROR(VLOOKUP($A1777,Accounts!$A:$G,3,FALSE),"")</f>
        <v>0</v>
      </c>
    </row>
    <row r="1778" spans="1:15" outlineLevel="1" x14ac:dyDescent="0.2">
      <c r="A1778" t="str">
        <f t="shared" si="27"/>
        <v/>
      </c>
      <c r="F1778" s="1"/>
      <c r="H1778" s="1"/>
      <c r="I1778" s="2"/>
      <c r="J1778" s="2"/>
      <c r="N1778" s="2"/>
      <c r="O1778">
        <f>IFERROR(VLOOKUP($A1778,Accounts!$A:$G,3,FALSE),"")</f>
        <v>0</v>
      </c>
    </row>
    <row r="1779" spans="1:15" outlineLevel="2" x14ac:dyDescent="0.2">
      <c r="A1779" t="str">
        <f t="shared" si="27"/>
        <v/>
      </c>
      <c r="F1779" s="1"/>
      <c r="H1779" s="1"/>
      <c r="I1779" s="2"/>
      <c r="J1779" s="2"/>
      <c r="N1779" s="2"/>
      <c r="O1779">
        <f>IFERROR(VLOOKUP($A1779,Accounts!$A:$G,3,FALSE),"")</f>
        <v>0</v>
      </c>
    </row>
    <row r="1780" spans="1:15" outlineLevel="2" x14ac:dyDescent="0.2">
      <c r="A1780" t="str">
        <f t="shared" si="27"/>
        <v/>
      </c>
      <c r="F1780" s="1"/>
      <c r="H1780" s="1"/>
      <c r="I1780" s="2"/>
      <c r="J1780" s="2"/>
      <c r="N1780" s="2"/>
      <c r="O1780">
        <f>IFERROR(VLOOKUP($A1780,Accounts!$A:$G,3,FALSE),"")</f>
        <v>0</v>
      </c>
    </row>
    <row r="1781" spans="1:15" outlineLevel="2" x14ac:dyDescent="0.2">
      <c r="A1781" t="str">
        <f t="shared" si="27"/>
        <v/>
      </c>
      <c r="F1781" s="1"/>
      <c r="H1781" s="1"/>
      <c r="I1781" s="2"/>
      <c r="J1781" s="2"/>
      <c r="N1781" s="2"/>
      <c r="O1781">
        <f>IFERROR(VLOOKUP($A1781,Accounts!$A:$G,3,FALSE),"")</f>
        <v>0</v>
      </c>
    </row>
    <row r="1782" spans="1:15" outlineLevel="2" x14ac:dyDescent="0.2">
      <c r="A1782" t="str">
        <f t="shared" si="27"/>
        <v/>
      </c>
      <c r="F1782" s="1"/>
      <c r="H1782" s="1"/>
      <c r="I1782" s="2"/>
      <c r="J1782" s="2"/>
      <c r="N1782" s="2"/>
      <c r="O1782">
        <f>IFERROR(VLOOKUP($A1782,Accounts!$A:$G,3,FALSE),"")</f>
        <v>0</v>
      </c>
    </row>
    <row r="1783" spans="1:15" outlineLevel="2" x14ac:dyDescent="0.2">
      <c r="A1783" t="str">
        <f t="shared" si="27"/>
        <v/>
      </c>
      <c r="F1783" s="1"/>
      <c r="H1783" s="1"/>
      <c r="I1783" s="2"/>
      <c r="J1783" s="2"/>
      <c r="N1783" s="2"/>
      <c r="O1783">
        <f>IFERROR(VLOOKUP($A1783,Accounts!$A:$G,3,FALSE),"")</f>
        <v>0</v>
      </c>
    </row>
    <row r="1784" spans="1:15" outlineLevel="2" x14ac:dyDescent="0.2">
      <c r="A1784" t="str">
        <f t="shared" si="27"/>
        <v/>
      </c>
      <c r="F1784" s="1"/>
      <c r="H1784" s="1"/>
      <c r="I1784" s="2"/>
      <c r="J1784" s="2"/>
      <c r="N1784" s="2"/>
      <c r="O1784">
        <f>IFERROR(VLOOKUP($A1784,Accounts!$A:$G,3,FALSE),"")</f>
        <v>0</v>
      </c>
    </row>
    <row r="1785" spans="1:15" outlineLevel="2" x14ac:dyDescent="0.2">
      <c r="A1785" t="str">
        <f t="shared" si="27"/>
        <v/>
      </c>
      <c r="F1785" s="1"/>
      <c r="H1785" s="1"/>
      <c r="I1785" s="2"/>
      <c r="J1785" s="2"/>
      <c r="N1785" s="2"/>
      <c r="O1785">
        <f>IFERROR(VLOOKUP($A1785,Accounts!$A:$G,3,FALSE),"")</f>
        <v>0</v>
      </c>
    </row>
    <row r="1786" spans="1:15" outlineLevel="2" x14ac:dyDescent="0.2">
      <c r="A1786" t="str">
        <f t="shared" si="27"/>
        <v/>
      </c>
      <c r="F1786" s="1"/>
      <c r="H1786" s="1"/>
      <c r="I1786" s="2"/>
      <c r="J1786" s="2"/>
      <c r="N1786" s="2"/>
      <c r="O1786">
        <f>IFERROR(VLOOKUP($A1786,Accounts!$A:$G,3,FALSE),"")</f>
        <v>0</v>
      </c>
    </row>
    <row r="1787" spans="1:15" outlineLevel="2" x14ac:dyDescent="0.2">
      <c r="A1787" t="str">
        <f t="shared" si="27"/>
        <v/>
      </c>
      <c r="F1787" s="1"/>
      <c r="H1787" s="1"/>
      <c r="I1787" s="2"/>
      <c r="J1787" s="2"/>
      <c r="N1787" s="2"/>
      <c r="O1787">
        <f>IFERROR(VLOOKUP($A1787,Accounts!$A:$G,3,FALSE),"")</f>
        <v>0</v>
      </c>
    </row>
    <row r="1788" spans="1:15" outlineLevel="2" x14ac:dyDescent="0.2">
      <c r="A1788" t="str">
        <f t="shared" si="27"/>
        <v/>
      </c>
      <c r="F1788" s="1"/>
      <c r="H1788" s="1"/>
      <c r="I1788" s="2"/>
      <c r="J1788" s="2"/>
      <c r="N1788" s="2"/>
      <c r="O1788">
        <f>IFERROR(VLOOKUP($A1788,Accounts!$A:$G,3,FALSE),"")</f>
        <v>0</v>
      </c>
    </row>
    <row r="1789" spans="1:15" outlineLevel="2" x14ac:dyDescent="0.2">
      <c r="A1789" t="str">
        <f t="shared" si="27"/>
        <v/>
      </c>
      <c r="F1789" s="1"/>
      <c r="H1789" s="1"/>
      <c r="I1789" s="2"/>
      <c r="J1789" s="2"/>
      <c r="N1789" s="2"/>
      <c r="O1789">
        <f>IFERROR(VLOOKUP($A1789,Accounts!$A:$G,3,FALSE),"")</f>
        <v>0</v>
      </c>
    </row>
    <row r="1790" spans="1:15" outlineLevel="2" x14ac:dyDescent="0.2">
      <c r="A1790" t="str">
        <f t="shared" si="27"/>
        <v/>
      </c>
      <c r="F1790" s="1"/>
      <c r="H1790" s="1"/>
      <c r="I1790" s="2"/>
      <c r="J1790" s="2"/>
      <c r="N1790" s="2"/>
      <c r="O1790">
        <f>IFERROR(VLOOKUP($A1790,Accounts!$A:$G,3,FALSE),"")</f>
        <v>0</v>
      </c>
    </row>
    <row r="1791" spans="1:15" outlineLevel="2" x14ac:dyDescent="0.2">
      <c r="A1791" t="str">
        <f t="shared" si="27"/>
        <v/>
      </c>
      <c r="F1791" s="1"/>
      <c r="H1791" s="1"/>
      <c r="I1791" s="2"/>
      <c r="J1791" s="2"/>
      <c r="N1791" s="2"/>
      <c r="O1791">
        <f>IFERROR(VLOOKUP($A1791,Accounts!$A:$G,3,FALSE),"")</f>
        <v>0</v>
      </c>
    </row>
    <row r="1792" spans="1:15" outlineLevel="2" x14ac:dyDescent="0.2">
      <c r="A1792" t="str">
        <f t="shared" si="27"/>
        <v/>
      </c>
      <c r="F1792" s="1"/>
      <c r="H1792" s="1"/>
      <c r="I1792" s="2"/>
      <c r="J1792" s="2"/>
      <c r="N1792" s="2"/>
      <c r="O1792">
        <f>IFERROR(VLOOKUP($A1792,Accounts!$A:$G,3,FALSE),"")</f>
        <v>0</v>
      </c>
    </row>
    <row r="1793" spans="1:15" outlineLevel="2" x14ac:dyDescent="0.2">
      <c r="A1793" t="str">
        <f t="shared" si="27"/>
        <v/>
      </c>
      <c r="F1793" s="1"/>
      <c r="H1793" s="1"/>
      <c r="I1793" s="2"/>
      <c r="J1793" s="2"/>
      <c r="N1793" s="2"/>
      <c r="O1793">
        <f>IFERROR(VLOOKUP($A1793,Accounts!$A:$G,3,FALSE),"")</f>
        <v>0</v>
      </c>
    </row>
    <row r="1794" spans="1:15" outlineLevel="2" x14ac:dyDescent="0.2">
      <c r="A1794" t="str">
        <f t="shared" si="27"/>
        <v/>
      </c>
      <c r="F1794" s="1"/>
      <c r="H1794" s="1"/>
      <c r="I1794" s="2"/>
      <c r="J1794" s="2"/>
      <c r="N1794" s="2"/>
      <c r="O1794">
        <f>IFERROR(VLOOKUP($A1794,Accounts!$A:$G,3,FALSE),"")</f>
        <v>0</v>
      </c>
    </row>
    <row r="1795" spans="1:15" outlineLevel="2" x14ac:dyDescent="0.2">
      <c r="A1795" t="str">
        <f t="shared" si="27"/>
        <v/>
      </c>
      <c r="F1795" s="1"/>
      <c r="H1795" s="1"/>
      <c r="I1795" s="2"/>
      <c r="J1795" s="2"/>
      <c r="N1795" s="2"/>
      <c r="O1795">
        <f>IFERROR(VLOOKUP($A1795,Accounts!$A:$G,3,FALSE),"")</f>
        <v>0</v>
      </c>
    </row>
    <row r="1796" spans="1:15" outlineLevel="2" x14ac:dyDescent="0.2">
      <c r="A1796" t="str">
        <f t="shared" si="27"/>
        <v/>
      </c>
      <c r="F1796" s="1"/>
      <c r="H1796" s="1"/>
      <c r="I1796" s="2"/>
      <c r="J1796" s="2"/>
      <c r="N1796" s="2"/>
      <c r="O1796">
        <f>IFERROR(VLOOKUP($A1796,Accounts!$A:$G,3,FALSE),"")</f>
        <v>0</v>
      </c>
    </row>
    <row r="1797" spans="1:15" outlineLevel="2" x14ac:dyDescent="0.2">
      <c r="A1797" t="str">
        <f t="shared" si="27"/>
        <v/>
      </c>
      <c r="F1797" s="1"/>
      <c r="H1797" s="1"/>
      <c r="I1797" s="2"/>
      <c r="J1797" s="2"/>
      <c r="N1797" s="2"/>
      <c r="O1797">
        <f>IFERROR(VLOOKUP($A1797,Accounts!$A:$G,3,FALSE),"")</f>
        <v>0</v>
      </c>
    </row>
    <row r="1798" spans="1:15" outlineLevel="2" x14ac:dyDescent="0.2">
      <c r="A1798" t="str">
        <f t="shared" si="27"/>
        <v/>
      </c>
      <c r="F1798" s="1"/>
      <c r="H1798" s="1"/>
      <c r="I1798" s="2"/>
      <c r="J1798" s="2"/>
      <c r="N1798" s="2"/>
      <c r="O1798">
        <f>IFERROR(VLOOKUP($A1798,Accounts!$A:$G,3,FALSE),"")</f>
        <v>0</v>
      </c>
    </row>
    <row r="1799" spans="1:15" outlineLevel="2" x14ac:dyDescent="0.2">
      <c r="A1799" t="str">
        <f t="shared" si="27"/>
        <v/>
      </c>
      <c r="F1799" s="1"/>
      <c r="H1799" s="1"/>
      <c r="I1799" s="2"/>
      <c r="J1799" s="2"/>
      <c r="N1799" s="2"/>
      <c r="O1799">
        <f>IFERROR(VLOOKUP($A1799,Accounts!$A:$G,3,FALSE),"")</f>
        <v>0</v>
      </c>
    </row>
    <row r="1800" spans="1:15" outlineLevel="2" x14ac:dyDescent="0.2">
      <c r="A1800" t="str">
        <f t="shared" si="27"/>
        <v/>
      </c>
      <c r="F1800" s="1"/>
      <c r="H1800" s="1"/>
      <c r="I1800" s="2"/>
      <c r="J1800" s="2"/>
      <c r="N1800" s="2"/>
      <c r="O1800">
        <f>IFERROR(VLOOKUP($A1800,Accounts!$A:$G,3,FALSE),"")</f>
        <v>0</v>
      </c>
    </row>
    <row r="1801" spans="1:15" outlineLevel="2" x14ac:dyDescent="0.2">
      <c r="A1801" t="str">
        <f t="shared" si="27"/>
        <v/>
      </c>
      <c r="F1801" s="1"/>
      <c r="H1801" s="1"/>
      <c r="I1801" s="2"/>
      <c r="J1801" s="2"/>
      <c r="N1801" s="2"/>
      <c r="O1801">
        <f>IFERROR(VLOOKUP($A1801,Accounts!$A:$G,3,FALSE),"")</f>
        <v>0</v>
      </c>
    </row>
    <row r="1802" spans="1:15" outlineLevel="2" x14ac:dyDescent="0.2">
      <c r="A1802" t="str">
        <f t="shared" ref="A1802:A1865" si="28">IFERROR(IF(J1802=0,E1802&amp;C1802&amp;I1802,G1802&amp;B1802&amp;J1802),"")</f>
        <v/>
      </c>
      <c r="F1802" s="1"/>
      <c r="H1802" s="1"/>
      <c r="I1802" s="2"/>
      <c r="J1802" s="2"/>
      <c r="N1802" s="2"/>
      <c r="O1802">
        <f>IFERROR(VLOOKUP($A1802,Accounts!$A:$G,3,FALSE),"")</f>
        <v>0</v>
      </c>
    </row>
    <row r="1803" spans="1:15" outlineLevel="2" x14ac:dyDescent="0.2">
      <c r="A1803" t="str">
        <f t="shared" si="28"/>
        <v/>
      </c>
      <c r="F1803" s="1"/>
      <c r="H1803" s="1"/>
      <c r="I1803" s="2"/>
      <c r="J1803" s="2"/>
      <c r="N1803" s="2"/>
      <c r="O1803">
        <f>IFERROR(VLOOKUP($A1803,Accounts!$A:$G,3,FALSE),"")</f>
        <v>0</v>
      </c>
    </row>
    <row r="1804" spans="1:15" outlineLevel="2" x14ac:dyDescent="0.2">
      <c r="A1804" t="str">
        <f t="shared" si="28"/>
        <v/>
      </c>
      <c r="F1804" s="1"/>
      <c r="H1804" s="1"/>
      <c r="I1804" s="2"/>
      <c r="J1804" s="2"/>
      <c r="N1804" s="2"/>
      <c r="O1804">
        <f>IFERROR(VLOOKUP($A1804,Accounts!$A:$G,3,FALSE),"")</f>
        <v>0</v>
      </c>
    </row>
    <row r="1805" spans="1:15" outlineLevel="2" x14ac:dyDescent="0.2">
      <c r="A1805" t="str">
        <f t="shared" si="28"/>
        <v/>
      </c>
      <c r="F1805" s="1"/>
      <c r="H1805" s="1"/>
      <c r="I1805" s="2"/>
      <c r="J1805" s="2"/>
      <c r="N1805" s="2"/>
      <c r="O1805">
        <f>IFERROR(VLOOKUP($A1805,Accounts!$A:$G,3,FALSE),"")</f>
        <v>0</v>
      </c>
    </row>
    <row r="1806" spans="1:15" outlineLevel="2" x14ac:dyDescent="0.2">
      <c r="A1806" t="str">
        <f t="shared" si="28"/>
        <v/>
      </c>
      <c r="F1806" s="1"/>
      <c r="H1806" s="1"/>
      <c r="I1806" s="2"/>
      <c r="J1806" s="2"/>
      <c r="N1806" s="2"/>
      <c r="O1806">
        <f>IFERROR(VLOOKUP($A1806,Accounts!$A:$G,3,FALSE),"")</f>
        <v>0</v>
      </c>
    </row>
    <row r="1807" spans="1:15" outlineLevel="2" x14ac:dyDescent="0.2">
      <c r="A1807" t="str">
        <f t="shared" si="28"/>
        <v/>
      </c>
      <c r="F1807" s="1"/>
      <c r="H1807" s="1"/>
      <c r="I1807" s="2"/>
      <c r="J1807" s="2"/>
      <c r="N1807" s="2"/>
      <c r="O1807">
        <f>IFERROR(VLOOKUP($A1807,Accounts!$A:$G,3,FALSE),"")</f>
        <v>0</v>
      </c>
    </row>
    <row r="1808" spans="1:15" outlineLevel="2" x14ac:dyDescent="0.2">
      <c r="A1808" t="str">
        <f t="shared" si="28"/>
        <v/>
      </c>
      <c r="F1808" s="1"/>
      <c r="H1808" s="1"/>
      <c r="I1808" s="2"/>
      <c r="J1808" s="2"/>
      <c r="N1808" s="2"/>
      <c r="O1808">
        <f>IFERROR(VLOOKUP($A1808,Accounts!$A:$G,3,FALSE),"")</f>
        <v>0</v>
      </c>
    </row>
    <row r="1809" spans="1:15" outlineLevel="2" x14ac:dyDescent="0.2">
      <c r="A1809" t="str">
        <f t="shared" si="28"/>
        <v/>
      </c>
      <c r="F1809" s="1"/>
      <c r="H1809" s="1"/>
      <c r="I1809" s="2"/>
      <c r="J1809" s="2"/>
      <c r="N1809" s="2"/>
      <c r="O1809">
        <f>IFERROR(VLOOKUP($A1809,Accounts!$A:$G,3,FALSE),"")</f>
        <v>0</v>
      </c>
    </row>
    <row r="1810" spans="1:15" outlineLevel="2" x14ac:dyDescent="0.2">
      <c r="A1810" t="str">
        <f t="shared" si="28"/>
        <v/>
      </c>
      <c r="F1810" s="1"/>
      <c r="H1810" s="1"/>
      <c r="I1810" s="2"/>
      <c r="J1810" s="2"/>
      <c r="N1810" s="2"/>
      <c r="O1810">
        <f>IFERROR(VLOOKUP($A1810,Accounts!$A:$G,3,FALSE),"")</f>
        <v>0</v>
      </c>
    </row>
    <row r="1811" spans="1:15" outlineLevel="2" x14ac:dyDescent="0.2">
      <c r="A1811" t="str">
        <f t="shared" si="28"/>
        <v/>
      </c>
      <c r="F1811" s="1"/>
      <c r="H1811" s="1"/>
      <c r="I1811" s="2"/>
      <c r="J1811" s="2"/>
      <c r="N1811" s="2"/>
      <c r="O1811">
        <f>IFERROR(VLOOKUP($A1811,Accounts!$A:$G,3,FALSE),"")</f>
        <v>0</v>
      </c>
    </row>
    <row r="1812" spans="1:15" outlineLevel="2" x14ac:dyDescent="0.2">
      <c r="A1812" t="str">
        <f t="shared" si="28"/>
        <v/>
      </c>
      <c r="F1812" s="1"/>
      <c r="H1812" s="1"/>
      <c r="I1812" s="2"/>
      <c r="J1812" s="2"/>
      <c r="N1812" s="2"/>
      <c r="O1812">
        <f>IFERROR(VLOOKUP($A1812,Accounts!$A:$G,3,FALSE),"")</f>
        <v>0</v>
      </c>
    </row>
    <row r="1813" spans="1:15" outlineLevel="2" x14ac:dyDescent="0.2">
      <c r="A1813" t="str">
        <f t="shared" si="28"/>
        <v/>
      </c>
      <c r="F1813" s="1"/>
      <c r="H1813" s="1"/>
      <c r="I1813" s="2"/>
      <c r="J1813" s="2"/>
      <c r="N1813" s="2"/>
      <c r="O1813">
        <f>IFERROR(VLOOKUP($A1813,Accounts!$A:$G,3,FALSE),"")</f>
        <v>0</v>
      </c>
    </row>
    <row r="1814" spans="1:15" outlineLevel="2" x14ac:dyDescent="0.2">
      <c r="A1814" t="str">
        <f t="shared" si="28"/>
        <v/>
      </c>
      <c r="F1814" s="1"/>
      <c r="H1814" s="1"/>
      <c r="I1814" s="2"/>
      <c r="J1814" s="2"/>
      <c r="N1814" s="2"/>
      <c r="O1814">
        <f>IFERROR(VLOOKUP($A1814,Accounts!$A:$G,3,FALSE),"")</f>
        <v>0</v>
      </c>
    </row>
    <row r="1815" spans="1:15" outlineLevel="2" x14ac:dyDescent="0.2">
      <c r="A1815" t="str">
        <f t="shared" si="28"/>
        <v/>
      </c>
      <c r="F1815" s="1"/>
      <c r="H1815" s="1"/>
      <c r="I1815" s="2"/>
      <c r="J1815" s="2"/>
      <c r="N1815" s="2"/>
      <c r="O1815">
        <f>IFERROR(VLOOKUP($A1815,Accounts!$A:$G,3,FALSE),"")</f>
        <v>0</v>
      </c>
    </row>
    <row r="1816" spans="1:15" outlineLevel="2" x14ac:dyDescent="0.2">
      <c r="A1816" t="str">
        <f t="shared" si="28"/>
        <v/>
      </c>
      <c r="F1816" s="1"/>
      <c r="H1816" s="1"/>
      <c r="I1816" s="2"/>
      <c r="J1816" s="2"/>
      <c r="N1816" s="2"/>
      <c r="O1816">
        <f>IFERROR(VLOOKUP($A1816,Accounts!$A:$G,3,FALSE),"")</f>
        <v>0</v>
      </c>
    </row>
    <row r="1817" spans="1:15" outlineLevel="2" x14ac:dyDescent="0.2">
      <c r="A1817" t="str">
        <f t="shared" si="28"/>
        <v/>
      </c>
      <c r="F1817" s="1"/>
      <c r="H1817" s="1"/>
      <c r="I1817" s="2"/>
      <c r="J1817" s="2"/>
      <c r="N1817" s="2"/>
      <c r="O1817">
        <f>IFERROR(VLOOKUP($A1817,Accounts!$A:$G,3,FALSE),"")</f>
        <v>0</v>
      </c>
    </row>
    <row r="1818" spans="1:15" outlineLevel="2" x14ac:dyDescent="0.2">
      <c r="A1818" t="str">
        <f t="shared" si="28"/>
        <v/>
      </c>
      <c r="F1818" s="1"/>
      <c r="H1818" s="1"/>
      <c r="I1818" s="2"/>
      <c r="J1818" s="2"/>
      <c r="N1818" s="2"/>
      <c r="O1818">
        <f>IFERROR(VLOOKUP($A1818,Accounts!$A:$G,3,FALSE),"")</f>
        <v>0</v>
      </c>
    </row>
    <row r="1819" spans="1:15" outlineLevel="2" x14ac:dyDescent="0.2">
      <c r="A1819" t="str">
        <f t="shared" si="28"/>
        <v/>
      </c>
      <c r="F1819" s="1"/>
      <c r="H1819" s="1"/>
      <c r="I1819" s="2"/>
      <c r="J1819" s="2"/>
      <c r="N1819" s="2"/>
      <c r="O1819">
        <f>IFERROR(VLOOKUP($A1819,Accounts!$A:$G,3,FALSE),"")</f>
        <v>0</v>
      </c>
    </row>
    <row r="1820" spans="1:15" outlineLevel="2" x14ac:dyDescent="0.2">
      <c r="A1820" t="str">
        <f t="shared" si="28"/>
        <v/>
      </c>
      <c r="F1820" s="1"/>
      <c r="H1820" s="1"/>
      <c r="I1820" s="2"/>
      <c r="J1820" s="2"/>
      <c r="N1820" s="2"/>
      <c r="O1820">
        <f>IFERROR(VLOOKUP($A1820,Accounts!$A:$G,3,FALSE),"")</f>
        <v>0</v>
      </c>
    </row>
    <row r="1821" spans="1:15" outlineLevel="2" x14ac:dyDescent="0.2">
      <c r="A1821" t="str">
        <f t="shared" si="28"/>
        <v/>
      </c>
      <c r="F1821" s="1"/>
      <c r="H1821" s="1"/>
      <c r="I1821" s="2"/>
      <c r="J1821" s="2"/>
      <c r="N1821" s="2"/>
      <c r="O1821">
        <f>IFERROR(VLOOKUP($A1821,Accounts!$A:$G,3,FALSE),"")</f>
        <v>0</v>
      </c>
    </row>
    <row r="1822" spans="1:15" outlineLevel="2" x14ac:dyDescent="0.2">
      <c r="A1822" t="str">
        <f t="shared" si="28"/>
        <v/>
      </c>
      <c r="F1822" s="1"/>
      <c r="H1822" s="1"/>
      <c r="I1822" s="2"/>
      <c r="J1822" s="2"/>
      <c r="N1822" s="2"/>
      <c r="O1822">
        <f>IFERROR(VLOOKUP($A1822,Accounts!$A:$G,3,FALSE),"")</f>
        <v>0</v>
      </c>
    </row>
    <row r="1823" spans="1:15" outlineLevel="2" x14ac:dyDescent="0.2">
      <c r="A1823" t="str">
        <f t="shared" si="28"/>
        <v/>
      </c>
      <c r="F1823" s="1"/>
      <c r="H1823" s="1"/>
      <c r="I1823" s="2"/>
      <c r="J1823" s="2"/>
      <c r="N1823" s="2"/>
      <c r="O1823">
        <f>IFERROR(VLOOKUP($A1823,Accounts!$A:$G,3,FALSE),"")</f>
        <v>0</v>
      </c>
    </row>
    <row r="1824" spans="1:15" outlineLevel="2" x14ac:dyDescent="0.2">
      <c r="A1824" t="str">
        <f t="shared" si="28"/>
        <v/>
      </c>
      <c r="F1824" s="1"/>
      <c r="H1824" s="1"/>
      <c r="I1824" s="2"/>
      <c r="J1824" s="2"/>
      <c r="N1824" s="2"/>
      <c r="O1824">
        <f>IFERROR(VLOOKUP($A1824,Accounts!$A:$G,3,FALSE),"")</f>
        <v>0</v>
      </c>
    </row>
    <row r="1825" spans="1:15" outlineLevel="2" x14ac:dyDescent="0.2">
      <c r="A1825" t="str">
        <f t="shared" si="28"/>
        <v/>
      </c>
      <c r="F1825" s="1"/>
      <c r="H1825" s="1"/>
      <c r="I1825" s="2"/>
      <c r="J1825" s="2"/>
      <c r="N1825" s="2"/>
      <c r="O1825">
        <f>IFERROR(VLOOKUP($A1825,Accounts!$A:$G,3,FALSE),"")</f>
        <v>0</v>
      </c>
    </row>
    <row r="1826" spans="1:15" outlineLevel="2" x14ac:dyDescent="0.2">
      <c r="A1826" t="str">
        <f t="shared" si="28"/>
        <v/>
      </c>
      <c r="F1826" s="1"/>
      <c r="H1826" s="1"/>
      <c r="I1826" s="2"/>
      <c r="J1826" s="2"/>
      <c r="N1826" s="2"/>
      <c r="O1826">
        <f>IFERROR(VLOOKUP($A1826,Accounts!$A:$G,3,FALSE),"")</f>
        <v>0</v>
      </c>
    </row>
    <row r="1827" spans="1:15" outlineLevel="2" x14ac:dyDescent="0.2">
      <c r="A1827" t="str">
        <f t="shared" si="28"/>
        <v/>
      </c>
      <c r="F1827" s="1"/>
      <c r="H1827" s="1"/>
      <c r="I1827" s="2"/>
      <c r="J1827" s="2"/>
      <c r="N1827" s="2"/>
      <c r="O1827">
        <f>IFERROR(VLOOKUP($A1827,Accounts!$A:$G,3,FALSE),"")</f>
        <v>0</v>
      </c>
    </row>
    <row r="1828" spans="1:15" outlineLevel="2" x14ac:dyDescent="0.2">
      <c r="A1828" t="str">
        <f t="shared" si="28"/>
        <v/>
      </c>
      <c r="F1828" s="1"/>
      <c r="H1828" s="1"/>
      <c r="I1828" s="2"/>
      <c r="J1828" s="2"/>
      <c r="N1828" s="2"/>
      <c r="O1828">
        <f>IFERROR(VLOOKUP($A1828,Accounts!$A:$G,3,FALSE),"")</f>
        <v>0</v>
      </c>
    </row>
    <row r="1829" spans="1:15" outlineLevel="2" x14ac:dyDescent="0.2">
      <c r="A1829" t="str">
        <f t="shared" si="28"/>
        <v/>
      </c>
      <c r="F1829" s="1"/>
      <c r="H1829" s="1"/>
      <c r="I1829" s="2"/>
      <c r="J1829" s="2"/>
      <c r="N1829" s="2"/>
      <c r="O1829">
        <f>IFERROR(VLOOKUP($A1829,Accounts!$A:$G,3,FALSE),"")</f>
        <v>0</v>
      </c>
    </row>
    <row r="1830" spans="1:15" outlineLevel="2" x14ac:dyDescent="0.2">
      <c r="A1830" t="str">
        <f t="shared" si="28"/>
        <v/>
      </c>
      <c r="F1830" s="1"/>
      <c r="H1830" s="1"/>
      <c r="I1830" s="2"/>
      <c r="J1830" s="2"/>
      <c r="N1830" s="2"/>
      <c r="O1830">
        <f>IFERROR(VLOOKUP($A1830,Accounts!$A:$G,3,FALSE),"")</f>
        <v>0</v>
      </c>
    </row>
    <row r="1831" spans="1:15" outlineLevel="2" x14ac:dyDescent="0.2">
      <c r="A1831" t="str">
        <f t="shared" si="28"/>
        <v/>
      </c>
      <c r="F1831" s="1"/>
      <c r="H1831" s="1"/>
      <c r="I1831" s="2"/>
      <c r="J1831" s="2"/>
      <c r="N1831" s="2"/>
      <c r="O1831">
        <f>IFERROR(VLOOKUP($A1831,Accounts!$A:$G,3,FALSE),"")</f>
        <v>0</v>
      </c>
    </row>
    <row r="1832" spans="1:15" outlineLevel="2" x14ac:dyDescent="0.2">
      <c r="A1832" t="str">
        <f t="shared" si="28"/>
        <v/>
      </c>
      <c r="F1832" s="1"/>
      <c r="H1832" s="1"/>
      <c r="I1832" s="2"/>
      <c r="J1832" s="2"/>
      <c r="N1832" s="2"/>
      <c r="O1832">
        <f>IFERROR(VLOOKUP($A1832,Accounts!$A:$G,3,FALSE),"")</f>
        <v>0</v>
      </c>
    </row>
    <row r="1833" spans="1:15" outlineLevel="2" x14ac:dyDescent="0.2">
      <c r="A1833" t="str">
        <f t="shared" si="28"/>
        <v/>
      </c>
      <c r="F1833" s="1"/>
      <c r="H1833" s="1"/>
      <c r="I1833" s="2"/>
      <c r="J1833" s="2"/>
      <c r="N1833" s="2"/>
      <c r="O1833">
        <f>IFERROR(VLOOKUP($A1833,Accounts!$A:$G,3,FALSE),"")</f>
        <v>0</v>
      </c>
    </row>
    <row r="1834" spans="1:15" outlineLevel="2" x14ac:dyDescent="0.2">
      <c r="A1834" t="str">
        <f t="shared" si="28"/>
        <v/>
      </c>
      <c r="F1834" s="1"/>
      <c r="H1834" s="1"/>
      <c r="I1834" s="2"/>
      <c r="J1834" s="2"/>
      <c r="N1834" s="2"/>
      <c r="O1834">
        <f>IFERROR(VLOOKUP($A1834,Accounts!$A:$G,3,FALSE),"")</f>
        <v>0</v>
      </c>
    </row>
    <row r="1835" spans="1:15" outlineLevel="2" x14ac:dyDescent="0.2">
      <c r="A1835" t="str">
        <f t="shared" si="28"/>
        <v/>
      </c>
      <c r="F1835" s="1"/>
      <c r="H1835" s="1"/>
      <c r="I1835" s="2"/>
      <c r="J1835" s="2"/>
      <c r="N1835" s="2"/>
      <c r="O1835">
        <f>IFERROR(VLOOKUP($A1835,Accounts!$A:$G,3,FALSE),"")</f>
        <v>0</v>
      </c>
    </row>
    <row r="1836" spans="1:15" outlineLevel="2" x14ac:dyDescent="0.2">
      <c r="A1836" t="str">
        <f t="shared" si="28"/>
        <v/>
      </c>
      <c r="B1836" s="3"/>
      <c r="C1836" s="3"/>
      <c r="D1836" s="3"/>
      <c r="E1836" s="3"/>
      <c r="F1836" s="4"/>
      <c r="G1836" s="3"/>
      <c r="H1836" s="4"/>
      <c r="I1836" s="5"/>
      <c r="J1836" s="5"/>
      <c r="K1836" s="3"/>
      <c r="L1836" s="3"/>
      <c r="M1836" s="3"/>
      <c r="N1836" s="5"/>
      <c r="O1836">
        <f>IFERROR(VLOOKUP($A1836,Accounts!$A:$G,3,FALSE),"")</f>
        <v>0</v>
      </c>
    </row>
    <row r="1837" spans="1:15" outlineLevel="2" x14ac:dyDescent="0.2">
      <c r="A1837" t="str">
        <f t="shared" si="28"/>
        <v/>
      </c>
      <c r="F1837" s="1"/>
      <c r="H1837" s="1"/>
      <c r="I1837" s="2"/>
      <c r="J1837" s="2"/>
      <c r="N1837" s="2"/>
      <c r="O1837">
        <f>IFERROR(VLOOKUP($A1837,Accounts!$A:$G,3,FALSE),"")</f>
        <v>0</v>
      </c>
    </row>
    <row r="1838" spans="1:15" outlineLevel="2" x14ac:dyDescent="0.2">
      <c r="A1838" t="str">
        <f t="shared" si="28"/>
        <v/>
      </c>
      <c r="F1838" s="1"/>
      <c r="H1838" s="1"/>
      <c r="I1838" s="2"/>
      <c r="J1838" s="2"/>
      <c r="N1838" s="2"/>
      <c r="O1838">
        <f>IFERROR(VLOOKUP($A1838,Accounts!$A:$G,3,FALSE),"")</f>
        <v>0</v>
      </c>
    </row>
    <row r="1839" spans="1:15" outlineLevel="2" x14ac:dyDescent="0.2">
      <c r="A1839" t="str">
        <f t="shared" si="28"/>
        <v/>
      </c>
      <c r="F1839" s="1"/>
      <c r="H1839" s="1"/>
      <c r="I1839" s="2"/>
      <c r="J1839" s="2"/>
      <c r="N1839" s="2"/>
      <c r="O1839">
        <f>IFERROR(VLOOKUP($A1839,Accounts!$A:$G,3,FALSE),"")</f>
        <v>0</v>
      </c>
    </row>
    <row r="1840" spans="1:15" outlineLevel="2" x14ac:dyDescent="0.2">
      <c r="A1840" t="str">
        <f t="shared" si="28"/>
        <v/>
      </c>
      <c r="F1840" s="1"/>
      <c r="H1840" s="1"/>
      <c r="I1840" s="2"/>
      <c r="J1840" s="2"/>
      <c r="N1840" s="2"/>
      <c r="O1840">
        <f>IFERROR(VLOOKUP($A1840,Accounts!$A:$G,3,FALSE),"")</f>
        <v>0</v>
      </c>
    </row>
    <row r="1841" spans="1:15" outlineLevel="2" x14ac:dyDescent="0.2">
      <c r="A1841" t="str">
        <f t="shared" si="28"/>
        <v/>
      </c>
      <c r="B1841" s="3"/>
      <c r="C1841" s="3"/>
      <c r="D1841" s="3"/>
      <c r="E1841" s="3"/>
      <c r="F1841" s="4"/>
      <c r="G1841" s="3"/>
      <c r="H1841" s="4"/>
      <c r="I1841" s="5"/>
      <c r="J1841" s="5"/>
      <c r="K1841" s="3"/>
      <c r="L1841" s="3"/>
      <c r="M1841" s="3"/>
      <c r="N1841" s="5"/>
      <c r="O1841">
        <f>IFERROR(VLOOKUP($A1841,Accounts!$A:$G,3,FALSE),"")</f>
        <v>0</v>
      </c>
    </row>
    <row r="1842" spans="1:15" outlineLevel="2" x14ac:dyDescent="0.2">
      <c r="A1842" t="str">
        <f t="shared" si="28"/>
        <v/>
      </c>
      <c r="F1842" s="1"/>
      <c r="H1842" s="1"/>
      <c r="I1842" s="2"/>
      <c r="J1842" s="2"/>
      <c r="N1842" s="2"/>
      <c r="O1842">
        <f>IFERROR(VLOOKUP($A1842,Accounts!$A:$G,3,FALSE),"")</f>
        <v>0</v>
      </c>
    </row>
    <row r="1843" spans="1:15" outlineLevel="2" x14ac:dyDescent="0.2">
      <c r="A1843" t="str">
        <f t="shared" si="28"/>
        <v/>
      </c>
      <c r="F1843" s="1"/>
      <c r="H1843" s="1"/>
      <c r="I1843" s="2"/>
      <c r="J1843" s="2"/>
      <c r="N1843" s="2"/>
      <c r="O1843">
        <f>IFERROR(VLOOKUP($A1843,Accounts!$A:$G,3,FALSE),"")</f>
        <v>0</v>
      </c>
    </row>
    <row r="1844" spans="1:15" outlineLevel="2" x14ac:dyDescent="0.2">
      <c r="A1844" t="str">
        <f t="shared" si="28"/>
        <v/>
      </c>
      <c r="B1844" s="3"/>
      <c r="C1844" s="3"/>
      <c r="D1844" s="3"/>
      <c r="E1844" s="3"/>
      <c r="F1844" s="4"/>
      <c r="G1844" s="3"/>
      <c r="H1844" s="4"/>
      <c r="I1844" s="5"/>
      <c r="J1844" s="5"/>
      <c r="K1844" s="3"/>
      <c r="L1844" s="3"/>
      <c r="M1844" s="3"/>
      <c r="N1844" s="5"/>
      <c r="O1844">
        <f>IFERROR(VLOOKUP($A1844,Accounts!$A:$G,3,FALSE),"")</f>
        <v>0</v>
      </c>
    </row>
    <row r="1845" spans="1:15" outlineLevel="2" x14ac:dyDescent="0.2">
      <c r="A1845" t="str">
        <f t="shared" si="28"/>
        <v/>
      </c>
      <c r="B1845" s="6"/>
      <c r="C1845" s="6"/>
      <c r="D1845" s="6"/>
      <c r="E1845" s="6"/>
      <c r="F1845" s="7"/>
      <c r="G1845" s="6"/>
      <c r="H1845" s="7"/>
      <c r="I1845" s="8"/>
      <c r="J1845" s="8"/>
      <c r="K1845" s="6"/>
      <c r="L1845" s="6"/>
      <c r="M1845" s="6"/>
      <c r="N1845" s="8"/>
      <c r="O1845">
        <f>IFERROR(VLOOKUP($A1845,Accounts!$A:$G,3,FALSE),"")</f>
        <v>0</v>
      </c>
    </row>
    <row r="1846" spans="1:15" outlineLevel="2" x14ac:dyDescent="0.2">
      <c r="A1846" t="str">
        <f t="shared" si="28"/>
        <v/>
      </c>
      <c r="B1846" s="6"/>
      <c r="C1846" s="6"/>
      <c r="D1846" s="6"/>
      <c r="E1846" s="6"/>
      <c r="F1846" s="7"/>
      <c r="G1846" s="6"/>
      <c r="H1846" s="7"/>
      <c r="I1846" s="8"/>
      <c r="J1846" s="8"/>
      <c r="K1846" s="6"/>
      <c r="L1846" s="6"/>
      <c r="M1846" s="6"/>
      <c r="N1846" s="8"/>
      <c r="O1846">
        <f>IFERROR(VLOOKUP($A1846,Accounts!$A:$G,3,FALSE),"")</f>
        <v>0</v>
      </c>
    </row>
    <row r="1847" spans="1:15" outlineLevel="2" x14ac:dyDescent="0.2">
      <c r="A1847" t="str">
        <f t="shared" si="28"/>
        <v/>
      </c>
      <c r="B1847" s="6"/>
      <c r="C1847" s="6"/>
      <c r="D1847" s="6"/>
      <c r="E1847" s="6"/>
      <c r="F1847" s="7"/>
      <c r="G1847" s="6"/>
      <c r="H1847" s="7"/>
      <c r="I1847" s="8"/>
      <c r="J1847" s="8"/>
      <c r="K1847" s="6"/>
      <c r="L1847" s="6"/>
      <c r="M1847" s="6"/>
      <c r="N1847" s="8"/>
      <c r="O1847">
        <f>IFERROR(VLOOKUP($A1847,Accounts!$A:$G,3,FALSE),"")</f>
        <v>0</v>
      </c>
    </row>
    <row r="1848" spans="1:15" outlineLevel="2" x14ac:dyDescent="0.2">
      <c r="A1848" t="str">
        <f t="shared" si="28"/>
        <v/>
      </c>
      <c r="F1848" s="1"/>
      <c r="H1848" s="1"/>
      <c r="I1848" s="2"/>
      <c r="J1848" s="2"/>
      <c r="N1848" s="2"/>
      <c r="O1848">
        <f>IFERROR(VLOOKUP($A1848,Accounts!$A:$G,3,FALSE),"")</f>
        <v>0</v>
      </c>
    </row>
    <row r="1849" spans="1:15" outlineLevel="2" x14ac:dyDescent="0.2">
      <c r="A1849" t="str">
        <f t="shared" si="28"/>
        <v/>
      </c>
      <c r="F1849" s="1"/>
      <c r="H1849" s="1"/>
      <c r="I1849" s="2"/>
      <c r="J1849" s="2"/>
      <c r="N1849" s="2"/>
      <c r="O1849">
        <f>IFERROR(VLOOKUP($A1849,Accounts!$A:$G,3,FALSE),"")</f>
        <v>0</v>
      </c>
    </row>
    <row r="1850" spans="1:15" outlineLevel="2" x14ac:dyDescent="0.2">
      <c r="A1850" t="str">
        <f t="shared" si="28"/>
        <v/>
      </c>
      <c r="F1850" s="1"/>
      <c r="H1850" s="1"/>
      <c r="I1850" s="2"/>
      <c r="J1850" s="2"/>
      <c r="N1850" s="2"/>
      <c r="O1850">
        <f>IFERROR(VLOOKUP($A1850,Accounts!$A:$G,3,FALSE),"")</f>
        <v>0</v>
      </c>
    </row>
    <row r="1851" spans="1:15" outlineLevel="2" x14ac:dyDescent="0.2">
      <c r="A1851" t="str">
        <f t="shared" si="28"/>
        <v/>
      </c>
      <c r="F1851" s="1"/>
      <c r="H1851" s="1"/>
      <c r="I1851" s="2"/>
      <c r="J1851" s="2"/>
      <c r="N1851" s="2"/>
      <c r="O1851">
        <f>IFERROR(VLOOKUP($A1851,Accounts!$A:$G,3,FALSE),"")</f>
        <v>0</v>
      </c>
    </row>
    <row r="1852" spans="1:15" outlineLevel="2" x14ac:dyDescent="0.2">
      <c r="A1852" t="str">
        <f t="shared" si="28"/>
        <v/>
      </c>
      <c r="F1852" s="1"/>
      <c r="H1852" s="1"/>
      <c r="I1852" s="2"/>
      <c r="J1852" s="2"/>
      <c r="N1852" s="2"/>
      <c r="O1852">
        <f>IFERROR(VLOOKUP($A1852,Accounts!$A:$G,3,FALSE),"")</f>
        <v>0</v>
      </c>
    </row>
    <row r="1853" spans="1:15" outlineLevel="2" x14ac:dyDescent="0.2">
      <c r="A1853" t="str">
        <f t="shared" si="28"/>
        <v/>
      </c>
      <c r="F1853" s="1"/>
      <c r="H1853" s="1"/>
      <c r="I1853" s="2"/>
      <c r="J1853" s="2"/>
      <c r="N1853" s="2"/>
      <c r="O1853">
        <f>IFERROR(VLOOKUP($A1853,Accounts!$A:$G,3,FALSE),"")</f>
        <v>0</v>
      </c>
    </row>
    <row r="1854" spans="1:15" outlineLevel="2" x14ac:dyDescent="0.2">
      <c r="A1854" t="str">
        <f t="shared" si="28"/>
        <v/>
      </c>
      <c r="F1854" s="1"/>
      <c r="H1854" s="1"/>
      <c r="I1854" s="2"/>
      <c r="J1854" s="2"/>
      <c r="N1854" s="2"/>
      <c r="O1854">
        <f>IFERROR(VLOOKUP($A1854,Accounts!$A:$G,3,FALSE),"")</f>
        <v>0</v>
      </c>
    </row>
    <row r="1855" spans="1:15" outlineLevel="2" x14ac:dyDescent="0.2">
      <c r="A1855" t="str">
        <f t="shared" si="28"/>
        <v/>
      </c>
      <c r="F1855" s="1"/>
      <c r="H1855" s="1"/>
      <c r="I1855" s="2"/>
      <c r="J1855" s="2"/>
      <c r="N1855" s="2"/>
      <c r="O1855">
        <f>IFERROR(VLOOKUP($A1855,Accounts!$A:$G,3,FALSE),"")</f>
        <v>0</v>
      </c>
    </row>
    <row r="1856" spans="1:15" outlineLevel="2" x14ac:dyDescent="0.2">
      <c r="A1856" t="str">
        <f t="shared" si="28"/>
        <v/>
      </c>
      <c r="F1856" s="1"/>
      <c r="H1856" s="1"/>
      <c r="I1856" s="2"/>
      <c r="J1856" s="2"/>
      <c r="N1856" s="2"/>
      <c r="O1856">
        <f>IFERROR(VLOOKUP($A1856,Accounts!$A:$G,3,FALSE),"")</f>
        <v>0</v>
      </c>
    </row>
    <row r="1857" spans="1:15" outlineLevel="2" x14ac:dyDescent="0.2">
      <c r="A1857" t="str">
        <f t="shared" si="28"/>
        <v/>
      </c>
      <c r="F1857" s="1"/>
      <c r="H1857" s="1"/>
      <c r="I1857" s="2"/>
      <c r="J1857" s="2"/>
      <c r="N1857" s="2"/>
      <c r="O1857">
        <f>IFERROR(VLOOKUP($A1857,Accounts!$A:$G,3,FALSE),"")</f>
        <v>0</v>
      </c>
    </row>
    <row r="1858" spans="1:15" outlineLevel="2" x14ac:dyDescent="0.2">
      <c r="A1858" t="str">
        <f t="shared" si="28"/>
        <v/>
      </c>
      <c r="F1858" s="1"/>
      <c r="H1858" s="1"/>
      <c r="I1858" s="2"/>
      <c r="J1858" s="2"/>
      <c r="N1858" s="2"/>
      <c r="O1858">
        <f>IFERROR(VLOOKUP($A1858,Accounts!$A:$G,3,FALSE),"")</f>
        <v>0</v>
      </c>
    </row>
    <row r="1859" spans="1:15" outlineLevel="2" x14ac:dyDescent="0.2">
      <c r="A1859" t="str">
        <f t="shared" si="28"/>
        <v/>
      </c>
      <c r="F1859" s="1"/>
      <c r="H1859" s="1"/>
      <c r="I1859" s="2"/>
      <c r="J1859" s="2"/>
      <c r="N1859" s="2"/>
      <c r="O1859">
        <f>IFERROR(VLOOKUP($A1859,Accounts!$A:$G,3,FALSE),"")</f>
        <v>0</v>
      </c>
    </row>
    <row r="1860" spans="1:15" outlineLevel="2" x14ac:dyDescent="0.2">
      <c r="A1860" t="str">
        <f t="shared" si="28"/>
        <v/>
      </c>
      <c r="F1860" s="1"/>
      <c r="H1860" s="1"/>
      <c r="I1860" s="2"/>
      <c r="J1860" s="2"/>
      <c r="N1860" s="2"/>
      <c r="O1860">
        <f>IFERROR(VLOOKUP($A1860,Accounts!$A:$G,3,FALSE),"")</f>
        <v>0</v>
      </c>
    </row>
    <row r="1861" spans="1:15" outlineLevel="2" x14ac:dyDescent="0.2">
      <c r="A1861" t="str">
        <f t="shared" si="28"/>
        <v/>
      </c>
      <c r="F1861" s="1"/>
      <c r="H1861" s="1"/>
      <c r="I1861" s="2"/>
      <c r="J1861" s="2"/>
      <c r="N1861" s="2"/>
      <c r="O1861">
        <f>IFERROR(VLOOKUP($A1861,Accounts!$A:$G,3,FALSE),"")</f>
        <v>0</v>
      </c>
    </row>
    <row r="1862" spans="1:15" outlineLevel="2" x14ac:dyDescent="0.2">
      <c r="A1862" t="str">
        <f t="shared" si="28"/>
        <v/>
      </c>
      <c r="F1862" s="1"/>
      <c r="H1862" s="1"/>
      <c r="I1862" s="2"/>
      <c r="J1862" s="2"/>
      <c r="N1862" s="2"/>
      <c r="O1862">
        <f>IFERROR(VLOOKUP($A1862,Accounts!$A:$G,3,FALSE),"")</f>
        <v>0</v>
      </c>
    </row>
    <row r="1863" spans="1:15" outlineLevel="2" x14ac:dyDescent="0.2">
      <c r="A1863" t="str">
        <f t="shared" si="28"/>
        <v/>
      </c>
      <c r="F1863" s="1"/>
      <c r="H1863" s="1"/>
      <c r="I1863" s="2"/>
      <c r="J1863" s="2"/>
      <c r="N1863" s="2"/>
      <c r="O1863">
        <f>IFERROR(VLOOKUP($A1863,Accounts!$A:$G,3,FALSE),"")</f>
        <v>0</v>
      </c>
    </row>
    <row r="1864" spans="1:15" outlineLevel="2" x14ac:dyDescent="0.2">
      <c r="A1864" t="str">
        <f t="shared" si="28"/>
        <v/>
      </c>
      <c r="F1864" s="1"/>
      <c r="H1864" s="1"/>
      <c r="I1864" s="2"/>
      <c r="J1864" s="2"/>
      <c r="N1864" s="2"/>
      <c r="O1864">
        <f>IFERROR(VLOOKUP($A1864,Accounts!$A:$G,3,FALSE),"")</f>
        <v>0</v>
      </c>
    </row>
    <row r="1865" spans="1:15" outlineLevel="2" x14ac:dyDescent="0.2">
      <c r="A1865" t="str">
        <f t="shared" si="28"/>
        <v/>
      </c>
      <c r="F1865" s="1"/>
      <c r="H1865" s="1"/>
      <c r="I1865" s="2"/>
      <c r="J1865" s="2"/>
      <c r="N1865" s="2"/>
      <c r="O1865">
        <f>IFERROR(VLOOKUP($A1865,Accounts!$A:$G,3,FALSE),"")</f>
        <v>0</v>
      </c>
    </row>
    <row r="1866" spans="1:15" outlineLevel="2" x14ac:dyDescent="0.2">
      <c r="A1866" t="str">
        <f t="shared" ref="A1866:A1929" si="29">IFERROR(IF(J1866=0,E1866&amp;C1866&amp;I1866,G1866&amp;B1866&amp;J1866),"")</f>
        <v/>
      </c>
      <c r="F1866" s="1"/>
      <c r="H1866" s="1"/>
      <c r="I1866" s="2"/>
      <c r="J1866" s="2"/>
      <c r="N1866" s="2"/>
      <c r="O1866">
        <f>IFERROR(VLOOKUP($A1866,Accounts!$A:$G,3,FALSE),"")</f>
        <v>0</v>
      </c>
    </row>
    <row r="1867" spans="1:15" outlineLevel="2" x14ac:dyDescent="0.2">
      <c r="A1867" t="str">
        <f t="shared" si="29"/>
        <v/>
      </c>
      <c r="F1867" s="1"/>
      <c r="H1867" s="1"/>
      <c r="I1867" s="2"/>
      <c r="J1867" s="2"/>
      <c r="N1867" s="2"/>
      <c r="O1867">
        <f>IFERROR(VLOOKUP($A1867,Accounts!$A:$G,3,FALSE),"")</f>
        <v>0</v>
      </c>
    </row>
    <row r="1868" spans="1:15" outlineLevel="2" x14ac:dyDescent="0.2">
      <c r="A1868" t="str">
        <f t="shared" si="29"/>
        <v/>
      </c>
      <c r="F1868" s="1"/>
      <c r="H1868" s="1"/>
      <c r="I1868" s="2"/>
      <c r="J1868" s="2"/>
      <c r="N1868" s="2"/>
      <c r="O1868">
        <f>IFERROR(VLOOKUP($A1868,Accounts!$A:$G,3,FALSE),"")</f>
        <v>0</v>
      </c>
    </row>
    <row r="1869" spans="1:15" outlineLevel="2" x14ac:dyDescent="0.2">
      <c r="A1869" t="str">
        <f t="shared" si="29"/>
        <v/>
      </c>
      <c r="F1869" s="1"/>
      <c r="H1869" s="1"/>
      <c r="I1869" s="2"/>
      <c r="J1869" s="2"/>
      <c r="N1869" s="2"/>
      <c r="O1869">
        <f>IFERROR(VLOOKUP($A1869,Accounts!$A:$G,3,FALSE),"")</f>
        <v>0</v>
      </c>
    </row>
    <row r="1870" spans="1:15" outlineLevel="2" x14ac:dyDescent="0.2">
      <c r="A1870" t="str">
        <f t="shared" si="29"/>
        <v/>
      </c>
      <c r="F1870" s="1"/>
      <c r="H1870" s="1"/>
      <c r="I1870" s="2"/>
      <c r="J1870" s="2"/>
      <c r="N1870" s="2"/>
      <c r="O1870">
        <f>IFERROR(VLOOKUP($A1870,Accounts!$A:$G,3,FALSE),"")</f>
        <v>0</v>
      </c>
    </row>
    <row r="1871" spans="1:15" outlineLevel="2" x14ac:dyDescent="0.2">
      <c r="A1871" t="str">
        <f t="shared" si="29"/>
        <v/>
      </c>
      <c r="F1871" s="1"/>
      <c r="H1871" s="1"/>
      <c r="I1871" s="2"/>
      <c r="J1871" s="2"/>
      <c r="N1871" s="2"/>
      <c r="O1871">
        <f>IFERROR(VLOOKUP($A1871,Accounts!$A:$G,3,FALSE),"")</f>
        <v>0</v>
      </c>
    </row>
    <row r="1872" spans="1:15" outlineLevel="2" x14ac:dyDescent="0.2">
      <c r="A1872" t="str">
        <f t="shared" si="29"/>
        <v/>
      </c>
      <c r="F1872" s="1"/>
      <c r="H1872" s="1"/>
      <c r="I1872" s="2"/>
      <c r="J1872" s="2"/>
      <c r="N1872" s="2"/>
      <c r="O1872">
        <f>IFERROR(VLOOKUP($A1872,Accounts!$A:$G,3,FALSE),"")</f>
        <v>0</v>
      </c>
    </row>
    <row r="1873" spans="1:15" outlineLevel="2" x14ac:dyDescent="0.2">
      <c r="A1873" t="str">
        <f t="shared" si="29"/>
        <v/>
      </c>
      <c r="F1873" s="1"/>
      <c r="H1873" s="1"/>
      <c r="I1873" s="2"/>
      <c r="J1873" s="2"/>
      <c r="N1873" s="2"/>
      <c r="O1873">
        <f>IFERROR(VLOOKUP($A1873,Accounts!$A:$G,3,FALSE),"")</f>
        <v>0</v>
      </c>
    </row>
    <row r="1874" spans="1:15" outlineLevel="2" x14ac:dyDescent="0.2">
      <c r="A1874" t="str">
        <f t="shared" si="29"/>
        <v/>
      </c>
      <c r="F1874" s="1"/>
      <c r="H1874" s="1"/>
      <c r="I1874" s="2"/>
      <c r="J1874" s="2"/>
      <c r="N1874" s="2"/>
      <c r="O1874">
        <f>IFERROR(VLOOKUP($A1874,Accounts!$A:$G,3,FALSE),"")</f>
        <v>0</v>
      </c>
    </row>
    <row r="1875" spans="1:15" outlineLevel="2" x14ac:dyDescent="0.2">
      <c r="A1875" t="str">
        <f t="shared" si="29"/>
        <v/>
      </c>
      <c r="F1875" s="1"/>
      <c r="H1875" s="1"/>
      <c r="I1875" s="2"/>
      <c r="J1875" s="2"/>
      <c r="N1875" s="2"/>
      <c r="O1875">
        <f>IFERROR(VLOOKUP($A1875,Accounts!$A:$G,3,FALSE),"")</f>
        <v>0</v>
      </c>
    </row>
    <row r="1876" spans="1:15" outlineLevel="2" x14ac:dyDescent="0.2">
      <c r="A1876" t="str">
        <f t="shared" si="29"/>
        <v/>
      </c>
      <c r="F1876" s="1"/>
      <c r="H1876" s="1"/>
      <c r="I1876" s="2"/>
      <c r="J1876" s="2"/>
      <c r="N1876" s="2"/>
      <c r="O1876">
        <f>IFERROR(VLOOKUP($A1876,Accounts!$A:$G,3,FALSE),"")</f>
        <v>0</v>
      </c>
    </row>
    <row r="1877" spans="1:15" outlineLevel="2" x14ac:dyDescent="0.2">
      <c r="A1877" t="str">
        <f t="shared" si="29"/>
        <v/>
      </c>
      <c r="F1877" s="1"/>
      <c r="H1877" s="1"/>
      <c r="I1877" s="2"/>
      <c r="J1877" s="2"/>
      <c r="N1877" s="2"/>
      <c r="O1877">
        <f>IFERROR(VLOOKUP($A1877,Accounts!$A:$G,3,FALSE),"")</f>
        <v>0</v>
      </c>
    </row>
    <row r="1878" spans="1:15" outlineLevel="2" x14ac:dyDescent="0.2">
      <c r="A1878" t="str">
        <f t="shared" si="29"/>
        <v/>
      </c>
      <c r="F1878" s="1"/>
      <c r="H1878" s="1"/>
      <c r="I1878" s="2"/>
      <c r="J1878" s="2"/>
      <c r="N1878" s="2"/>
      <c r="O1878">
        <f>IFERROR(VLOOKUP($A1878,Accounts!$A:$G,3,FALSE),"")</f>
        <v>0</v>
      </c>
    </row>
    <row r="1879" spans="1:15" outlineLevel="2" x14ac:dyDescent="0.2">
      <c r="A1879" t="str">
        <f t="shared" si="29"/>
        <v/>
      </c>
      <c r="F1879" s="1"/>
      <c r="H1879" s="1"/>
      <c r="I1879" s="2"/>
      <c r="J1879" s="2"/>
      <c r="N1879" s="2"/>
      <c r="O1879">
        <f>IFERROR(VLOOKUP($A1879,Accounts!$A:$G,3,FALSE),"")</f>
        <v>0</v>
      </c>
    </row>
    <row r="1880" spans="1:15" outlineLevel="2" x14ac:dyDescent="0.2">
      <c r="A1880" t="str">
        <f t="shared" si="29"/>
        <v/>
      </c>
      <c r="F1880" s="1"/>
      <c r="H1880" s="1"/>
      <c r="I1880" s="2"/>
      <c r="J1880" s="2"/>
      <c r="N1880" s="2"/>
      <c r="O1880">
        <f>IFERROR(VLOOKUP($A1880,Accounts!$A:$G,3,FALSE),"")</f>
        <v>0</v>
      </c>
    </row>
    <row r="1881" spans="1:15" outlineLevel="2" x14ac:dyDescent="0.2">
      <c r="A1881" t="str">
        <f t="shared" si="29"/>
        <v/>
      </c>
      <c r="F1881" s="1"/>
      <c r="H1881" s="1"/>
      <c r="I1881" s="2"/>
      <c r="J1881" s="2"/>
      <c r="N1881" s="2"/>
      <c r="O1881">
        <f>IFERROR(VLOOKUP($A1881,Accounts!$A:$G,3,FALSE),"")</f>
        <v>0</v>
      </c>
    </row>
    <row r="1882" spans="1:15" outlineLevel="2" x14ac:dyDescent="0.2">
      <c r="A1882" t="str">
        <f t="shared" si="29"/>
        <v/>
      </c>
      <c r="F1882" s="1"/>
      <c r="H1882" s="1"/>
      <c r="I1882" s="2"/>
      <c r="J1882" s="2"/>
      <c r="N1882" s="2"/>
      <c r="O1882">
        <f>IFERROR(VLOOKUP($A1882,Accounts!$A:$G,3,FALSE),"")</f>
        <v>0</v>
      </c>
    </row>
    <row r="1883" spans="1:15" outlineLevel="2" x14ac:dyDescent="0.2">
      <c r="A1883" t="str">
        <f t="shared" si="29"/>
        <v/>
      </c>
      <c r="F1883" s="1"/>
      <c r="H1883" s="1"/>
      <c r="I1883" s="2"/>
      <c r="J1883" s="2"/>
      <c r="N1883" s="2"/>
      <c r="O1883">
        <f>IFERROR(VLOOKUP($A1883,Accounts!$A:$G,3,FALSE),"")</f>
        <v>0</v>
      </c>
    </row>
    <row r="1884" spans="1:15" outlineLevel="2" x14ac:dyDescent="0.2">
      <c r="A1884" t="str">
        <f t="shared" si="29"/>
        <v/>
      </c>
      <c r="F1884" s="1"/>
      <c r="H1884" s="1"/>
      <c r="I1884" s="2"/>
      <c r="J1884" s="2"/>
      <c r="N1884" s="2"/>
      <c r="O1884">
        <f>IFERROR(VLOOKUP($A1884,Accounts!$A:$G,3,FALSE),"")</f>
        <v>0</v>
      </c>
    </row>
    <row r="1885" spans="1:15" outlineLevel="2" x14ac:dyDescent="0.2">
      <c r="A1885" t="str">
        <f t="shared" si="29"/>
        <v/>
      </c>
      <c r="F1885" s="1"/>
      <c r="H1885" s="1"/>
      <c r="I1885" s="2"/>
      <c r="J1885" s="2"/>
      <c r="N1885" s="2"/>
      <c r="O1885">
        <f>IFERROR(VLOOKUP($A1885,Accounts!$A:$G,3,FALSE),"")</f>
        <v>0</v>
      </c>
    </row>
    <row r="1886" spans="1:15" outlineLevel="2" x14ac:dyDescent="0.2">
      <c r="A1886" t="str">
        <f t="shared" si="29"/>
        <v/>
      </c>
      <c r="F1886" s="1"/>
      <c r="H1886" s="1"/>
      <c r="I1886" s="2"/>
      <c r="J1886" s="2"/>
      <c r="N1886" s="2"/>
      <c r="O1886">
        <f>IFERROR(VLOOKUP($A1886,Accounts!$A:$G,3,FALSE),"")</f>
        <v>0</v>
      </c>
    </row>
    <row r="1887" spans="1:15" outlineLevel="2" x14ac:dyDescent="0.2">
      <c r="A1887" t="str">
        <f t="shared" si="29"/>
        <v/>
      </c>
      <c r="F1887" s="1"/>
      <c r="H1887" s="1"/>
      <c r="I1887" s="2"/>
      <c r="J1887" s="2"/>
      <c r="N1887" s="2"/>
      <c r="O1887">
        <f>IFERROR(VLOOKUP($A1887,Accounts!$A:$G,3,FALSE),"")</f>
        <v>0</v>
      </c>
    </row>
    <row r="1888" spans="1:15" outlineLevel="2" x14ac:dyDescent="0.2">
      <c r="A1888" t="str">
        <f t="shared" si="29"/>
        <v/>
      </c>
      <c r="F1888" s="1"/>
      <c r="H1888" s="1"/>
      <c r="I1888" s="2"/>
      <c r="J1888" s="2"/>
      <c r="N1888" s="2"/>
      <c r="O1888">
        <f>IFERROR(VLOOKUP($A1888,Accounts!$A:$G,3,FALSE),"")</f>
        <v>0</v>
      </c>
    </row>
    <row r="1889" spans="1:15" outlineLevel="2" x14ac:dyDescent="0.2">
      <c r="A1889" t="str">
        <f t="shared" si="29"/>
        <v/>
      </c>
      <c r="F1889" s="1"/>
      <c r="H1889" s="1"/>
      <c r="I1889" s="2"/>
      <c r="J1889" s="2"/>
      <c r="N1889" s="2"/>
      <c r="O1889">
        <f>IFERROR(VLOOKUP($A1889,Accounts!$A:$G,3,FALSE),"")</f>
        <v>0</v>
      </c>
    </row>
    <row r="1890" spans="1:15" outlineLevel="2" x14ac:dyDescent="0.2">
      <c r="A1890" t="str">
        <f t="shared" si="29"/>
        <v/>
      </c>
      <c r="F1890" s="1"/>
      <c r="H1890" s="1"/>
      <c r="I1890" s="2"/>
      <c r="J1890" s="2"/>
      <c r="N1890" s="2"/>
      <c r="O1890">
        <f>IFERROR(VLOOKUP($A1890,Accounts!$A:$G,3,FALSE),"")</f>
        <v>0</v>
      </c>
    </row>
    <row r="1891" spans="1:15" outlineLevel="2" x14ac:dyDescent="0.2">
      <c r="A1891" t="str">
        <f t="shared" si="29"/>
        <v/>
      </c>
      <c r="F1891" s="1"/>
      <c r="H1891" s="1"/>
      <c r="I1891" s="2"/>
      <c r="J1891" s="2"/>
      <c r="N1891" s="2"/>
      <c r="O1891">
        <f>IFERROR(VLOOKUP($A1891,Accounts!$A:$G,3,FALSE),"")</f>
        <v>0</v>
      </c>
    </row>
    <row r="1892" spans="1:15" outlineLevel="2" x14ac:dyDescent="0.2">
      <c r="A1892" t="str">
        <f t="shared" si="29"/>
        <v/>
      </c>
      <c r="F1892" s="1"/>
      <c r="H1892" s="1"/>
      <c r="I1892" s="2"/>
      <c r="J1892" s="2"/>
      <c r="N1892" s="2"/>
      <c r="O1892">
        <f>IFERROR(VLOOKUP($A1892,Accounts!$A:$G,3,FALSE),"")</f>
        <v>0</v>
      </c>
    </row>
    <row r="1893" spans="1:15" outlineLevel="2" x14ac:dyDescent="0.2">
      <c r="A1893" t="str">
        <f t="shared" si="29"/>
        <v/>
      </c>
      <c r="F1893" s="1"/>
      <c r="H1893" s="1"/>
      <c r="I1893" s="2"/>
      <c r="J1893" s="2"/>
      <c r="N1893" s="2"/>
      <c r="O1893">
        <f>IFERROR(VLOOKUP($A1893,Accounts!$A:$G,3,FALSE),"")</f>
        <v>0</v>
      </c>
    </row>
    <row r="1894" spans="1:15" outlineLevel="2" x14ac:dyDescent="0.2">
      <c r="A1894" t="str">
        <f t="shared" si="29"/>
        <v/>
      </c>
      <c r="F1894" s="1"/>
      <c r="H1894" s="1"/>
      <c r="I1894" s="2"/>
      <c r="J1894" s="2"/>
      <c r="N1894" s="2"/>
      <c r="O1894">
        <f>IFERROR(VLOOKUP($A1894,Accounts!$A:$G,3,FALSE),"")</f>
        <v>0</v>
      </c>
    </row>
    <row r="1895" spans="1:15" outlineLevel="2" x14ac:dyDescent="0.2">
      <c r="A1895" t="str">
        <f t="shared" si="29"/>
        <v/>
      </c>
      <c r="F1895" s="1"/>
      <c r="H1895" s="1"/>
      <c r="I1895" s="2"/>
      <c r="J1895" s="2"/>
      <c r="N1895" s="2"/>
      <c r="O1895">
        <f>IFERROR(VLOOKUP($A1895,Accounts!$A:$G,3,FALSE),"")</f>
        <v>0</v>
      </c>
    </row>
    <row r="1896" spans="1:15" outlineLevel="2" x14ac:dyDescent="0.2">
      <c r="A1896" t="str">
        <f t="shared" si="29"/>
        <v/>
      </c>
      <c r="F1896" s="1"/>
      <c r="H1896" s="1"/>
      <c r="I1896" s="2"/>
      <c r="J1896" s="2"/>
      <c r="N1896" s="2"/>
      <c r="O1896">
        <f>IFERROR(VLOOKUP($A1896,Accounts!$A:$G,3,FALSE),"")</f>
        <v>0</v>
      </c>
    </row>
    <row r="1897" spans="1:15" outlineLevel="2" x14ac:dyDescent="0.2">
      <c r="A1897" t="str">
        <f t="shared" si="29"/>
        <v/>
      </c>
      <c r="F1897" s="1"/>
      <c r="H1897" s="1"/>
      <c r="I1897" s="2"/>
      <c r="J1897" s="2"/>
      <c r="N1897" s="2"/>
      <c r="O1897">
        <f>IFERROR(VLOOKUP($A1897,Accounts!$A:$G,3,FALSE),"")</f>
        <v>0</v>
      </c>
    </row>
    <row r="1898" spans="1:15" outlineLevel="2" x14ac:dyDescent="0.2">
      <c r="A1898" t="str">
        <f t="shared" si="29"/>
        <v/>
      </c>
      <c r="F1898" s="1"/>
      <c r="H1898" s="1"/>
      <c r="I1898" s="2"/>
      <c r="J1898" s="2"/>
      <c r="N1898" s="2"/>
      <c r="O1898">
        <f>IFERROR(VLOOKUP($A1898,Accounts!$A:$G,3,FALSE),"")</f>
        <v>0</v>
      </c>
    </row>
    <row r="1899" spans="1:15" outlineLevel="2" x14ac:dyDescent="0.2">
      <c r="A1899" t="str">
        <f t="shared" si="29"/>
        <v/>
      </c>
      <c r="F1899" s="1"/>
      <c r="H1899" s="1"/>
      <c r="I1899" s="2"/>
      <c r="J1899" s="2"/>
      <c r="N1899" s="2"/>
      <c r="O1899">
        <f>IFERROR(VLOOKUP($A1899,Accounts!$A:$G,3,FALSE),"")</f>
        <v>0</v>
      </c>
    </row>
    <row r="1900" spans="1:15" outlineLevel="2" x14ac:dyDescent="0.2">
      <c r="A1900" t="str">
        <f t="shared" si="29"/>
        <v/>
      </c>
      <c r="F1900" s="1"/>
      <c r="H1900" s="1"/>
      <c r="I1900" s="2"/>
      <c r="J1900" s="2"/>
      <c r="N1900" s="2"/>
      <c r="O1900">
        <f>IFERROR(VLOOKUP($A1900,Accounts!$A:$G,3,FALSE),"")</f>
        <v>0</v>
      </c>
    </row>
    <row r="1901" spans="1:15" outlineLevel="2" x14ac:dyDescent="0.2">
      <c r="A1901" t="str">
        <f t="shared" si="29"/>
        <v/>
      </c>
      <c r="F1901" s="1"/>
      <c r="H1901" s="1"/>
      <c r="I1901" s="2"/>
      <c r="J1901" s="2"/>
      <c r="N1901" s="2"/>
      <c r="O1901">
        <f>IFERROR(VLOOKUP($A1901,Accounts!$A:$G,3,FALSE),"")</f>
        <v>0</v>
      </c>
    </row>
    <row r="1902" spans="1:15" outlineLevel="2" x14ac:dyDescent="0.2">
      <c r="A1902" t="str">
        <f t="shared" si="29"/>
        <v/>
      </c>
      <c r="F1902" s="1"/>
      <c r="H1902" s="1"/>
      <c r="I1902" s="2"/>
      <c r="J1902" s="2"/>
      <c r="N1902" s="2"/>
      <c r="O1902">
        <f>IFERROR(VLOOKUP($A1902,Accounts!$A:$G,3,FALSE),"")</f>
        <v>0</v>
      </c>
    </row>
    <row r="1903" spans="1:15" outlineLevel="2" x14ac:dyDescent="0.2">
      <c r="A1903" t="str">
        <f t="shared" si="29"/>
        <v/>
      </c>
      <c r="F1903" s="1"/>
      <c r="H1903" s="1"/>
      <c r="I1903" s="2"/>
      <c r="J1903" s="2"/>
      <c r="N1903" s="2"/>
      <c r="O1903">
        <f>IFERROR(VLOOKUP($A1903,Accounts!$A:$G,3,FALSE),"")</f>
        <v>0</v>
      </c>
    </row>
    <row r="1904" spans="1:15" outlineLevel="2" x14ac:dyDescent="0.2">
      <c r="A1904" t="str">
        <f t="shared" si="29"/>
        <v/>
      </c>
      <c r="F1904" s="1"/>
      <c r="H1904" s="1"/>
      <c r="I1904" s="2"/>
      <c r="J1904" s="2"/>
      <c r="N1904" s="2"/>
      <c r="O1904">
        <f>IFERROR(VLOOKUP($A1904,Accounts!$A:$G,3,FALSE),"")</f>
        <v>0</v>
      </c>
    </row>
    <row r="1905" spans="1:15" outlineLevel="2" x14ac:dyDescent="0.2">
      <c r="A1905" t="str">
        <f t="shared" si="29"/>
        <v/>
      </c>
      <c r="F1905" s="1"/>
      <c r="H1905" s="1"/>
      <c r="I1905" s="2"/>
      <c r="J1905" s="2"/>
      <c r="N1905" s="2"/>
      <c r="O1905">
        <f>IFERROR(VLOOKUP($A1905,Accounts!$A:$G,3,FALSE),"")</f>
        <v>0</v>
      </c>
    </row>
    <row r="1906" spans="1:15" outlineLevel="2" x14ac:dyDescent="0.2">
      <c r="A1906" t="str">
        <f t="shared" si="29"/>
        <v/>
      </c>
      <c r="F1906" s="1"/>
      <c r="H1906" s="1"/>
      <c r="I1906" s="2"/>
      <c r="J1906" s="2"/>
      <c r="N1906" s="2"/>
      <c r="O1906">
        <f>IFERROR(VLOOKUP($A1906,Accounts!$A:$G,3,FALSE),"")</f>
        <v>0</v>
      </c>
    </row>
    <row r="1907" spans="1:15" outlineLevel="2" x14ac:dyDescent="0.2">
      <c r="A1907" t="str">
        <f t="shared" si="29"/>
        <v/>
      </c>
      <c r="F1907" s="1"/>
      <c r="H1907" s="1"/>
      <c r="I1907" s="2"/>
      <c r="J1907" s="2"/>
      <c r="N1907" s="2"/>
      <c r="O1907">
        <f>IFERROR(VLOOKUP($A1907,Accounts!$A:$G,3,FALSE),"")</f>
        <v>0</v>
      </c>
    </row>
    <row r="1908" spans="1:15" outlineLevel="2" x14ac:dyDescent="0.2">
      <c r="A1908" t="str">
        <f t="shared" si="29"/>
        <v/>
      </c>
      <c r="F1908" s="1"/>
      <c r="H1908" s="1"/>
      <c r="I1908" s="2"/>
      <c r="J1908" s="2"/>
      <c r="N1908" s="2"/>
      <c r="O1908">
        <f>IFERROR(VLOOKUP($A1908,Accounts!$A:$G,3,FALSE),"")</f>
        <v>0</v>
      </c>
    </row>
    <row r="1909" spans="1:15" outlineLevel="1" x14ac:dyDescent="0.2">
      <c r="A1909" t="str">
        <f t="shared" si="29"/>
        <v/>
      </c>
      <c r="F1909" s="1"/>
      <c r="H1909" s="1"/>
      <c r="I1909" s="2"/>
      <c r="J1909" s="2"/>
      <c r="N1909" s="2"/>
      <c r="O1909">
        <f>IFERROR(VLOOKUP($A1909,Accounts!$A:$G,3,FALSE),"")</f>
        <v>0</v>
      </c>
    </row>
    <row r="1910" spans="1:15" outlineLevel="2" x14ac:dyDescent="0.2">
      <c r="A1910" t="str">
        <f t="shared" si="29"/>
        <v/>
      </c>
      <c r="F1910" s="1"/>
      <c r="H1910" s="1"/>
      <c r="I1910" s="2"/>
      <c r="J1910" s="2"/>
      <c r="N1910" s="2"/>
      <c r="O1910">
        <f>IFERROR(VLOOKUP($A1910,Accounts!$A:$G,3,FALSE),"")</f>
        <v>0</v>
      </c>
    </row>
    <row r="1911" spans="1:15" outlineLevel="2" x14ac:dyDescent="0.2">
      <c r="A1911" t="str">
        <f t="shared" si="29"/>
        <v/>
      </c>
      <c r="F1911" s="1"/>
      <c r="H1911" s="1"/>
      <c r="I1911" s="2"/>
      <c r="J1911" s="2"/>
      <c r="N1911" s="2"/>
      <c r="O1911">
        <f>IFERROR(VLOOKUP($A1911,Accounts!$A:$G,3,FALSE),"")</f>
        <v>0</v>
      </c>
    </row>
    <row r="1912" spans="1:15" outlineLevel="2" x14ac:dyDescent="0.2">
      <c r="A1912" t="str">
        <f t="shared" si="29"/>
        <v/>
      </c>
      <c r="F1912" s="1"/>
      <c r="H1912" s="1"/>
      <c r="I1912" s="2"/>
      <c r="J1912" s="2"/>
      <c r="N1912" s="2"/>
      <c r="O1912">
        <f>IFERROR(VLOOKUP($A1912,Accounts!$A:$G,3,FALSE),"")</f>
        <v>0</v>
      </c>
    </row>
    <row r="1913" spans="1:15" outlineLevel="2" x14ac:dyDescent="0.2">
      <c r="A1913" t="str">
        <f t="shared" si="29"/>
        <v/>
      </c>
      <c r="F1913" s="1"/>
      <c r="H1913" s="1"/>
      <c r="I1913" s="2"/>
      <c r="J1913" s="2"/>
      <c r="N1913" s="2"/>
      <c r="O1913">
        <f>IFERROR(VLOOKUP($A1913,Accounts!$A:$G,3,FALSE),"")</f>
        <v>0</v>
      </c>
    </row>
    <row r="1914" spans="1:15" outlineLevel="2" x14ac:dyDescent="0.2">
      <c r="A1914" t="str">
        <f t="shared" si="29"/>
        <v/>
      </c>
      <c r="F1914" s="1"/>
      <c r="H1914" s="1"/>
      <c r="I1914" s="2"/>
      <c r="J1914" s="2"/>
      <c r="N1914" s="2"/>
      <c r="O1914">
        <f>IFERROR(VLOOKUP($A1914,Accounts!$A:$G,3,FALSE),"")</f>
        <v>0</v>
      </c>
    </row>
    <row r="1915" spans="1:15" outlineLevel="2" x14ac:dyDescent="0.2">
      <c r="A1915" t="str">
        <f t="shared" si="29"/>
        <v/>
      </c>
      <c r="F1915" s="1"/>
      <c r="H1915" s="1"/>
      <c r="I1915" s="2"/>
      <c r="J1915" s="2"/>
      <c r="N1915" s="2"/>
      <c r="O1915">
        <f>IFERROR(VLOOKUP($A1915,Accounts!$A:$G,3,FALSE),"")</f>
        <v>0</v>
      </c>
    </row>
    <row r="1916" spans="1:15" outlineLevel="2" x14ac:dyDescent="0.2">
      <c r="A1916" t="str">
        <f t="shared" si="29"/>
        <v/>
      </c>
      <c r="F1916" s="1"/>
      <c r="H1916" s="1"/>
      <c r="I1916" s="2"/>
      <c r="J1916" s="2"/>
      <c r="N1916" s="2"/>
      <c r="O1916">
        <f>IFERROR(VLOOKUP($A1916,Accounts!$A:$G,3,FALSE),"")</f>
        <v>0</v>
      </c>
    </row>
    <row r="1917" spans="1:15" outlineLevel="2" x14ac:dyDescent="0.2">
      <c r="A1917" t="str">
        <f t="shared" si="29"/>
        <v/>
      </c>
      <c r="F1917" s="1"/>
      <c r="H1917" s="1"/>
      <c r="I1917" s="2"/>
      <c r="J1917" s="2"/>
      <c r="N1917" s="2"/>
      <c r="O1917">
        <f>IFERROR(VLOOKUP($A1917,Accounts!$A:$G,3,FALSE),"")</f>
        <v>0</v>
      </c>
    </row>
    <row r="1918" spans="1:15" outlineLevel="2" x14ac:dyDescent="0.2">
      <c r="A1918" t="str">
        <f t="shared" si="29"/>
        <v/>
      </c>
      <c r="F1918" s="1"/>
      <c r="H1918" s="1"/>
      <c r="I1918" s="2"/>
      <c r="J1918" s="2"/>
      <c r="N1918" s="2"/>
      <c r="O1918">
        <f>IFERROR(VLOOKUP($A1918,Accounts!$A:$G,3,FALSE),"")</f>
        <v>0</v>
      </c>
    </row>
    <row r="1919" spans="1:15" outlineLevel="2" x14ac:dyDescent="0.2">
      <c r="A1919" t="str">
        <f t="shared" si="29"/>
        <v/>
      </c>
      <c r="F1919" s="1"/>
      <c r="H1919" s="1"/>
      <c r="I1919" s="2"/>
      <c r="J1919" s="2"/>
      <c r="N1919" s="2"/>
      <c r="O1919">
        <f>IFERROR(VLOOKUP($A1919,Accounts!$A:$G,3,FALSE),"")</f>
        <v>0</v>
      </c>
    </row>
    <row r="1920" spans="1:15" outlineLevel="2" x14ac:dyDescent="0.2">
      <c r="A1920" t="str">
        <f t="shared" si="29"/>
        <v/>
      </c>
      <c r="F1920" s="1"/>
      <c r="H1920" s="1"/>
      <c r="I1920" s="2"/>
      <c r="J1920" s="2"/>
      <c r="N1920" s="2"/>
      <c r="O1920">
        <f>IFERROR(VLOOKUP($A1920,Accounts!$A:$G,3,FALSE),"")</f>
        <v>0</v>
      </c>
    </row>
    <row r="1921" spans="1:15" outlineLevel="2" x14ac:dyDescent="0.2">
      <c r="A1921" t="str">
        <f t="shared" si="29"/>
        <v/>
      </c>
      <c r="F1921" s="1"/>
      <c r="H1921" s="1"/>
      <c r="I1921" s="2"/>
      <c r="J1921" s="2"/>
      <c r="N1921" s="2"/>
      <c r="O1921">
        <f>IFERROR(VLOOKUP($A1921,Accounts!$A:$G,3,FALSE),"")</f>
        <v>0</v>
      </c>
    </row>
    <row r="1922" spans="1:15" outlineLevel="2" x14ac:dyDescent="0.2">
      <c r="A1922" t="str">
        <f t="shared" si="29"/>
        <v/>
      </c>
      <c r="F1922" s="1"/>
      <c r="H1922" s="1"/>
      <c r="I1922" s="2"/>
      <c r="J1922" s="2"/>
      <c r="N1922" s="2"/>
      <c r="O1922">
        <f>IFERROR(VLOOKUP($A1922,Accounts!$A:$G,3,FALSE),"")</f>
        <v>0</v>
      </c>
    </row>
    <row r="1923" spans="1:15" outlineLevel="2" x14ac:dyDescent="0.2">
      <c r="A1923" t="str">
        <f t="shared" si="29"/>
        <v/>
      </c>
      <c r="F1923" s="1"/>
      <c r="H1923" s="1"/>
      <c r="I1923" s="2"/>
      <c r="J1923" s="2"/>
      <c r="N1923" s="2"/>
      <c r="O1923">
        <f>IFERROR(VLOOKUP($A1923,Accounts!$A:$G,3,FALSE),"")</f>
        <v>0</v>
      </c>
    </row>
    <row r="1924" spans="1:15" outlineLevel="2" x14ac:dyDescent="0.2">
      <c r="A1924" t="str">
        <f t="shared" si="29"/>
        <v/>
      </c>
      <c r="F1924" s="1"/>
      <c r="H1924" s="1"/>
      <c r="I1924" s="2"/>
      <c r="J1924" s="2"/>
      <c r="N1924" s="2"/>
      <c r="O1924">
        <f>IFERROR(VLOOKUP($A1924,Accounts!$A:$G,3,FALSE),"")</f>
        <v>0</v>
      </c>
    </row>
    <row r="1925" spans="1:15" outlineLevel="2" x14ac:dyDescent="0.2">
      <c r="A1925" t="str">
        <f t="shared" si="29"/>
        <v/>
      </c>
      <c r="F1925" s="1"/>
      <c r="H1925" s="1"/>
      <c r="I1925" s="2"/>
      <c r="J1925" s="2"/>
      <c r="N1925" s="2"/>
      <c r="O1925">
        <f>IFERROR(VLOOKUP($A1925,Accounts!$A:$G,3,FALSE),"")</f>
        <v>0</v>
      </c>
    </row>
    <row r="1926" spans="1:15" outlineLevel="2" x14ac:dyDescent="0.2">
      <c r="A1926" t="str">
        <f t="shared" si="29"/>
        <v/>
      </c>
      <c r="F1926" s="1"/>
      <c r="H1926" s="1"/>
      <c r="I1926" s="2"/>
      <c r="J1926" s="2"/>
      <c r="N1926" s="2"/>
      <c r="O1926">
        <f>IFERROR(VLOOKUP($A1926,Accounts!$A:$G,3,FALSE),"")</f>
        <v>0</v>
      </c>
    </row>
    <row r="1927" spans="1:15" outlineLevel="2" x14ac:dyDescent="0.2">
      <c r="A1927" t="str">
        <f t="shared" si="29"/>
        <v/>
      </c>
      <c r="F1927" s="1"/>
      <c r="H1927" s="1"/>
      <c r="I1927" s="2"/>
      <c r="J1927" s="2"/>
      <c r="N1927" s="2"/>
      <c r="O1927">
        <f>IFERROR(VLOOKUP($A1927,Accounts!$A:$G,3,FALSE),"")</f>
        <v>0</v>
      </c>
    </row>
    <row r="1928" spans="1:15" outlineLevel="2" x14ac:dyDescent="0.2">
      <c r="A1928" t="str">
        <f t="shared" si="29"/>
        <v/>
      </c>
      <c r="F1928" s="1"/>
      <c r="H1928" s="1"/>
      <c r="I1928" s="2"/>
      <c r="J1928" s="2"/>
      <c r="N1928" s="2"/>
      <c r="O1928">
        <f>IFERROR(VLOOKUP($A1928,Accounts!$A:$G,3,FALSE),"")</f>
        <v>0</v>
      </c>
    </row>
    <row r="1929" spans="1:15" outlineLevel="2" x14ac:dyDescent="0.2">
      <c r="A1929" t="str">
        <f t="shared" si="29"/>
        <v/>
      </c>
      <c r="F1929" s="1"/>
      <c r="H1929" s="1"/>
      <c r="I1929" s="2"/>
      <c r="J1929" s="2"/>
      <c r="N1929" s="2"/>
      <c r="O1929">
        <f>IFERROR(VLOOKUP($A1929,Accounts!$A:$G,3,FALSE),"")</f>
        <v>0</v>
      </c>
    </row>
    <row r="1930" spans="1:15" outlineLevel="2" x14ac:dyDescent="0.2">
      <c r="A1930" t="str">
        <f t="shared" ref="A1930:A1993" si="30">IFERROR(IF(J1930=0,E1930&amp;C1930&amp;I1930,G1930&amp;B1930&amp;J1930),"")</f>
        <v/>
      </c>
      <c r="F1930" s="1"/>
      <c r="H1930" s="1"/>
      <c r="I1930" s="2"/>
      <c r="J1930" s="2"/>
      <c r="N1930" s="2"/>
      <c r="O1930">
        <f>IFERROR(VLOOKUP($A1930,Accounts!$A:$G,3,FALSE),"")</f>
        <v>0</v>
      </c>
    </row>
    <row r="1931" spans="1:15" outlineLevel="2" x14ac:dyDescent="0.2">
      <c r="A1931" t="str">
        <f t="shared" si="30"/>
        <v/>
      </c>
      <c r="F1931" s="1"/>
      <c r="H1931" s="1"/>
      <c r="I1931" s="2"/>
      <c r="J1931" s="2"/>
      <c r="N1931" s="2"/>
      <c r="O1931">
        <f>IFERROR(VLOOKUP($A1931,Accounts!$A:$G,3,FALSE),"")</f>
        <v>0</v>
      </c>
    </row>
    <row r="1932" spans="1:15" outlineLevel="2" x14ac:dyDescent="0.2">
      <c r="A1932" t="str">
        <f t="shared" si="30"/>
        <v/>
      </c>
      <c r="F1932" s="1"/>
      <c r="H1932" s="1"/>
      <c r="I1932" s="2"/>
      <c r="J1932" s="2"/>
      <c r="N1932" s="2"/>
      <c r="O1932">
        <f>IFERROR(VLOOKUP($A1932,Accounts!$A:$G,3,FALSE),"")</f>
        <v>0</v>
      </c>
    </row>
    <row r="1933" spans="1:15" outlineLevel="2" x14ac:dyDescent="0.2">
      <c r="A1933" t="str">
        <f t="shared" si="30"/>
        <v/>
      </c>
      <c r="F1933" s="1"/>
      <c r="H1933" s="1"/>
      <c r="I1933" s="2"/>
      <c r="J1933" s="2"/>
      <c r="N1933" s="2"/>
      <c r="O1933">
        <f>IFERROR(VLOOKUP($A1933,Accounts!$A:$G,3,FALSE),"")</f>
        <v>0</v>
      </c>
    </row>
    <row r="1934" spans="1:15" outlineLevel="2" x14ac:dyDescent="0.2">
      <c r="A1934" t="str">
        <f t="shared" si="30"/>
        <v/>
      </c>
      <c r="F1934" s="1"/>
      <c r="H1934" s="1"/>
      <c r="I1934" s="2"/>
      <c r="J1934" s="2"/>
      <c r="N1934" s="2"/>
      <c r="O1934">
        <f>IFERROR(VLOOKUP($A1934,Accounts!$A:$G,3,FALSE),"")</f>
        <v>0</v>
      </c>
    </row>
    <row r="1935" spans="1:15" outlineLevel="2" x14ac:dyDescent="0.2">
      <c r="A1935" t="str">
        <f t="shared" si="30"/>
        <v/>
      </c>
      <c r="F1935" s="1"/>
      <c r="H1935" s="1"/>
      <c r="I1935" s="2"/>
      <c r="J1935" s="2"/>
      <c r="N1935" s="2"/>
      <c r="O1935">
        <f>IFERROR(VLOOKUP($A1935,Accounts!$A:$G,3,FALSE),"")</f>
        <v>0</v>
      </c>
    </row>
    <row r="1936" spans="1:15" outlineLevel="2" x14ac:dyDescent="0.2">
      <c r="A1936" t="str">
        <f t="shared" si="30"/>
        <v/>
      </c>
      <c r="F1936" s="1"/>
      <c r="H1936" s="1"/>
      <c r="I1936" s="2"/>
      <c r="J1936" s="2"/>
      <c r="N1936" s="2"/>
      <c r="O1936">
        <f>IFERROR(VLOOKUP($A1936,Accounts!$A:$G,3,FALSE),"")</f>
        <v>0</v>
      </c>
    </row>
    <row r="1937" spans="1:15" outlineLevel="2" x14ac:dyDescent="0.2">
      <c r="A1937" t="str">
        <f t="shared" si="30"/>
        <v/>
      </c>
      <c r="F1937" s="1"/>
      <c r="H1937" s="1"/>
      <c r="I1937" s="2"/>
      <c r="J1937" s="2"/>
      <c r="N1937" s="2"/>
      <c r="O1937">
        <f>IFERROR(VLOOKUP($A1937,Accounts!$A:$G,3,FALSE),"")</f>
        <v>0</v>
      </c>
    </row>
    <row r="1938" spans="1:15" outlineLevel="2" x14ac:dyDescent="0.2">
      <c r="A1938" t="str">
        <f t="shared" si="30"/>
        <v/>
      </c>
      <c r="F1938" s="1"/>
      <c r="H1938" s="1"/>
      <c r="I1938" s="2"/>
      <c r="J1938" s="2"/>
      <c r="N1938" s="2"/>
      <c r="O1938">
        <f>IFERROR(VLOOKUP($A1938,Accounts!$A:$G,3,FALSE),"")</f>
        <v>0</v>
      </c>
    </row>
    <row r="1939" spans="1:15" outlineLevel="2" x14ac:dyDescent="0.2">
      <c r="A1939" t="str">
        <f t="shared" si="30"/>
        <v/>
      </c>
      <c r="F1939" s="1"/>
      <c r="H1939" s="1"/>
      <c r="I1939" s="2"/>
      <c r="J1939" s="2"/>
      <c r="N1939" s="2"/>
      <c r="O1939">
        <f>IFERROR(VLOOKUP($A1939,Accounts!$A:$G,3,FALSE),"")</f>
        <v>0</v>
      </c>
    </row>
    <row r="1940" spans="1:15" outlineLevel="2" x14ac:dyDescent="0.2">
      <c r="A1940" t="str">
        <f t="shared" si="30"/>
        <v/>
      </c>
      <c r="F1940" s="1"/>
      <c r="H1940" s="1"/>
      <c r="I1940" s="2"/>
      <c r="J1940" s="2"/>
      <c r="N1940" s="2"/>
      <c r="O1940">
        <f>IFERROR(VLOOKUP($A1940,Accounts!$A:$G,3,FALSE),"")</f>
        <v>0</v>
      </c>
    </row>
    <row r="1941" spans="1:15" outlineLevel="2" x14ac:dyDescent="0.2">
      <c r="A1941" t="str">
        <f t="shared" si="30"/>
        <v/>
      </c>
      <c r="F1941" s="1"/>
      <c r="H1941" s="1"/>
      <c r="I1941" s="2"/>
      <c r="J1941" s="2"/>
      <c r="N1941" s="2"/>
      <c r="O1941">
        <f>IFERROR(VLOOKUP($A1941,Accounts!$A:$G,3,FALSE),"")</f>
        <v>0</v>
      </c>
    </row>
    <row r="1942" spans="1:15" outlineLevel="2" x14ac:dyDescent="0.2">
      <c r="A1942" t="str">
        <f t="shared" si="30"/>
        <v/>
      </c>
      <c r="F1942" s="1"/>
      <c r="H1942" s="1"/>
      <c r="I1942" s="2"/>
      <c r="J1942" s="2"/>
      <c r="N1942" s="2"/>
      <c r="O1942">
        <f>IFERROR(VLOOKUP($A1942,Accounts!$A:$G,3,FALSE),"")</f>
        <v>0</v>
      </c>
    </row>
    <row r="1943" spans="1:15" outlineLevel="2" x14ac:dyDescent="0.2">
      <c r="A1943" t="str">
        <f t="shared" si="30"/>
        <v/>
      </c>
      <c r="F1943" s="1"/>
      <c r="H1943" s="1"/>
      <c r="I1943" s="2"/>
      <c r="J1943" s="2"/>
      <c r="N1943" s="2"/>
      <c r="O1943">
        <f>IFERROR(VLOOKUP($A1943,Accounts!$A:$G,3,FALSE),"")</f>
        <v>0</v>
      </c>
    </row>
    <row r="1944" spans="1:15" outlineLevel="2" x14ac:dyDescent="0.2">
      <c r="A1944" t="str">
        <f t="shared" si="30"/>
        <v/>
      </c>
      <c r="F1944" s="1"/>
      <c r="H1944" s="1"/>
      <c r="I1944" s="2"/>
      <c r="J1944" s="2"/>
      <c r="N1944" s="2"/>
      <c r="O1944">
        <f>IFERROR(VLOOKUP($A1944,Accounts!$A:$G,3,FALSE),"")</f>
        <v>0</v>
      </c>
    </row>
    <row r="1945" spans="1:15" outlineLevel="2" x14ac:dyDescent="0.2">
      <c r="A1945" t="str">
        <f t="shared" si="30"/>
        <v/>
      </c>
      <c r="F1945" s="1"/>
      <c r="H1945" s="1"/>
      <c r="I1945" s="2"/>
      <c r="J1945" s="2"/>
      <c r="N1945" s="2"/>
      <c r="O1945">
        <f>IFERROR(VLOOKUP($A1945,Accounts!$A:$G,3,FALSE),"")</f>
        <v>0</v>
      </c>
    </row>
    <row r="1946" spans="1:15" outlineLevel="2" x14ac:dyDescent="0.2">
      <c r="A1946" t="str">
        <f t="shared" si="30"/>
        <v/>
      </c>
      <c r="F1946" s="1"/>
      <c r="H1946" s="1"/>
      <c r="I1946" s="2"/>
      <c r="J1946" s="2"/>
      <c r="N1946" s="2"/>
      <c r="O1946">
        <f>IFERROR(VLOOKUP($A1946,Accounts!$A:$G,3,FALSE),"")</f>
        <v>0</v>
      </c>
    </row>
    <row r="1947" spans="1:15" outlineLevel="2" x14ac:dyDescent="0.2">
      <c r="A1947" t="str">
        <f t="shared" si="30"/>
        <v/>
      </c>
      <c r="F1947" s="1"/>
      <c r="H1947" s="1"/>
      <c r="I1947" s="2"/>
      <c r="J1947" s="2"/>
      <c r="N1947" s="2"/>
      <c r="O1947">
        <f>IFERROR(VLOOKUP($A1947,Accounts!$A:$G,3,FALSE),"")</f>
        <v>0</v>
      </c>
    </row>
    <row r="1948" spans="1:15" outlineLevel="2" x14ac:dyDescent="0.2">
      <c r="A1948" t="str">
        <f t="shared" si="30"/>
        <v/>
      </c>
      <c r="F1948" s="1"/>
      <c r="H1948" s="1"/>
      <c r="I1948" s="2"/>
      <c r="J1948" s="2"/>
      <c r="N1948" s="2"/>
      <c r="O1948">
        <f>IFERROR(VLOOKUP($A1948,Accounts!$A:$G,3,FALSE),"")</f>
        <v>0</v>
      </c>
    </row>
    <row r="1949" spans="1:15" outlineLevel="2" x14ac:dyDescent="0.2">
      <c r="A1949" t="str">
        <f t="shared" si="30"/>
        <v/>
      </c>
      <c r="F1949" s="1"/>
      <c r="H1949" s="1"/>
      <c r="I1949" s="2"/>
      <c r="J1949" s="2"/>
      <c r="N1949" s="2"/>
      <c r="O1949">
        <f>IFERROR(VLOOKUP($A1949,Accounts!$A:$G,3,FALSE),"")</f>
        <v>0</v>
      </c>
    </row>
    <row r="1950" spans="1:15" outlineLevel="2" x14ac:dyDescent="0.2">
      <c r="A1950" t="str">
        <f t="shared" si="30"/>
        <v/>
      </c>
      <c r="F1950" s="1"/>
      <c r="H1950" s="1"/>
      <c r="I1950" s="2"/>
      <c r="J1950" s="2"/>
      <c r="N1950" s="2"/>
      <c r="O1950">
        <f>IFERROR(VLOOKUP($A1950,Accounts!$A:$G,3,FALSE),"")</f>
        <v>0</v>
      </c>
    </row>
    <row r="1951" spans="1:15" outlineLevel="2" x14ac:dyDescent="0.2">
      <c r="A1951" t="str">
        <f t="shared" si="30"/>
        <v/>
      </c>
      <c r="F1951" s="1"/>
      <c r="H1951" s="1"/>
      <c r="I1951" s="2"/>
      <c r="J1951" s="2"/>
      <c r="N1951" s="2"/>
      <c r="O1951">
        <f>IFERROR(VLOOKUP($A1951,Accounts!$A:$G,3,FALSE),"")</f>
        <v>0</v>
      </c>
    </row>
    <row r="1952" spans="1:15" outlineLevel="2" x14ac:dyDescent="0.2">
      <c r="A1952" t="str">
        <f t="shared" si="30"/>
        <v/>
      </c>
      <c r="F1952" s="1"/>
      <c r="H1952" s="1"/>
      <c r="I1952" s="2"/>
      <c r="J1952" s="2"/>
      <c r="N1952" s="2"/>
      <c r="O1952">
        <f>IFERROR(VLOOKUP($A1952,Accounts!$A:$G,3,FALSE),"")</f>
        <v>0</v>
      </c>
    </row>
    <row r="1953" spans="1:15" outlineLevel="2" x14ac:dyDescent="0.2">
      <c r="A1953" t="str">
        <f t="shared" si="30"/>
        <v/>
      </c>
      <c r="F1953" s="1"/>
      <c r="H1953" s="1"/>
      <c r="I1953" s="2"/>
      <c r="J1953" s="2"/>
      <c r="N1953" s="2"/>
      <c r="O1953">
        <f>IFERROR(VLOOKUP($A1953,Accounts!$A:$G,3,FALSE),"")</f>
        <v>0</v>
      </c>
    </row>
    <row r="1954" spans="1:15" outlineLevel="2" x14ac:dyDescent="0.2">
      <c r="A1954" t="str">
        <f t="shared" si="30"/>
        <v/>
      </c>
      <c r="F1954" s="1"/>
      <c r="H1954" s="1"/>
      <c r="I1954" s="2"/>
      <c r="J1954" s="2"/>
      <c r="N1954" s="2"/>
      <c r="O1954">
        <f>IFERROR(VLOOKUP($A1954,Accounts!$A:$G,3,FALSE),"")</f>
        <v>0</v>
      </c>
    </row>
    <row r="1955" spans="1:15" outlineLevel="2" x14ac:dyDescent="0.2">
      <c r="A1955" t="str">
        <f t="shared" si="30"/>
        <v/>
      </c>
      <c r="F1955" s="1"/>
      <c r="H1955" s="1"/>
      <c r="I1955" s="2"/>
      <c r="J1955" s="2"/>
      <c r="N1955" s="2"/>
      <c r="O1955">
        <f>IFERROR(VLOOKUP($A1955,Accounts!$A:$G,3,FALSE),"")</f>
        <v>0</v>
      </c>
    </row>
    <row r="1956" spans="1:15" outlineLevel="2" x14ac:dyDescent="0.2">
      <c r="A1956" t="str">
        <f t="shared" si="30"/>
        <v/>
      </c>
      <c r="F1956" s="1"/>
      <c r="H1956" s="1"/>
      <c r="I1956" s="2"/>
      <c r="J1956" s="2"/>
      <c r="N1956" s="2"/>
      <c r="O1956">
        <f>IFERROR(VLOOKUP($A1956,Accounts!$A:$G,3,FALSE),"")</f>
        <v>0</v>
      </c>
    </row>
    <row r="1957" spans="1:15" outlineLevel="2" x14ac:dyDescent="0.2">
      <c r="A1957" t="str">
        <f t="shared" si="30"/>
        <v/>
      </c>
      <c r="F1957" s="1"/>
      <c r="H1957" s="1"/>
      <c r="I1957" s="2"/>
      <c r="J1957" s="2"/>
      <c r="N1957" s="2"/>
      <c r="O1957">
        <f>IFERROR(VLOOKUP($A1957,Accounts!$A:$G,3,FALSE),"")</f>
        <v>0</v>
      </c>
    </row>
    <row r="1958" spans="1:15" outlineLevel="2" x14ac:dyDescent="0.2">
      <c r="A1958" t="str">
        <f t="shared" si="30"/>
        <v/>
      </c>
      <c r="F1958" s="1"/>
      <c r="H1958" s="1"/>
      <c r="I1958" s="2"/>
      <c r="J1958" s="2"/>
      <c r="N1958" s="2"/>
      <c r="O1958">
        <f>IFERROR(VLOOKUP($A1958,Accounts!$A:$G,3,FALSE),"")</f>
        <v>0</v>
      </c>
    </row>
    <row r="1959" spans="1:15" outlineLevel="2" x14ac:dyDescent="0.2">
      <c r="A1959" t="str">
        <f t="shared" si="30"/>
        <v/>
      </c>
      <c r="F1959" s="1"/>
      <c r="H1959" s="1"/>
      <c r="I1959" s="2"/>
      <c r="J1959" s="2"/>
      <c r="N1959" s="2"/>
      <c r="O1959">
        <f>IFERROR(VLOOKUP($A1959,Accounts!$A:$G,3,FALSE),"")</f>
        <v>0</v>
      </c>
    </row>
    <row r="1960" spans="1:15" outlineLevel="2" x14ac:dyDescent="0.2">
      <c r="A1960" t="str">
        <f t="shared" si="30"/>
        <v/>
      </c>
      <c r="F1960" s="1"/>
      <c r="H1960" s="1"/>
      <c r="I1960" s="2"/>
      <c r="J1960" s="2"/>
      <c r="N1960" s="2"/>
      <c r="O1960">
        <f>IFERROR(VLOOKUP($A1960,Accounts!$A:$G,3,FALSE),"")</f>
        <v>0</v>
      </c>
    </row>
    <row r="1961" spans="1:15" outlineLevel="2" x14ac:dyDescent="0.2">
      <c r="A1961" t="str">
        <f t="shared" si="30"/>
        <v/>
      </c>
      <c r="F1961" s="1"/>
      <c r="H1961" s="1"/>
      <c r="I1961" s="2"/>
      <c r="J1961" s="2"/>
      <c r="N1961" s="2"/>
      <c r="O1961">
        <f>IFERROR(VLOOKUP($A1961,Accounts!$A:$G,3,FALSE),"")</f>
        <v>0</v>
      </c>
    </row>
    <row r="1962" spans="1:15" outlineLevel="2" x14ac:dyDescent="0.2">
      <c r="A1962" t="str">
        <f t="shared" si="30"/>
        <v/>
      </c>
      <c r="F1962" s="1"/>
      <c r="H1962" s="1"/>
      <c r="I1962" s="2"/>
      <c r="J1962" s="2"/>
      <c r="N1962" s="2"/>
      <c r="O1962">
        <f>IFERROR(VLOOKUP($A1962,Accounts!$A:$G,3,FALSE),"")</f>
        <v>0</v>
      </c>
    </row>
    <row r="1963" spans="1:15" outlineLevel="2" x14ac:dyDescent="0.2">
      <c r="A1963" t="str">
        <f t="shared" si="30"/>
        <v/>
      </c>
      <c r="F1963" s="1"/>
      <c r="H1963" s="1"/>
      <c r="I1963" s="2"/>
      <c r="J1963" s="2"/>
      <c r="N1963" s="2"/>
      <c r="O1963">
        <f>IFERROR(VLOOKUP($A1963,Accounts!$A:$G,3,FALSE),"")</f>
        <v>0</v>
      </c>
    </row>
    <row r="1964" spans="1:15" outlineLevel="2" x14ac:dyDescent="0.2">
      <c r="A1964" t="str">
        <f t="shared" si="30"/>
        <v/>
      </c>
      <c r="F1964" s="1"/>
      <c r="H1964" s="1"/>
      <c r="I1964" s="2"/>
      <c r="J1964" s="2"/>
      <c r="N1964" s="2"/>
      <c r="O1964">
        <f>IFERROR(VLOOKUP($A1964,Accounts!$A:$G,3,FALSE),"")</f>
        <v>0</v>
      </c>
    </row>
    <row r="1965" spans="1:15" outlineLevel="2" x14ac:dyDescent="0.2">
      <c r="A1965" t="str">
        <f t="shared" si="30"/>
        <v/>
      </c>
      <c r="F1965" s="1"/>
      <c r="H1965" s="1"/>
      <c r="I1965" s="2"/>
      <c r="J1965" s="2"/>
      <c r="N1965" s="2"/>
      <c r="O1965">
        <f>IFERROR(VLOOKUP($A1965,Accounts!$A:$G,3,FALSE),"")</f>
        <v>0</v>
      </c>
    </row>
    <row r="1966" spans="1:15" outlineLevel="2" x14ac:dyDescent="0.2">
      <c r="A1966" t="str">
        <f t="shared" si="30"/>
        <v/>
      </c>
      <c r="F1966" s="1"/>
      <c r="H1966" s="1"/>
      <c r="I1966" s="2"/>
      <c r="J1966" s="2"/>
      <c r="N1966" s="2"/>
      <c r="O1966">
        <f>IFERROR(VLOOKUP($A1966,Accounts!$A:$G,3,FALSE),"")</f>
        <v>0</v>
      </c>
    </row>
    <row r="1967" spans="1:15" outlineLevel="2" x14ac:dyDescent="0.2">
      <c r="A1967" t="str">
        <f t="shared" si="30"/>
        <v/>
      </c>
      <c r="F1967" s="1"/>
      <c r="H1967" s="1"/>
      <c r="I1967" s="2"/>
      <c r="J1967" s="2"/>
      <c r="N1967" s="2"/>
      <c r="O1967">
        <f>IFERROR(VLOOKUP($A1967,Accounts!$A:$G,3,FALSE),"")</f>
        <v>0</v>
      </c>
    </row>
    <row r="1968" spans="1:15" outlineLevel="2" x14ac:dyDescent="0.2">
      <c r="A1968" t="str">
        <f t="shared" si="30"/>
        <v/>
      </c>
      <c r="F1968" s="1"/>
      <c r="H1968" s="1"/>
      <c r="I1968" s="2"/>
      <c r="J1968" s="2"/>
      <c r="N1968" s="2"/>
      <c r="O1968">
        <f>IFERROR(VLOOKUP($A1968,Accounts!$A:$G,3,FALSE),"")</f>
        <v>0</v>
      </c>
    </row>
    <row r="1969" spans="1:15" outlineLevel="2" x14ac:dyDescent="0.2">
      <c r="A1969" t="str">
        <f t="shared" si="30"/>
        <v/>
      </c>
      <c r="F1969" s="1"/>
      <c r="H1969" s="1"/>
      <c r="I1969" s="2"/>
      <c r="J1969" s="2"/>
      <c r="N1969" s="2"/>
      <c r="O1969">
        <f>IFERROR(VLOOKUP($A1969,Accounts!$A:$G,3,FALSE),"")</f>
        <v>0</v>
      </c>
    </row>
    <row r="1970" spans="1:15" outlineLevel="2" x14ac:dyDescent="0.2">
      <c r="A1970" t="str">
        <f t="shared" si="30"/>
        <v/>
      </c>
      <c r="F1970" s="1"/>
      <c r="H1970" s="1"/>
      <c r="I1970" s="2"/>
      <c r="J1970" s="2"/>
      <c r="N1970" s="2"/>
      <c r="O1970">
        <f>IFERROR(VLOOKUP($A1970,Accounts!$A:$G,3,FALSE),"")</f>
        <v>0</v>
      </c>
    </row>
    <row r="1971" spans="1:15" outlineLevel="2" x14ac:dyDescent="0.2">
      <c r="A1971" t="str">
        <f t="shared" si="30"/>
        <v/>
      </c>
      <c r="F1971" s="1"/>
      <c r="H1971" s="1"/>
      <c r="I1971" s="2"/>
      <c r="J1971" s="2"/>
      <c r="N1971" s="2"/>
      <c r="O1971">
        <f>IFERROR(VLOOKUP($A1971,Accounts!$A:$G,3,FALSE),"")</f>
        <v>0</v>
      </c>
    </row>
    <row r="1972" spans="1:15" outlineLevel="2" x14ac:dyDescent="0.2">
      <c r="A1972" t="str">
        <f t="shared" si="30"/>
        <v/>
      </c>
      <c r="F1972" s="1"/>
      <c r="H1972" s="1"/>
      <c r="I1972" s="2"/>
      <c r="J1972" s="2"/>
      <c r="N1972" s="2"/>
      <c r="O1972">
        <f>IFERROR(VLOOKUP($A1972,Accounts!$A:$G,3,FALSE),"")</f>
        <v>0</v>
      </c>
    </row>
    <row r="1973" spans="1:15" outlineLevel="2" x14ac:dyDescent="0.2">
      <c r="A1973" t="str">
        <f t="shared" si="30"/>
        <v/>
      </c>
      <c r="F1973" s="1"/>
      <c r="H1973" s="1"/>
      <c r="I1973" s="2"/>
      <c r="J1973" s="2"/>
      <c r="N1973" s="2"/>
      <c r="O1973">
        <f>IFERROR(VLOOKUP($A1973,Accounts!$A:$G,3,FALSE),"")</f>
        <v>0</v>
      </c>
    </row>
    <row r="1974" spans="1:15" outlineLevel="2" x14ac:dyDescent="0.2">
      <c r="A1974" t="str">
        <f t="shared" si="30"/>
        <v/>
      </c>
      <c r="F1974" s="1"/>
      <c r="H1974" s="1"/>
      <c r="I1974" s="2"/>
      <c r="J1974" s="2"/>
      <c r="N1974" s="2"/>
      <c r="O1974">
        <f>IFERROR(VLOOKUP($A1974,Accounts!$A:$G,3,FALSE),"")</f>
        <v>0</v>
      </c>
    </row>
    <row r="1975" spans="1:15" outlineLevel="2" x14ac:dyDescent="0.2">
      <c r="A1975" t="str">
        <f t="shared" si="30"/>
        <v/>
      </c>
      <c r="F1975" s="1"/>
      <c r="H1975" s="1"/>
      <c r="I1975" s="2"/>
      <c r="J1975" s="2"/>
      <c r="N1975" s="2"/>
      <c r="O1975">
        <f>IFERROR(VLOOKUP($A1975,Accounts!$A:$G,3,FALSE),"")</f>
        <v>0</v>
      </c>
    </row>
    <row r="1976" spans="1:15" outlineLevel="2" x14ac:dyDescent="0.2">
      <c r="A1976" t="str">
        <f t="shared" si="30"/>
        <v/>
      </c>
      <c r="F1976" s="1"/>
      <c r="H1976" s="1"/>
      <c r="I1976" s="2"/>
      <c r="J1976" s="2"/>
      <c r="N1976" s="2"/>
      <c r="O1976">
        <f>IFERROR(VLOOKUP($A1976,Accounts!$A:$G,3,FALSE),"")</f>
        <v>0</v>
      </c>
    </row>
    <row r="1977" spans="1:15" outlineLevel="2" x14ac:dyDescent="0.2">
      <c r="A1977" t="str">
        <f t="shared" si="30"/>
        <v/>
      </c>
      <c r="F1977" s="1"/>
      <c r="H1977" s="1"/>
      <c r="I1977" s="2"/>
      <c r="J1977" s="2"/>
      <c r="N1977" s="2"/>
      <c r="O1977">
        <f>IFERROR(VLOOKUP($A1977,Accounts!$A:$G,3,FALSE),"")</f>
        <v>0</v>
      </c>
    </row>
    <row r="1978" spans="1:15" outlineLevel="2" x14ac:dyDescent="0.2">
      <c r="A1978" t="str">
        <f t="shared" si="30"/>
        <v/>
      </c>
      <c r="F1978" s="1"/>
      <c r="H1978" s="1"/>
      <c r="I1978" s="2"/>
      <c r="J1978" s="2"/>
      <c r="N1978" s="2"/>
      <c r="O1978">
        <f>IFERROR(VLOOKUP($A1978,Accounts!$A:$G,3,FALSE),"")</f>
        <v>0</v>
      </c>
    </row>
    <row r="1979" spans="1:15" outlineLevel="2" x14ac:dyDescent="0.2">
      <c r="A1979" t="str">
        <f t="shared" si="30"/>
        <v/>
      </c>
      <c r="F1979" s="1"/>
      <c r="H1979" s="1"/>
      <c r="I1979" s="2"/>
      <c r="J1979" s="2"/>
      <c r="N1979" s="2"/>
      <c r="O1979">
        <f>IFERROR(VLOOKUP($A1979,Accounts!$A:$G,3,FALSE),"")</f>
        <v>0</v>
      </c>
    </row>
    <row r="1980" spans="1:15" outlineLevel="2" x14ac:dyDescent="0.2">
      <c r="A1980" t="str">
        <f t="shared" si="30"/>
        <v/>
      </c>
      <c r="F1980" s="1"/>
      <c r="H1980" s="1"/>
      <c r="I1980" s="2"/>
      <c r="J1980" s="2"/>
      <c r="N1980" s="2"/>
      <c r="O1980">
        <f>IFERROR(VLOOKUP($A1980,Accounts!$A:$G,3,FALSE),"")</f>
        <v>0</v>
      </c>
    </row>
    <row r="1981" spans="1:15" outlineLevel="2" x14ac:dyDescent="0.2">
      <c r="A1981" t="str">
        <f t="shared" si="30"/>
        <v/>
      </c>
      <c r="F1981" s="1"/>
      <c r="H1981" s="1"/>
      <c r="I1981" s="2"/>
      <c r="J1981" s="2"/>
      <c r="N1981" s="2"/>
      <c r="O1981">
        <f>IFERROR(VLOOKUP($A1981,Accounts!$A:$G,3,FALSE),"")</f>
        <v>0</v>
      </c>
    </row>
    <row r="1982" spans="1:15" outlineLevel="2" x14ac:dyDescent="0.2">
      <c r="A1982" t="str">
        <f t="shared" si="30"/>
        <v/>
      </c>
      <c r="F1982" s="1"/>
      <c r="H1982" s="1"/>
      <c r="I1982" s="2"/>
      <c r="J1982" s="2"/>
      <c r="N1982" s="2"/>
      <c r="O1982">
        <f>IFERROR(VLOOKUP($A1982,Accounts!$A:$G,3,FALSE),"")</f>
        <v>0</v>
      </c>
    </row>
    <row r="1983" spans="1:15" outlineLevel="2" x14ac:dyDescent="0.2">
      <c r="A1983" t="str">
        <f t="shared" si="30"/>
        <v/>
      </c>
      <c r="F1983" s="1"/>
      <c r="H1983" s="1"/>
      <c r="I1983" s="2"/>
      <c r="J1983" s="2"/>
      <c r="N1983" s="2"/>
      <c r="O1983">
        <f>IFERROR(VLOOKUP($A1983,Accounts!$A:$G,3,FALSE),"")</f>
        <v>0</v>
      </c>
    </row>
    <row r="1984" spans="1:15" outlineLevel="2" x14ac:dyDescent="0.2">
      <c r="A1984" t="str">
        <f t="shared" si="30"/>
        <v/>
      </c>
      <c r="F1984" s="1"/>
      <c r="H1984" s="1"/>
      <c r="I1984" s="2"/>
      <c r="J1984" s="2"/>
      <c r="N1984" s="2"/>
      <c r="O1984">
        <f>IFERROR(VLOOKUP($A1984,Accounts!$A:$G,3,FALSE),"")</f>
        <v>0</v>
      </c>
    </row>
    <row r="1985" spans="1:15" outlineLevel="2" x14ac:dyDescent="0.2">
      <c r="A1985" t="str">
        <f t="shared" si="30"/>
        <v/>
      </c>
      <c r="F1985" s="1"/>
      <c r="H1985" s="1"/>
      <c r="I1985" s="2"/>
      <c r="J1985" s="2"/>
      <c r="N1985" s="2"/>
      <c r="O1985">
        <f>IFERROR(VLOOKUP($A1985,Accounts!$A:$G,3,FALSE),"")</f>
        <v>0</v>
      </c>
    </row>
    <row r="1986" spans="1:15" outlineLevel="2" x14ac:dyDescent="0.2">
      <c r="A1986" t="str">
        <f t="shared" si="30"/>
        <v/>
      </c>
      <c r="F1986" s="1"/>
      <c r="H1986" s="1"/>
      <c r="I1986" s="2"/>
      <c r="J1986" s="2"/>
      <c r="N1986" s="2"/>
      <c r="O1986">
        <f>IFERROR(VLOOKUP($A1986,Accounts!$A:$G,3,FALSE),"")</f>
        <v>0</v>
      </c>
    </row>
    <row r="1987" spans="1:15" outlineLevel="2" x14ac:dyDescent="0.2">
      <c r="A1987" t="str">
        <f t="shared" si="30"/>
        <v/>
      </c>
      <c r="F1987" s="1"/>
      <c r="H1987" s="1"/>
      <c r="I1987" s="2"/>
      <c r="J1987" s="2"/>
      <c r="N1987" s="2"/>
      <c r="O1987">
        <f>IFERROR(VLOOKUP($A1987,Accounts!$A:$G,3,FALSE),"")</f>
        <v>0</v>
      </c>
    </row>
    <row r="1988" spans="1:15" outlineLevel="2" x14ac:dyDescent="0.2">
      <c r="A1988" t="str">
        <f t="shared" si="30"/>
        <v/>
      </c>
      <c r="F1988" s="1"/>
      <c r="H1988" s="1"/>
      <c r="I1988" s="2"/>
      <c r="J1988" s="2"/>
      <c r="N1988" s="2"/>
      <c r="O1988">
        <f>IFERROR(VLOOKUP($A1988,Accounts!$A:$G,3,FALSE),"")</f>
        <v>0</v>
      </c>
    </row>
    <row r="1989" spans="1:15" outlineLevel="2" x14ac:dyDescent="0.2">
      <c r="A1989" t="str">
        <f t="shared" si="30"/>
        <v/>
      </c>
      <c r="F1989" s="1"/>
      <c r="H1989" s="1"/>
      <c r="I1989" s="2"/>
      <c r="J1989" s="2"/>
      <c r="N1989" s="2"/>
      <c r="O1989">
        <f>IFERROR(VLOOKUP($A1989,Accounts!$A:$G,3,FALSE),"")</f>
        <v>0</v>
      </c>
    </row>
    <row r="1990" spans="1:15" outlineLevel="2" x14ac:dyDescent="0.2">
      <c r="A1990" t="str">
        <f t="shared" si="30"/>
        <v/>
      </c>
      <c r="F1990" s="1"/>
      <c r="H1990" s="1"/>
      <c r="I1990" s="2"/>
      <c r="J1990" s="2"/>
      <c r="N1990" s="2"/>
      <c r="O1990">
        <f>IFERROR(VLOOKUP($A1990,Accounts!$A:$G,3,FALSE),"")</f>
        <v>0</v>
      </c>
    </row>
    <row r="1991" spans="1:15" outlineLevel="2" x14ac:dyDescent="0.2">
      <c r="A1991" t="str">
        <f t="shared" si="30"/>
        <v/>
      </c>
      <c r="F1991" s="1"/>
      <c r="H1991" s="1"/>
      <c r="I1991" s="2"/>
      <c r="J1991" s="2"/>
      <c r="N1991" s="2"/>
      <c r="O1991">
        <f>IFERROR(VLOOKUP($A1991,Accounts!$A:$G,3,FALSE),"")</f>
        <v>0</v>
      </c>
    </row>
    <row r="1992" spans="1:15" outlineLevel="2" x14ac:dyDescent="0.2">
      <c r="A1992" t="str">
        <f t="shared" si="30"/>
        <v/>
      </c>
      <c r="F1992" s="1"/>
      <c r="H1992" s="1"/>
      <c r="I1992" s="2"/>
      <c r="J1992" s="2"/>
      <c r="N1992" s="2"/>
      <c r="O1992">
        <f>IFERROR(VLOOKUP($A1992,Accounts!$A:$G,3,FALSE),"")</f>
        <v>0</v>
      </c>
    </row>
    <row r="1993" spans="1:15" outlineLevel="2" x14ac:dyDescent="0.2">
      <c r="A1993" t="str">
        <f t="shared" si="30"/>
        <v/>
      </c>
      <c r="F1993" s="1"/>
      <c r="H1993" s="1"/>
      <c r="I1993" s="2"/>
      <c r="J1993" s="2"/>
      <c r="N1993" s="2"/>
      <c r="O1993">
        <f>IFERROR(VLOOKUP($A1993,Accounts!$A:$G,3,FALSE),"")</f>
        <v>0</v>
      </c>
    </row>
    <row r="1994" spans="1:15" outlineLevel="2" x14ac:dyDescent="0.2">
      <c r="A1994" t="str">
        <f t="shared" ref="A1994:A2057" si="31">IFERROR(IF(J1994=0,E1994&amp;C1994&amp;I1994,G1994&amp;B1994&amp;J1994),"")</f>
        <v/>
      </c>
      <c r="F1994" s="1"/>
      <c r="H1994" s="1"/>
      <c r="I1994" s="2"/>
      <c r="J1994" s="2"/>
      <c r="N1994" s="2"/>
      <c r="O1994">
        <f>IFERROR(VLOOKUP($A1994,Accounts!$A:$G,3,FALSE),"")</f>
        <v>0</v>
      </c>
    </row>
    <row r="1995" spans="1:15" outlineLevel="2" x14ac:dyDescent="0.2">
      <c r="A1995" t="str">
        <f t="shared" si="31"/>
        <v/>
      </c>
      <c r="F1995" s="1"/>
      <c r="H1995" s="1"/>
      <c r="I1995" s="2"/>
      <c r="J1995" s="2"/>
      <c r="N1995" s="2"/>
      <c r="O1995">
        <f>IFERROR(VLOOKUP($A1995,Accounts!$A:$G,3,FALSE),"")</f>
        <v>0</v>
      </c>
    </row>
    <row r="1996" spans="1:15" outlineLevel="2" x14ac:dyDescent="0.2">
      <c r="A1996" t="str">
        <f t="shared" si="31"/>
        <v/>
      </c>
      <c r="F1996" s="1"/>
      <c r="H1996" s="1"/>
      <c r="I1996" s="2"/>
      <c r="J1996" s="2"/>
      <c r="N1996" s="2"/>
      <c r="O1996">
        <f>IFERROR(VLOOKUP($A1996,Accounts!$A:$G,3,FALSE),"")</f>
        <v>0</v>
      </c>
    </row>
    <row r="1997" spans="1:15" outlineLevel="2" x14ac:dyDescent="0.2">
      <c r="A1997" t="str">
        <f t="shared" si="31"/>
        <v/>
      </c>
      <c r="F1997" s="1"/>
      <c r="H1997" s="1"/>
      <c r="I1997" s="2"/>
      <c r="J1997" s="2"/>
      <c r="N1997" s="2"/>
      <c r="O1997">
        <f>IFERROR(VLOOKUP($A1997,Accounts!$A:$G,3,FALSE),"")</f>
        <v>0</v>
      </c>
    </row>
    <row r="1998" spans="1:15" outlineLevel="2" x14ac:dyDescent="0.2">
      <c r="A1998" t="str">
        <f t="shared" si="31"/>
        <v/>
      </c>
      <c r="F1998" s="1"/>
      <c r="H1998" s="1"/>
      <c r="I1998" s="2"/>
      <c r="J1998" s="2"/>
      <c r="N1998" s="2"/>
      <c r="O1998">
        <f>IFERROR(VLOOKUP($A1998,Accounts!$A:$G,3,FALSE),"")</f>
        <v>0</v>
      </c>
    </row>
    <row r="1999" spans="1:15" outlineLevel="2" x14ac:dyDescent="0.2">
      <c r="A1999" t="str">
        <f t="shared" si="31"/>
        <v/>
      </c>
      <c r="F1999" s="1"/>
      <c r="H1999" s="1"/>
      <c r="I1999" s="2"/>
      <c r="J1999" s="2"/>
      <c r="N1999" s="2"/>
      <c r="O1999">
        <f>IFERROR(VLOOKUP($A1999,Accounts!$A:$G,3,FALSE),"")</f>
        <v>0</v>
      </c>
    </row>
    <row r="2000" spans="1:15" outlineLevel="2" x14ac:dyDescent="0.2">
      <c r="A2000" t="str">
        <f t="shared" si="31"/>
        <v/>
      </c>
      <c r="F2000" s="1"/>
      <c r="H2000" s="1"/>
      <c r="I2000" s="2"/>
      <c r="J2000" s="2"/>
      <c r="N2000" s="2"/>
      <c r="O2000">
        <f>IFERROR(VLOOKUP($A2000,Accounts!$A:$G,3,FALSE),"")</f>
        <v>0</v>
      </c>
    </row>
    <row r="2001" spans="1:15" outlineLevel="2" x14ac:dyDescent="0.2">
      <c r="A2001" t="str">
        <f t="shared" si="31"/>
        <v/>
      </c>
      <c r="F2001" s="1"/>
      <c r="H2001" s="1"/>
      <c r="I2001" s="2"/>
      <c r="J2001" s="2"/>
      <c r="N2001" s="2"/>
      <c r="O2001">
        <f>IFERROR(VLOOKUP($A2001,Accounts!$A:$G,3,FALSE),"")</f>
        <v>0</v>
      </c>
    </row>
    <row r="2002" spans="1:15" outlineLevel="2" x14ac:dyDescent="0.2">
      <c r="A2002" t="str">
        <f t="shared" si="31"/>
        <v/>
      </c>
      <c r="F2002" s="1"/>
      <c r="H2002" s="1"/>
      <c r="I2002" s="2"/>
      <c r="J2002" s="2"/>
      <c r="N2002" s="2"/>
      <c r="O2002">
        <f>IFERROR(VLOOKUP($A2002,Accounts!$A:$G,3,FALSE),"")</f>
        <v>0</v>
      </c>
    </row>
    <row r="2003" spans="1:15" outlineLevel="2" x14ac:dyDescent="0.2">
      <c r="A2003" t="str">
        <f t="shared" si="31"/>
        <v/>
      </c>
      <c r="F2003" s="1"/>
      <c r="H2003" s="1"/>
      <c r="I2003" s="2"/>
      <c r="J2003" s="2"/>
      <c r="N2003" s="2"/>
      <c r="O2003">
        <f>IFERROR(VLOOKUP($A2003,Accounts!$A:$G,3,FALSE),"")</f>
        <v>0</v>
      </c>
    </row>
    <row r="2004" spans="1:15" outlineLevel="2" x14ac:dyDescent="0.2">
      <c r="A2004" t="str">
        <f t="shared" si="31"/>
        <v/>
      </c>
      <c r="F2004" s="1"/>
      <c r="H2004" s="1"/>
      <c r="I2004" s="2"/>
      <c r="J2004" s="2"/>
      <c r="N2004" s="2"/>
      <c r="O2004">
        <f>IFERROR(VLOOKUP($A2004,Accounts!$A:$G,3,FALSE),"")</f>
        <v>0</v>
      </c>
    </row>
    <row r="2005" spans="1:15" outlineLevel="1" x14ac:dyDescent="0.2">
      <c r="A2005" t="str">
        <f t="shared" si="31"/>
        <v/>
      </c>
      <c r="F2005" s="1"/>
      <c r="H2005" s="1"/>
      <c r="I2005" s="2"/>
      <c r="J2005" s="2"/>
      <c r="N2005" s="2"/>
      <c r="O2005">
        <f>IFERROR(VLOOKUP($A2005,Accounts!$A:$G,3,FALSE),"")</f>
        <v>0</v>
      </c>
    </row>
    <row r="2006" spans="1:15" outlineLevel="2" x14ac:dyDescent="0.2">
      <c r="A2006" t="str">
        <f t="shared" si="31"/>
        <v/>
      </c>
      <c r="F2006" s="1"/>
      <c r="H2006" s="1"/>
      <c r="I2006" s="2"/>
      <c r="J2006" s="2"/>
      <c r="N2006" s="2"/>
      <c r="O2006">
        <f>IFERROR(VLOOKUP($A2006,Accounts!$A:$G,3,FALSE),"")</f>
        <v>0</v>
      </c>
    </row>
    <row r="2007" spans="1:15" outlineLevel="2" x14ac:dyDescent="0.2">
      <c r="A2007" t="str">
        <f t="shared" si="31"/>
        <v/>
      </c>
      <c r="F2007" s="1"/>
      <c r="H2007" s="1"/>
      <c r="I2007" s="2"/>
      <c r="J2007" s="2"/>
      <c r="N2007" s="2"/>
      <c r="O2007">
        <f>IFERROR(VLOOKUP($A2007,Accounts!$A:$G,3,FALSE),"")</f>
        <v>0</v>
      </c>
    </row>
    <row r="2008" spans="1:15" outlineLevel="2" x14ac:dyDescent="0.2">
      <c r="A2008" t="str">
        <f t="shared" si="31"/>
        <v/>
      </c>
      <c r="F2008" s="1"/>
      <c r="H2008" s="1"/>
      <c r="I2008" s="2"/>
      <c r="J2008" s="2"/>
      <c r="N2008" s="2"/>
      <c r="O2008">
        <f>IFERROR(VLOOKUP($A2008,Accounts!$A:$G,3,FALSE),"")</f>
        <v>0</v>
      </c>
    </row>
    <row r="2009" spans="1:15" outlineLevel="2" x14ac:dyDescent="0.2">
      <c r="A2009" t="str">
        <f t="shared" si="31"/>
        <v/>
      </c>
      <c r="F2009" s="1"/>
      <c r="H2009" s="1"/>
      <c r="I2009" s="2"/>
      <c r="J2009" s="2"/>
      <c r="N2009" s="2"/>
      <c r="O2009">
        <f>IFERROR(VLOOKUP($A2009,Accounts!$A:$G,3,FALSE),"")</f>
        <v>0</v>
      </c>
    </row>
    <row r="2010" spans="1:15" outlineLevel="1" x14ac:dyDescent="0.2">
      <c r="A2010" t="str">
        <f t="shared" si="31"/>
        <v/>
      </c>
      <c r="F2010" s="1"/>
      <c r="H2010" s="1"/>
      <c r="I2010" s="2"/>
      <c r="J2010" s="2"/>
      <c r="N2010" s="2"/>
      <c r="O2010">
        <f>IFERROR(VLOOKUP($A2010,Accounts!$A:$G,3,FALSE),"")</f>
        <v>0</v>
      </c>
    </row>
    <row r="2011" spans="1:15" outlineLevel="2" x14ac:dyDescent="0.2">
      <c r="A2011" t="str">
        <f t="shared" si="31"/>
        <v/>
      </c>
      <c r="F2011" s="1"/>
      <c r="H2011" s="1"/>
      <c r="I2011" s="2"/>
      <c r="J2011" s="2"/>
      <c r="N2011" s="2"/>
      <c r="O2011">
        <f>IFERROR(VLOOKUP($A2011,Accounts!$A:$G,3,FALSE),"")</f>
        <v>0</v>
      </c>
    </row>
    <row r="2012" spans="1:15" outlineLevel="1" x14ac:dyDescent="0.2">
      <c r="A2012" t="str">
        <f t="shared" si="31"/>
        <v/>
      </c>
      <c r="F2012" s="1"/>
      <c r="H2012" s="1"/>
      <c r="I2012" s="2"/>
      <c r="J2012" s="2"/>
      <c r="N2012" s="2"/>
      <c r="O2012">
        <f>IFERROR(VLOOKUP($A2012,Accounts!$A:$G,3,FALSE),"")</f>
        <v>0</v>
      </c>
    </row>
    <row r="2013" spans="1:15" outlineLevel="2" x14ac:dyDescent="0.2">
      <c r="A2013" t="str">
        <f t="shared" si="31"/>
        <v/>
      </c>
      <c r="F2013" s="1"/>
      <c r="H2013" s="1"/>
      <c r="I2013" s="2"/>
      <c r="J2013" s="2"/>
      <c r="N2013" s="2"/>
      <c r="O2013">
        <f>IFERROR(VLOOKUP($A2013,Accounts!$A:$G,3,FALSE),"")</f>
        <v>0</v>
      </c>
    </row>
    <row r="2014" spans="1:15" outlineLevel="2" x14ac:dyDescent="0.2">
      <c r="A2014" t="str">
        <f t="shared" si="31"/>
        <v/>
      </c>
      <c r="F2014" s="1"/>
      <c r="H2014" s="1"/>
      <c r="I2014" s="2"/>
      <c r="J2014" s="2"/>
      <c r="N2014" s="2"/>
      <c r="O2014">
        <f>IFERROR(VLOOKUP($A2014,Accounts!$A:$G,3,FALSE),"")</f>
        <v>0</v>
      </c>
    </row>
    <row r="2015" spans="1:15" outlineLevel="2" x14ac:dyDescent="0.2">
      <c r="A2015" t="str">
        <f t="shared" si="31"/>
        <v/>
      </c>
      <c r="F2015" s="1"/>
      <c r="H2015" s="1"/>
      <c r="I2015" s="2"/>
      <c r="J2015" s="2"/>
      <c r="N2015" s="2"/>
      <c r="O2015">
        <f>IFERROR(VLOOKUP($A2015,Accounts!$A:$G,3,FALSE),"")</f>
        <v>0</v>
      </c>
    </row>
    <row r="2016" spans="1:15" outlineLevel="1" x14ac:dyDescent="0.2">
      <c r="A2016" t="str">
        <f t="shared" si="31"/>
        <v/>
      </c>
      <c r="F2016" s="1"/>
      <c r="H2016" s="1"/>
      <c r="I2016" s="2"/>
      <c r="J2016" s="2"/>
      <c r="N2016" s="2"/>
      <c r="O2016">
        <f>IFERROR(VLOOKUP($A2016,Accounts!$A:$G,3,FALSE),"")</f>
        <v>0</v>
      </c>
    </row>
    <row r="2017" spans="1:15" outlineLevel="2" x14ac:dyDescent="0.2">
      <c r="A2017" t="str">
        <f t="shared" si="31"/>
        <v/>
      </c>
      <c r="F2017" s="1"/>
      <c r="H2017" s="1"/>
      <c r="I2017" s="2"/>
      <c r="J2017" s="2"/>
      <c r="N2017" s="2"/>
      <c r="O2017">
        <f>IFERROR(VLOOKUP($A2017,Accounts!$A:$G,3,FALSE),"")</f>
        <v>0</v>
      </c>
    </row>
    <row r="2018" spans="1:15" outlineLevel="2" x14ac:dyDescent="0.2">
      <c r="A2018" t="str">
        <f t="shared" si="31"/>
        <v/>
      </c>
      <c r="F2018" s="1"/>
      <c r="H2018" s="1"/>
      <c r="I2018" s="2"/>
      <c r="J2018" s="2"/>
      <c r="N2018" s="2"/>
      <c r="O2018">
        <f>IFERROR(VLOOKUP($A2018,Accounts!$A:$G,3,FALSE),"")</f>
        <v>0</v>
      </c>
    </row>
    <row r="2019" spans="1:15" outlineLevel="2" x14ac:dyDescent="0.2">
      <c r="A2019" t="str">
        <f t="shared" si="31"/>
        <v/>
      </c>
      <c r="F2019" s="1"/>
      <c r="H2019" s="1"/>
      <c r="I2019" s="2"/>
      <c r="J2019" s="2"/>
      <c r="N2019" s="2"/>
      <c r="O2019">
        <f>IFERROR(VLOOKUP($A2019,Accounts!$A:$G,3,FALSE),"")</f>
        <v>0</v>
      </c>
    </row>
    <row r="2020" spans="1:15" outlineLevel="2" x14ac:dyDescent="0.2">
      <c r="A2020" t="str">
        <f t="shared" si="31"/>
        <v/>
      </c>
      <c r="F2020" s="1"/>
      <c r="H2020" s="1"/>
      <c r="I2020" s="2"/>
      <c r="J2020" s="2"/>
      <c r="N2020" s="2"/>
      <c r="O2020">
        <f>IFERROR(VLOOKUP($A2020,Accounts!$A:$G,3,FALSE),"")</f>
        <v>0</v>
      </c>
    </row>
    <row r="2021" spans="1:15" outlineLevel="1" x14ac:dyDescent="0.2">
      <c r="A2021" t="str">
        <f t="shared" si="31"/>
        <v/>
      </c>
      <c r="F2021" s="1"/>
      <c r="H2021" s="1"/>
      <c r="I2021" s="2"/>
      <c r="J2021" s="2"/>
      <c r="N2021" s="2"/>
      <c r="O2021">
        <f>IFERROR(VLOOKUP($A2021,Accounts!$A:$G,3,FALSE),"")</f>
        <v>0</v>
      </c>
    </row>
    <row r="2022" spans="1:15" outlineLevel="2" x14ac:dyDescent="0.2">
      <c r="A2022" t="str">
        <f t="shared" si="31"/>
        <v/>
      </c>
      <c r="F2022" s="1"/>
      <c r="H2022" s="1"/>
      <c r="I2022" s="2"/>
      <c r="J2022" s="2"/>
      <c r="N2022" s="2"/>
      <c r="O2022">
        <f>IFERROR(VLOOKUP($A2022,Accounts!$A:$G,3,FALSE),"")</f>
        <v>0</v>
      </c>
    </row>
    <row r="2023" spans="1:15" outlineLevel="2" x14ac:dyDescent="0.2">
      <c r="A2023" t="str">
        <f t="shared" si="31"/>
        <v/>
      </c>
      <c r="F2023" s="1"/>
      <c r="H2023" s="1"/>
      <c r="I2023" s="2"/>
      <c r="J2023" s="2"/>
      <c r="N2023" s="2"/>
      <c r="O2023">
        <f>IFERROR(VLOOKUP($A2023,Accounts!$A:$G,3,FALSE),"")</f>
        <v>0</v>
      </c>
    </row>
    <row r="2024" spans="1:15" outlineLevel="2" x14ac:dyDescent="0.2">
      <c r="A2024" t="str">
        <f t="shared" si="31"/>
        <v/>
      </c>
      <c r="F2024" s="1"/>
      <c r="H2024" s="1"/>
      <c r="I2024" s="2"/>
      <c r="J2024" s="2"/>
      <c r="N2024" s="2"/>
      <c r="O2024">
        <f>IFERROR(VLOOKUP($A2024,Accounts!$A:$G,3,FALSE),"")</f>
        <v>0</v>
      </c>
    </row>
    <row r="2025" spans="1:15" outlineLevel="2" x14ac:dyDescent="0.2">
      <c r="A2025" t="str">
        <f t="shared" si="31"/>
        <v/>
      </c>
      <c r="F2025" s="1"/>
      <c r="H2025" s="1"/>
      <c r="I2025" s="2"/>
      <c r="J2025" s="2"/>
      <c r="N2025" s="2"/>
      <c r="O2025">
        <f>IFERROR(VLOOKUP($A2025,Accounts!$A:$G,3,FALSE),"")</f>
        <v>0</v>
      </c>
    </row>
    <row r="2026" spans="1:15" outlineLevel="2" x14ac:dyDescent="0.2">
      <c r="A2026" t="str">
        <f t="shared" si="31"/>
        <v/>
      </c>
      <c r="F2026" s="1"/>
      <c r="H2026" s="1"/>
      <c r="I2026" s="2"/>
      <c r="J2026" s="2"/>
      <c r="N2026" s="2"/>
      <c r="O2026">
        <f>IFERROR(VLOOKUP($A2026,Accounts!$A:$G,3,FALSE),"")</f>
        <v>0</v>
      </c>
    </row>
    <row r="2027" spans="1:15" outlineLevel="2" x14ac:dyDescent="0.2">
      <c r="A2027" t="str">
        <f t="shared" si="31"/>
        <v/>
      </c>
      <c r="F2027" s="1"/>
      <c r="H2027" s="1"/>
      <c r="I2027" s="2"/>
      <c r="J2027" s="2"/>
      <c r="N2027" s="2"/>
      <c r="O2027">
        <f>IFERROR(VLOOKUP($A2027,Accounts!$A:$G,3,FALSE),"")</f>
        <v>0</v>
      </c>
    </row>
    <row r="2028" spans="1:15" outlineLevel="2" x14ac:dyDescent="0.2">
      <c r="A2028" t="str">
        <f t="shared" si="31"/>
        <v/>
      </c>
      <c r="F2028" s="1"/>
      <c r="H2028" s="1"/>
      <c r="I2028" s="2"/>
      <c r="J2028" s="2"/>
      <c r="N2028" s="2"/>
      <c r="O2028">
        <f>IFERROR(VLOOKUP($A2028,Accounts!$A:$G,3,FALSE),"")</f>
        <v>0</v>
      </c>
    </row>
    <row r="2029" spans="1:15" outlineLevel="2" x14ac:dyDescent="0.2">
      <c r="A2029" t="str">
        <f t="shared" si="31"/>
        <v/>
      </c>
      <c r="F2029" s="1"/>
      <c r="H2029" s="1"/>
      <c r="I2029" s="2"/>
      <c r="J2029" s="2"/>
      <c r="N2029" s="2"/>
      <c r="O2029">
        <f>IFERROR(VLOOKUP($A2029,Accounts!$A:$G,3,FALSE),"")</f>
        <v>0</v>
      </c>
    </row>
    <row r="2030" spans="1:15" outlineLevel="1" x14ac:dyDescent="0.2">
      <c r="A2030" t="str">
        <f t="shared" si="31"/>
        <v/>
      </c>
      <c r="F2030" s="1"/>
      <c r="H2030" s="1"/>
      <c r="I2030" s="2"/>
      <c r="J2030" s="2"/>
      <c r="N2030" s="2"/>
      <c r="O2030">
        <f>IFERROR(VLOOKUP($A2030,Accounts!$A:$G,3,FALSE),"")</f>
        <v>0</v>
      </c>
    </row>
    <row r="2031" spans="1:15" outlineLevel="2" x14ac:dyDescent="0.2">
      <c r="A2031" t="str">
        <f t="shared" si="31"/>
        <v/>
      </c>
      <c r="F2031" s="1"/>
      <c r="H2031" s="1"/>
      <c r="I2031" s="2"/>
      <c r="J2031" s="2"/>
      <c r="N2031" s="2"/>
      <c r="O2031">
        <f>IFERROR(VLOOKUP($A2031,Accounts!$A:$G,3,FALSE),"")</f>
        <v>0</v>
      </c>
    </row>
    <row r="2032" spans="1:15" outlineLevel="2" x14ac:dyDescent="0.2">
      <c r="A2032" t="str">
        <f t="shared" si="31"/>
        <v/>
      </c>
      <c r="F2032" s="1"/>
      <c r="H2032" s="1"/>
      <c r="I2032" s="2"/>
      <c r="J2032" s="2"/>
      <c r="N2032" s="2"/>
      <c r="O2032">
        <f>IFERROR(VLOOKUP($A2032,Accounts!$A:$G,3,FALSE),"")</f>
        <v>0</v>
      </c>
    </row>
    <row r="2033" spans="1:15" outlineLevel="2" x14ac:dyDescent="0.2">
      <c r="A2033" t="str">
        <f t="shared" si="31"/>
        <v/>
      </c>
      <c r="F2033" s="1"/>
      <c r="H2033" s="1"/>
      <c r="I2033" s="2"/>
      <c r="J2033" s="2"/>
      <c r="N2033" s="2"/>
      <c r="O2033">
        <f>IFERROR(VLOOKUP($A2033,Accounts!$A:$G,3,FALSE),"")</f>
        <v>0</v>
      </c>
    </row>
    <row r="2034" spans="1:15" outlineLevel="2" x14ac:dyDescent="0.2">
      <c r="A2034" t="str">
        <f t="shared" si="31"/>
        <v/>
      </c>
      <c r="F2034" s="1"/>
      <c r="H2034" s="1"/>
      <c r="I2034" s="2"/>
      <c r="J2034" s="2"/>
      <c r="N2034" s="2"/>
      <c r="O2034">
        <f>IFERROR(VLOOKUP($A2034,Accounts!$A:$G,3,FALSE),"")</f>
        <v>0</v>
      </c>
    </row>
    <row r="2035" spans="1:15" outlineLevel="2" x14ac:dyDescent="0.2">
      <c r="A2035" t="str">
        <f t="shared" si="31"/>
        <v/>
      </c>
      <c r="F2035" s="1"/>
      <c r="H2035" s="1"/>
      <c r="I2035" s="2"/>
      <c r="J2035" s="2"/>
      <c r="N2035" s="2"/>
      <c r="O2035">
        <f>IFERROR(VLOOKUP($A2035,Accounts!$A:$G,3,FALSE),"")</f>
        <v>0</v>
      </c>
    </row>
    <row r="2036" spans="1:15" outlineLevel="2" x14ac:dyDescent="0.2">
      <c r="A2036" t="str">
        <f t="shared" si="31"/>
        <v/>
      </c>
      <c r="F2036" s="1"/>
      <c r="H2036" s="1"/>
      <c r="I2036" s="2"/>
      <c r="J2036" s="2"/>
      <c r="N2036" s="2"/>
      <c r="O2036">
        <f>IFERROR(VLOOKUP($A2036,Accounts!$A:$G,3,FALSE),"")</f>
        <v>0</v>
      </c>
    </row>
    <row r="2037" spans="1:15" outlineLevel="1" x14ac:dyDescent="0.2">
      <c r="A2037" t="str">
        <f t="shared" si="31"/>
        <v/>
      </c>
      <c r="F2037" s="1"/>
      <c r="H2037" s="1"/>
      <c r="I2037" s="2"/>
      <c r="J2037" s="2"/>
      <c r="N2037" s="2"/>
      <c r="O2037">
        <f>IFERROR(VLOOKUP($A2037,Accounts!$A:$G,3,FALSE),"")</f>
        <v>0</v>
      </c>
    </row>
    <row r="2038" spans="1:15" outlineLevel="2" x14ac:dyDescent="0.2">
      <c r="A2038" t="str">
        <f t="shared" si="31"/>
        <v/>
      </c>
      <c r="F2038" s="1"/>
      <c r="H2038" s="1"/>
      <c r="I2038" s="2"/>
      <c r="J2038" s="2"/>
      <c r="N2038" s="2"/>
      <c r="O2038">
        <f>IFERROR(VLOOKUP($A2038,Accounts!$A:$G,3,FALSE),"")</f>
        <v>0</v>
      </c>
    </row>
    <row r="2039" spans="1:15" outlineLevel="2" x14ac:dyDescent="0.2">
      <c r="A2039" t="str">
        <f t="shared" si="31"/>
        <v/>
      </c>
      <c r="F2039" s="1"/>
      <c r="H2039" s="1"/>
      <c r="I2039" s="2"/>
      <c r="J2039" s="2"/>
      <c r="N2039" s="2"/>
      <c r="O2039">
        <f>IFERROR(VLOOKUP($A2039,Accounts!$A:$G,3,FALSE),"")</f>
        <v>0</v>
      </c>
    </row>
    <row r="2040" spans="1:15" outlineLevel="2" x14ac:dyDescent="0.2">
      <c r="A2040" t="str">
        <f t="shared" si="31"/>
        <v/>
      </c>
      <c r="F2040" s="1"/>
      <c r="H2040" s="1"/>
      <c r="I2040" s="2"/>
      <c r="J2040" s="2"/>
      <c r="N2040" s="2"/>
      <c r="O2040">
        <f>IFERROR(VLOOKUP($A2040,Accounts!$A:$G,3,FALSE),"")</f>
        <v>0</v>
      </c>
    </row>
    <row r="2041" spans="1:15" outlineLevel="2" x14ac:dyDescent="0.2">
      <c r="A2041" t="str">
        <f t="shared" si="31"/>
        <v/>
      </c>
      <c r="F2041" s="1"/>
      <c r="H2041" s="1"/>
      <c r="I2041" s="2"/>
      <c r="J2041" s="2"/>
      <c r="N2041" s="2"/>
      <c r="O2041">
        <f>IFERROR(VLOOKUP($A2041,Accounts!$A:$G,3,FALSE),"")</f>
        <v>0</v>
      </c>
    </row>
    <row r="2042" spans="1:15" outlineLevel="2" x14ac:dyDescent="0.2">
      <c r="A2042" t="str">
        <f t="shared" si="31"/>
        <v/>
      </c>
      <c r="F2042" s="1"/>
      <c r="H2042" s="1"/>
      <c r="I2042" s="2"/>
      <c r="J2042" s="2"/>
      <c r="N2042" s="2"/>
      <c r="O2042">
        <f>IFERROR(VLOOKUP($A2042,Accounts!$A:$G,3,FALSE),"")</f>
        <v>0</v>
      </c>
    </row>
    <row r="2043" spans="1:15" outlineLevel="2" x14ac:dyDescent="0.2">
      <c r="A2043" t="str">
        <f t="shared" si="31"/>
        <v/>
      </c>
      <c r="F2043" s="1"/>
      <c r="H2043" s="1"/>
      <c r="I2043" s="2"/>
      <c r="J2043" s="2"/>
      <c r="N2043" s="2"/>
      <c r="O2043">
        <f>IFERROR(VLOOKUP($A2043,Accounts!$A:$G,3,FALSE),"")</f>
        <v>0</v>
      </c>
    </row>
    <row r="2044" spans="1:15" outlineLevel="2" x14ac:dyDescent="0.2">
      <c r="A2044" t="str">
        <f t="shared" si="31"/>
        <v/>
      </c>
      <c r="F2044" s="1"/>
      <c r="H2044" s="1"/>
      <c r="I2044" s="2"/>
      <c r="J2044" s="2"/>
      <c r="N2044" s="2"/>
      <c r="O2044">
        <f>IFERROR(VLOOKUP($A2044,Accounts!$A:$G,3,FALSE),"")</f>
        <v>0</v>
      </c>
    </row>
    <row r="2045" spans="1:15" outlineLevel="2" x14ac:dyDescent="0.2">
      <c r="A2045" t="str">
        <f t="shared" si="31"/>
        <v/>
      </c>
      <c r="F2045" s="1"/>
      <c r="H2045" s="1"/>
      <c r="I2045" s="2"/>
      <c r="J2045" s="2"/>
      <c r="N2045" s="2"/>
      <c r="O2045">
        <f>IFERROR(VLOOKUP($A2045,Accounts!$A:$G,3,FALSE),"")</f>
        <v>0</v>
      </c>
    </row>
    <row r="2046" spans="1:15" outlineLevel="2" x14ac:dyDescent="0.2">
      <c r="A2046" t="str">
        <f t="shared" si="31"/>
        <v/>
      </c>
      <c r="F2046" s="1"/>
      <c r="H2046" s="1"/>
      <c r="I2046" s="2"/>
      <c r="J2046" s="2"/>
      <c r="N2046" s="2"/>
      <c r="O2046">
        <f>IFERROR(VLOOKUP($A2046,Accounts!$A:$G,3,FALSE),"")</f>
        <v>0</v>
      </c>
    </row>
    <row r="2047" spans="1:15" outlineLevel="1" x14ac:dyDescent="0.2">
      <c r="A2047" t="str">
        <f t="shared" si="31"/>
        <v/>
      </c>
      <c r="F2047" s="1"/>
      <c r="H2047" s="1"/>
      <c r="I2047" s="2"/>
      <c r="J2047" s="2"/>
      <c r="N2047" s="2"/>
      <c r="O2047">
        <f>IFERROR(VLOOKUP($A2047,Accounts!$A:$G,3,FALSE),"")</f>
        <v>0</v>
      </c>
    </row>
    <row r="2048" spans="1:15" outlineLevel="2" x14ac:dyDescent="0.2">
      <c r="A2048" t="str">
        <f t="shared" si="31"/>
        <v/>
      </c>
      <c r="F2048" s="1"/>
      <c r="H2048" s="1"/>
      <c r="I2048" s="2"/>
      <c r="J2048" s="2"/>
      <c r="N2048" s="2"/>
      <c r="O2048">
        <f>IFERROR(VLOOKUP($A2048,Accounts!$A:$G,3,FALSE),"")</f>
        <v>0</v>
      </c>
    </row>
    <row r="2049" spans="1:15" outlineLevel="2" x14ac:dyDescent="0.2">
      <c r="A2049" t="str">
        <f t="shared" si="31"/>
        <v/>
      </c>
      <c r="F2049" s="1"/>
      <c r="H2049" s="1"/>
      <c r="I2049" s="2"/>
      <c r="J2049" s="2"/>
      <c r="N2049" s="2"/>
      <c r="O2049">
        <f>IFERROR(VLOOKUP($A2049,Accounts!$A:$G,3,FALSE),"")</f>
        <v>0</v>
      </c>
    </row>
    <row r="2050" spans="1:15" outlineLevel="2" x14ac:dyDescent="0.2">
      <c r="A2050" t="str">
        <f t="shared" si="31"/>
        <v/>
      </c>
      <c r="F2050" s="1"/>
      <c r="H2050" s="1"/>
      <c r="I2050" s="2"/>
      <c r="J2050" s="2"/>
      <c r="N2050" s="2"/>
      <c r="O2050">
        <f>IFERROR(VLOOKUP($A2050,Accounts!$A:$G,3,FALSE),"")</f>
        <v>0</v>
      </c>
    </row>
    <row r="2051" spans="1:15" outlineLevel="2" x14ac:dyDescent="0.2">
      <c r="A2051" t="str">
        <f t="shared" si="31"/>
        <v/>
      </c>
      <c r="F2051" s="1"/>
      <c r="H2051" s="1"/>
      <c r="I2051" s="2"/>
      <c r="J2051" s="2"/>
      <c r="N2051" s="2"/>
      <c r="O2051">
        <f>IFERROR(VLOOKUP($A2051,Accounts!$A:$G,3,FALSE),"")</f>
        <v>0</v>
      </c>
    </row>
    <row r="2052" spans="1:15" outlineLevel="2" x14ac:dyDescent="0.2">
      <c r="A2052" t="str">
        <f t="shared" si="31"/>
        <v/>
      </c>
      <c r="F2052" s="1"/>
      <c r="H2052" s="1"/>
      <c r="I2052" s="2"/>
      <c r="J2052" s="2"/>
      <c r="N2052" s="2"/>
      <c r="O2052">
        <f>IFERROR(VLOOKUP($A2052,Accounts!$A:$G,3,FALSE),"")</f>
        <v>0</v>
      </c>
    </row>
    <row r="2053" spans="1:15" outlineLevel="2" x14ac:dyDescent="0.2">
      <c r="A2053" t="str">
        <f t="shared" si="31"/>
        <v/>
      </c>
      <c r="F2053" s="1"/>
      <c r="H2053" s="1"/>
      <c r="I2053" s="2"/>
      <c r="J2053" s="2"/>
      <c r="N2053" s="2"/>
      <c r="O2053">
        <f>IFERROR(VLOOKUP($A2053,Accounts!$A:$G,3,FALSE),"")</f>
        <v>0</v>
      </c>
    </row>
    <row r="2054" spans="1:15" outlineLevel="2" x14ac:dyDescent="0.2">
      <c r="A2054" t="str">
        <f t="shared" si="31"/>
        <v/>
      </c>
      <c r="F2054" s="1"/>
      <c r="H2054" s="1"/>
      <c r="I2054" s="2"/>
      <c r="J2054" s="2"/>
      <c r="N2054" s="2"/>
      <c r="O2054">
        <f>IFERROR(VLOOKUP($A2054,Accounts!$A:$G,3,FALSE),"")</f>
        <v>0</v>
      </c>
    </row>
    <row r="2055" spans="1:15" outlineLevel="2" x14ac:dyDescent="0.2">
      <c r="A2055" t="str">
        <f t="shared" si="31"/>
        <v/>
      </c>
      <c r="F2055" s="1"/>
      <c r="H2055" s="1"/>
      <c r="I2055" s="2"/>
      <c r="J2055" s="2"/>
      <c r="N2055" s="2"/>
      <c r="O2055">
        <f>IFERROR(VLOOKUP($A2055,Accounts!$A:$G,3,FALSE),"")</f>
        <v>0</v>
      </c>
    </row>
    <row r="2056" spans="1:15" outlineLevel="2" x14ac:dyDescent="0.2">
      <c r="A2056" t="str">
        <f t="shared" si="31"/>
        <v/>
      </c>
      <c r="F2056" s="1"/>
      <c r="H2056" s="1"/>
      <c r="I2056" s="2"/>
      <c r="J2056" s="2"/>
      <c r="N2056" s="2"/>
      <c r="O2056">
        <f>IFERROR(VLOOKUP($A2056,Accounts!$A:$G,3,FALSE),"")</f>
        <v>0</v>
      </c>
    </row>
    <row r="2057" spans="1:15" outlineLevel="2" x14ac:dyDescent="0.2">
      <c r="A2057" t="str">
        <f t="shared" si="31"/>
        <v/>
      </c>
      <c r="F2057" s="1"/>
      <c r="H2057" s="1"/>
      <c r="I2057" s="2"/>
      <c r="J2057" s="2"/>
      <c r="N2057" s="2"/>
      <c r="O2057">
        <f>IFERROR(VLOOKUP($A2057,Accounts!$A:$G,3,FALSE),"")</f>
        <v>0</v>
      </c>
    </row>
    <row r="2058" spans="1:15" outlineLevel="2" x14ac:dyDescent="0.2">
      <c r="A2058" t="str">
        <f t="shared" ref="A2058:A2121" si="32">IFERROR(IF(J2058=0,E2058&amp;C2058&amp;I2058,G2058&amp;B2058&amp;J2058),"")</f>
        <v/>
      </c>
      <c r="F2058" s="1"/>
      <c r="H2058" s="1"/>
      <c r="I2058" s="2"/>
      <c r="J2058" s="2"/>
      <c r="N2058" s="2"/>
      <c r="O2058">
        <f>IFERROR(VLOOKUP($A2058,Accounts!$A:$G,3,FALSE),"")</f>
        <v>0</v>
      </c>
    </row>
    <row r="2059" spans="1:15" outlineLevel="2" x14ac:dyDescent="0.2">
      <c r="A2059" t="str">
        <f t="shared" si="32"/>
        <v/>
      </c>
      <c r="F2059" s="1"/>
      <c r="H2059" s="1"/>
      <c r="I2059" s="2"/>
      <c r="J2059" s="2"/>
      <c r="N2059" s="2"/>
      <c r="O2059">
        <f>IFERROR(VLOOKUP($A2059,Accounts!$A:$G,3,FALSE),"")</f>
        <v>0</v>
      </c>
    </row>
    <row r="2060" spans="1:15" outlineLevel="2" x14ac:dyDescent="0.2">
      <c r="A2060" t="str">
        <f t="shared" si="32"/>
        <v/>
      </c>
      <c r="F2060" s="1"/>
      <c r="H2060" s="1"/>
      <c r="I2060" s="2"/>
      <c r="J2060" s="2"/>
      <c r="N2060" s="2"/>
      <c r="O2060">
        <f>IFERROR(VLOOKUP($A2060,Accounts!$A:$G,3,FALSE),"")</f>
        <v>0</v>
      </c>
    </row>
    <row r="2061" spans="1:15" outlineLevel="2" x14ac:dyDescent="0.2">
      <c r="A2061" t="str">
        <f t="shared" si="32"/>
        <v/>
      </c>
      <c r="F2061" s="1"/>
      <c r="H2061" s="1"/>
      <c r="I2061" s="2"/>
      <c r="J2061" s="2"/>
      <c r="N2061" s="2"/>
      <c r="O2061">
        <f>IFERROR(VLOOKUP($A2061,Accounts!$A:$G,3,FALSE),"")</f>
        <v>0</v>
      </c>
    </row>
    <row r="2062" spans="1:15" outlineLevel="2" x14ac:dyDescent="0.2">
      <c r="A2062" t="str">
        <f t="shared" si="32"/>
        <v/>
      </c>
      <c r="F2062" s="1"/>
      <c r="H2062" s="1"/>
      <c r="I2062" s="2"/>
      <c r="J2062" s="2"/>
      <c r="N2062" s="2"/>
      <c r="O2062">
        <f>IFERROR(VLOOKUP($A2062,Accounts!$A:$G,3,FALSE),"")</f>
        <v>0</v>
      </c>
    </row>
    <row r="2063" spans="1:15" outlineLevel="2" x14ac:dyDescent="0.2">
      <c r="A2063" t="str">
        <f t="shared" si="32"/>
        <v/>
      </c>
      <c r="F2063" s="1"/>
      <c r="H2063" s="1"/>
      <c r="I2063" s="2"/>
      <c r="J2063" s="2"/>
      <c r="N2063" s="2"/>
      <c r="O2063">
        <f>IFERROR(VLOOKUP($A2063,Accounts!$A:$G,3,FALSE),"")</f>
        <v>0</v>
      </c>
    </row>
    <row r="2064" spans="1:15" outlineLevel="2" x14ac:dyDescent="0.2">
      <c r="A2064" t="str">
        <f t="shared" si="32"/>
        <v/>
      </c>
      <c r="F2064" s="1"/>
      <c r="H2064" s="1"/>
      <c r="I2064" s="2"/>
      <c r="J2064" s="2"/>
      <c r="N2064" s="2"/>
      <c r="O2064">
        <f>IFERROR(VLOOKUP($A2064,Accounts!$A:$G,3,FALSE),"")</f>
        <v>0</v>
      </c>
    </row>
    <row r="2065" spans="1:15" outlineLevel="2" x14ac:dyDescent="0.2">
      <c r="A2065" t="str">
        <f t="shared" si="32"/>
        <v/>
      </c>
      <c r="F2065" s="1"/>
      <c r="H2065" s="1"/>
      <c r="I2065" s="2"/>
      <c r="J2065" s="2"/>
      <c r="N2065" s="2"/>
      <c r="O2065">
        <f>IFERROR(VLOOKUP($A2065,Accounts!$A:$G,3,FALSE),"")</f>
        <v>0</v>
      </c>
    </row>
    <row r="2066" spans="1:15" outlineLevel="2" x14ac:dyDescent="0.2">
      <c r="A2066" t="str">
        <f t="shared" si="32"/>
        <v/>
      </c>
      <c r="F2066" s="1"/>
      <c r="H2066" s="1"/>
      <c r="I2066" s="2"/>
      <c r="J2066" s="2"/>
      <c r="N2066" s="2"/>
      <c r="O2066">
        <f>IFERROR(VLOOKUP($A2066,Accounts!$A:$G,3,FALSE),"")</f>
        <v>0</v>
      </c>
    </row>
    <row r="2067" spans="1:15" outlineLevel="2" x14ac:dyDescent="0.2">
      <c r="A2067" t="str">
        <f t="shared" si="32"/>
        <v/>
      </c>
      <c r="F2067" s="1"/>
      <c r="H2067" s="1"/>
      <c r="I2067" s="2"/>
      <c r="J2067" s="2"/>
      <c r="N2067" s="2"/>
      <c r="O2067">
        <f>IFERROR(VLOOKUP($A2067,Accounts!$A:$G,3,FALSE),"")</f>
        <v>0</v>
      </c>
    </row>
    <row r="2068" spans="1:15" outlineLevel="2" x14ac:dyDescent="0.2">
      <c r="A2068" t="str">
        <f t="shared" si="32"/>
        <v/>
      </c>
      <c r="F2068" s="1"/>
      <c r="H2068" s="1"/>
      <c r="I2068" s="2"/>
      <c r="J2068" s="2"/>
      <c r="N2068" s="2"/>
      <c r="O2068">
        <f>IFERROR(VLOOKUP($A2068,Accounts!$A:$G,3,FALSE),"")</f>
        <v>0</v>
      </c>
    </row>
    <row r="2069" spans="1:15" outlineLevel="2" x14ac:dyDescent="0.2">
      <c r="A2069" t="str">
        <f t="shared" si="32"/>
        <v/>
      </c>
      <c r="F2069" s="1"/>
      <c r="H2069" s="1"/>
      <c r="I2069" s="2"/>
      <c r="J2069" s="2"/>
      <c r="N2069" s="2"/>
      <c r="O2069">
        <f>IFERROR(VLOOKUP($A2069,Accounts!$A:$G,3,FALSE),"")</f>
        <v>0</v>
      </c>
    </row>
    <row r="2070" spans="1:15" outlineLevel="2" x14ac:dyDescent="0.2">
      <c r="A2070" t="str">
        <f t="shared" si="32"/>
        <v/>
      </c>
      <c r="F2070" s="1"/>
      <c r="H2070" s="1"/>
      <c r="I2070" s="2"/>
      <c r="J2070" s="2"/>
      <c r="N2070" s="2"/>
      <c r="O2070">
        <f>IFERROR(VLOOKUP($A2070,Accounts!$A:$G,3,FALSE),"")</f>
        <v>0</v>
      </c>
    </row>
    <row r="2071" spans="1:15" outlineLevel="2" x14ac:dyDescent="0.2">
      <c r="A2071" t="str">
        <f t="shared" si="32"/>
        <v/>
      </c>
      <c r="F2071" s="1"/>
      <c r="H2071" s="1"/>
      <c r="I2071" s="2"/>
      <c r="J2071" s="2"/>
      <c r="N2071" s="2"/>
      <c r="O2071">
        <f>IFERROR(VLOOKUP($A2071,Accounts!$A:$G,3,FALSE),"")</f>
        <v>0</v>
      </c>
    </row>
    <row r="2072" spans="1:15" outlineLevel="2" x14ac:dyDescent="0.2">
      <c r="A2072" t="str">
        <f t="shared" si="32"/>
        <v/>
      </c>
      <c r="F2072" s="1"/>
      <c r="H2072" s="1"/>
      <c r="I2072" s="2"/>
      <c r="J2072" s="2"/>
      <c r="N2072" s="2"/>
      <c r="O2072">
        <f>IFERROR(VLOOKUP($A2072,Accounts!$A:$G,3,FALSE),"")</f>
        <v>0</v>
      </c>
    </row>
    <row r="2073" spans="1:15" outlineLevel="2" x14ac:dyDescent="0.2">
      <c r="A2073" t="str">
        <f t="shared" si="32"/>
        <v/>
      </c>
      <c r="F2073" s="1"/>
      <c r="H2073" s="1"/>
      <c r="I2073" s="2"/>
      <c r="J2073" s="2"/>
      <c r="N2073" s="2"/>
      <c r="O2073">
        <f>IFERROR(VLOOKUP($A2073,Accounts!$A:$G,3,FALSE),"")</f>
        <v>0</v>
      </c>
    </row>
    <row r="2074" spans="1:15" outlineLevel="2" x14ac:dyDescent="0.2">
      <c r="A2074" t="str">
        <f t="shared" si="32"/>
        <v/>
      </c>
      <c r="F2074" s="1"/>
      <c r="H2074" s="1"/>
      <c r="I2074" s="2"/>
      <c r="J2074" s="2"/>
      <c r="N2074" s="2"/>
      <c r="O2074">
        <f>IFERROR(VLOOKUP($A2074,Accounts!$A:$G,3,FALSE),"")</f>
        <v>0</v>
      </c>
    </row>
    <row r="2075" spans="1:15" outlineLevel="2" x14ac:dyDescent="0.2">
      <c r="A2075" t="str">
        <f t="shared" si="32"/>
        <v/>
      </c>
      <c r="F2075" s="1"/>
      <c r="H2075" s="1"/>
      <c r="I2075" s="2"/>
      <c r="J2075" s="2"/>
      <c r="N2075" s="2"/>
      <c r="O2075">
        <f>IFERROR(VLOOKUP($A2075,Accounts!$A:$G,3,FALSE),"")</f>
        <v>0</v>
      </c>
    </row>
    <row r="2076" spans="1:15" outlineLevel="2" x14ac:dyDescent="0.2">
      <c r="A2076" t="str">
        <f t="shared" si="32"/>
        <v/>
      </c>
      <c r="F2076" s="1"/>
      <c r="H2076" s="1"/>
      <c r="I2076" s="2"/>
      <c r="J2076" s="2"/>
      <c r="N2076" s="2"/>
      <c r="O2076">
        <f>IFERROR(VLOOKUP($A2076,Accounts!$A:$G,3,FALSE),"")</f>
        <v>0</v>
      </c>
    </row>
    <row r="2077" spans="1:15" outlineLevel="2" x14ac:dyDescent="0.2">
      <c r="A2077" t="str">
        <f t="shared" si="32"/>
        <v/>
      </c>
      <c r="F2077" s="1"/>
      <c r="H2077" s="1"/>
      <c r="I2077" s="2"/>
      <c r="J2077" s="2"/>
      <c r="N2077" s="2"/>
      <c r="O2077">
        <f>IFERROR(VLOOKUP($A2077,Accounts!$A:$G,3,FALSE),"")</f>
        <v>0</v>
      </c>
    </row>
    <row r="2078" spans="1:15" outlineLevel="2" x14ac:dyDescent="0.2">
      <c r="A2078" t="str">
        <f t="shared" si="32"/>
        <v/>
      </c>
      <c r="F2078" s="1"/>
      <c r="H2078" s="1"/>
      <c r="I2078" s="2"/>
      <c r="J2078" s="2"/>
      <c r="N2078" s="2"/>
      <c r="O2078">
        <f>IFERROR(VLOOKUP($A2078,Accounts!$A:$G,3,FALSE),"")</f>
        <v>0</v>
      </c>
    </row>
    <row r="2079" spans="1:15" outlineLevel="2" x14ac:dyDescent="0.2">
      <c r="A2079" t="str">
        <f t="shared" si="32"/>
        <v/>
      </c>
      <c r="F2079" s="1"/>
      <c r="H2079" s="1"/>
      <c r="I2079" s="2"/>
      <c r="J2079" s="2"/>
      <c r="N2079" s="2"/>
      <c r="O2079">
        <f>IFERROR(VLOOKUP($A2079,Accounts!$A:$G,3,FALSE),"")</f>
        <v>0</v>
      </c>
    </row>
    <row r="2080" spans="1:15" outlineLevel="2" x14ac:dyDescent="0.2">
      <c r="A2080" t="str">
        <f t="shared" si="32"/>
        <v/>
      </c>
      <c r="F2080" s="1"/>
      <c r="H2080" s="1"/>
      <c r="I2080" s="2"/>
      <c r="J2080" s="2"/>
      <c r="N2080" s="2"/>
      <c r="O2080">
        <f>IFERROR(VLOOKUP($A2080,Accounts!$A:$G,3,FALSE),"")</f>
        <v>0</v>
      </c>
    </row>
    <row r="2081" spans="1:15" outlineLevel="2" x14ac:dyDescent="0.2">
      <c r="A2081" t="str">
        <f t="shared" si="32"/>
        <v/>
      </c>
      <c r="F2081" s="1"/>
      <c r="H2081" s="1"/>
      <c r="I2081" s="2"/>
      <c r="J2081" s="2"/>
      <c r="N2081" s="2"/>
      <c r="O2081">
        <f>IFERROR(VLOOKUP($A2081,Accounts!$A:$G,3,FALSE),"")</f>
        <v>0</v>
      </c>
    </row>
    <row r="2082" spans="1:15" outlineLevel="2" x14ac:dyDescent="0.2">
      <c r="A2082" t="str">
        <f t="shared" si="32"/>
        <v/>
      </c>
      <c r="F2082" s="1"/>
      <c r="H2082" s="1"/>
      <c r="I2082" s="2"/>
      <c r="J2082" s="2"/>
      <c r="N2082" s="2"/>
      <c r="O2082">
        <f>IFERROR(VLOOKUP($A2082,Accounts!$A:$G,3,FALSE),"")</f>
        <v>0</v>
      </c>
    </row>
    <row r="2083" spans="1:15" outlineLevel="2" x14ac:dyDescent="0.2">
      <c r="A2083" t="str">
        <f t="shared" si="32"/>
        <v/>
      </c>
      <c r="F2083" s="1"/>
      <c r="H2083" s="1"/>
      <c r="I2083" s="2"/>
      <c r="J2083" s="2"/>
      <c r="N2083" s="2"/>
      <c r="O2083">
        <f>IFERROR(VLOOKUP($A2083,Accounts!$A:$G,3,FALSE),"")</f>
        <v>0</v>
      </c>
    </row>
    <row r="2084" spans="1:15" outlineLevel="2" x14ac:dyDescent="0.2">
      <c r="A2084" t="str">
        <f t="shared" si="32"/>
        <v/>
      </c>
      <c r="F2084" s="1"/>
      <c r="H2084" s="1"/>
      <c r="I2084" s="2"/>
      <c r="J2084" s="2"/>
      <c r="N2084" s="2"/>
      <c r="O2084">
        <f>IFERROR(VLOOKUP($A2084,Accounts!$A:$G,3,FALSE),"")</f>
        <v>0</v>
      </c>
    </row>
    <row r="2085" spans="1:15" outlineLevel="2" x14ac:dyDescent="0.2">
      <c r="A2085" t="str">
        <f t="shared" si="32"/>
        <v/>
      </c>
      <c r="F2085" s="1"/>
      <c r="H2085" s="1"/>
      <c r="I2085" s="2"/>
      <c r="J2085" s="2"/>
      <c r="N2085" s="2"/>
      <c r="O2085">
        <f>IFERROR(VLOOKUP($A2085,Accounts!$A:$G,3,FALSE),"")</f>
        <v>0</v>
      </c>
    </row>
    <row r="2086" spans="1:15" outlineLevel="2" x14ac:dyDescent="0.2">
      <c r="A2086" t="str">
        <f t="shared" si="32"/>
        <v/>
      </c>
      <c r="F2086" s="1"/>
      <c r="H2086" s="1"/>
      <c r="I2086" s="2"/>
      <c r="J2086" s="2"/>
      <c r="N2086" s="2"/>
      <c r="O2086">
        <f>IFERROR(VLOOKUP($A2086,Accounts!$A:$G,3,FALSE),"")</f>
        <v>0</v>
      </c>
    </row>
    <row r="2087" spans="1:15" outlineLevel="2" x14ac:dyDescent="0.2">
      <c r="A2087" t="str">
        <f t="shared" si="32"/>
        <v/>
      </c>
      <c r="F2087" s="1"/>
      <c r="H2087" s="1"/>
      <c r="I2087" s="2"/>
      <c r="J2087" s="2"/>
      <c r="N2087" s="2"/>
      <c r="O2087">
        <f>IFERROR(VLOOKUP($A2087,Accounts!$A:$G,3,FALSE),"")</f>
        <v>0</v>
      </c>
    </row>
    <row r="2088" spans="1:15" outlineLevel="2" x14ac:dyDescent="0.2">
      <c r="A2088" t="str">
        <f t="shared" si="32"/>
        <v/>
      </c>
      <c r="F2088" s="1"/>
      <c r="H2088" s="1"/>
      <c r="I2088" s="2"/>
      <c r="J2088" s="2"/>
      <c r="N2088" s="2"/>
      <c r="O2088">
        <f>IFERROR(VLOOKUP($A2088,Accounts!$A:$G,3,FALSE),"")</f>
        <v>0</v>
      </c>
    </row>
    <row r="2089" spans="1:15" outlineLevel="2" x14ac:dyDescent="0.2">
      <c r="A2089" t="str">
        <f t="shared" si="32"/>
        <v/>
      </c>
      <c r="F2089" s="1"/>
      <c r="H2089" s="1"/>
      <c r="I2089" s="2"/>
      <c r="J2089" s="2"/>
      <c r="N2089" s="2"/>
      <c r="O2089">
        <f>IFERROR(VLOOKUP($A2089,Accounts!$A:$G,3,FALSE),"")</f>
        <v>0</v>
      </c>
    </row>
    <row r="2090" spans="1:15" outlineLevel="2" x14ac:dyDescent="0.2">
      <c r="A2090" t="str">
        <f t="shared" si="32"/>
        <v/>
      </c>
      <c r="F2090" s="1"/>
      <c r="H2090" s="1"/>
      <c r="I2090" s="2"/>
      <c r="J2090" s="2"/>
      <c r="N2090" s="2"/>
      <c r="O2090">
        <f>IFERROR(VLOOKUP($A2090,Accounts!$A:$G,3,FALSE),"")</f>
        <v>0</v>
      </c>
    </row>
    <row r="2091" spans="1:15" outlineLevel="2" x14ac:dyDescent="0.2">
      <c r="A2091" t="str">
        <f t="shared" si="32"/>
        <v/>
      </c>
      <c r="F2091" s="1"/>
      <c r="H2091" s="1"/>
      <c r="I2091" s="2"/>
      <c r="J2091" s="2"/>
      <c r="N2091" s="2"/>
      <c r="O2091">
        <f>IFERROR(VLOOKUP($A2091,Accounts!$A:$G,3,FALSE),"")</f>
        <v>0</v>
      </c>
    </row>
    <row r="2092" spans="1:15" outlineLevel="2" x14ac:dyDescent="0.2">
      <c r="A2092" t="str">
        <f t="shared" si="32"/>
        <v/>
      </c>
      <c r="F2092" s="1"/>
      <c r="H2092" s="1"/>
      <c r="I2092" s="2"/>
      <c r="J2092" s="2"/>
      <c r="N2092" s="2"/>
      <c r="O2092">
        <f>IFERROR(VLOOKUP($A2092,Accounts!$A:$G,3,FALSE),"")</f>
        <v>0</v>
      </c>
    </row>
    <row r="2093" spans="1:15" outlineLevel="2" x14ac:dyDescent="0.2">
      <c r="A2093" t="str">
        <f t="shared" si="32"/>
        <v/>
      </c>
      <c r="F2093" s="1"/>
      <c r="H2093" s="1"/>
      <c r="I2093" s="2"/>
      <c r="J2093" s="2"/>
      <c r="N2093" s="2"/>
      <c r="O2093">
        <f>IFERROR(VLOOKUP($A2093,Accounts!$A:$G,3,FALSE),"")</f>
        <v>0</v>
      </c>
    </row>
    <row r="2094" spans="1:15" outlineLevel="2" x14ac:dyDescent="0.2">
      <c r="A2094" t="str">
        <f t="shared" si="32"/>
        <v/>
      </c>
      <c r="F2094" s="1"/>
      <c r="H2094" s="1"/>
      <c r="I2094" s="2"/>
      <c r="J2094" s="2"/>
      <c r="N2094" s="2"/>
      <c r="O2094">
        <f>IFERROR(VLOOKUP($A2094,Accounts!$A:$G,3,FALSE),"")</f>
        <v>0</v>
      </c>
    </row>
    <row r="2095" spans="1:15" outlineLevel="2" x14ac:dyDescent="0.2">
      <c r="A2095" t="str">
        <f t="shared" si="32"/>
        <v/>
      </c>
      <c r="F2095" s="1"/>
      <c r="H2095" s="1"/>
      <c r="I2095" s="2"/>
      <c r="J2095" s="2"/>
      <c r="N2095" s="2"/>
      <c r="O2095">
        <f>IFERROR(VLOOKUP($A2095,Accounts!$A:$G,3,FALSE),"")</f>
        <v>0</v>
      </c>
    </row>
    <row r="2096" spans="1:15" outlineLevel="2" x14ac:dyDescent="0.2">
      <c r="A2096" t="str">
        <f t="shared" si="32"/>
        <v/>
      </c>
      <c r="F2096" s="1"/>
      <c r="H2096" s="1"/>
      <c r="I2096" s="2"/>
      <c r="J2096" s="2"/>
      <c r="N2096" s="2"/>
      <c r="O2096">
        <f>IFERROR(VLOOKUP($A2096,Accounts!$A:$G,3,FALSE),"")</f>
        <v>0</v>
      </c>
    </row>
    <row r="2097" spans="1:15" outlineLevel="2" x14ac:dyDescent="0.2">
      <c r="A2097" t="str">
        <f t="shared" si="32"/>
        <v/>
      </c>
      <c r="F2097" s="1"/>
      <c r="H2097" s="1"/>
      <c r="I2097" s="2"/>
      <c r="J2097" s="2"/>
      <c r="N2097" s="2"/>
      <c r="O2097">
        <f>IFERROR(VLOOKUP($A2097,Accounts!$A:$G,3,FALSE),"")</f>
        <v>0</v>
      </c>
    </row>
    <row r="2098" spans="1:15" outlineLevel="2" x14ac:dyDescent="0.2">
      <c r="A2098" t="str">
        <f t="shared" si="32"/>
        <v/>
      </c>
      <c r="F2098" s="1"/>
      <c r="H2098" s="1"/>
      <c r="I2098" s="2"/>
      <c r="J2098" s="2"/>
      <c r="N2098" s="2"/>
      <c r="O2098">
        <f>IFERROR(VLOOKUP($A2098,Accounts!$A:$G,3,FALSE),"")</f>
        <v>0</v>
      </c>
    </row>
    <row r="2099" spans="1:15" outlineLevel="2" x14ac:dyDescent="0.2">
      <c r="A2099" t="str">
        <f t="shared" si="32"/>
        <v/>
      </c>
      <c r="F2099" s="1"/>
      <c r="H2099" s="1"/>
      <c r="I2099" s="2"/>
      <c r="J2099" s="2"/>
      <c r="N2099" s="2"/>
      <c r="O2099">
        <f>IFERROR(VLOOKUP($A2099,Accounts!$A:$G,3,FALSE),"")</f>
        <v>0</v>
      </c>
    </row>
    <row r="2100" spans="1:15" outlineLevel="2" x14ac:dyDescent="0.2">
      <c r="A2100" t="str">
        <f t="shared" si="32"/>
        <v/>
      </c>
      <c r="F2100" s="1"/>
      <c r="H2100" s="1"/>
      <c r="I2100" s="2"/>
      <c r="J2100" s="2"/>
      <c r="N2100" s="2"/>
      <c r="O2100">
        <f>IFERROR(VLOOKUP($A2100,Accounts!$A:$G,3,FALSE),"")</f>
        <v>0</v>
      </c>
    </row>
    <row r="2101" spans="1:15" outlineLevel="2" x14ac:dyDescent="0.2">
      <c r="A2101" t="str">
        <f t="shared" si="32"/>
        <v/>
      </c>
      <c r="F2101" s="1"/>
      <c r="H2101" s="1"/>
      <c r="I2101" s="2"/>
      <c r="J2101" s="2"/>
      <c r="N2101" s="2"/>
      <c r="O2101">
        <f>IFERROR(VLOOKUP($A2101,Accounts!$A:$G,3,FALSE),"")</f>
        <v>0</v>
      </c>
    </row>
    <row r="2102" spans="1:15" outlineLevel="2" x14ac:dyDescent="0.2">
      <c r="A2102" t="str">
        <f t="shared" si="32"/>
        <v/>
      </c>
      <c r="F2102" s="1"/>
      <c r="H2102" s="1"/>
      <c r="I2102" s="2"/>
      <c r="J2102" s="2"/>
      <c r="N2102" s="2"/>
      <c r="O2102">
        <f>IFERROR(VLOOKUP($A2102,Accounts!$A:$G,3,FALSE),"")</f>
        <v>0</v>
      </c>
    </row>
    <row r="2103" spans="1:15" outlineLevel="2" x14ac:dyDescent="0.2">
      <c r="A2103" t="str">
        <f t="shared" si="32"/>
        <v/>
      </c>
      <c r="F2103" s="1"/>
      <c r="H2103" s="1"/>
      <c r="I2103" s="2"/>
      <c r="J2103" s="2"/>
      <c r="N2103" s="2"/>
      <c r="O2103">
        <f>IFERROR(VLOOKUP($A2103,Accounts!$A:$G,3,FALSE),"")</f>
        <v>0</v>
      </c>
    </row>
    <row r="2104" spans="1:15" outlineLevel="2" x14ac:dyDescent="0.2">
      <c r="A2104" t="str">
        <f t="shared" si="32"/>
        <v/>
      </c>
      <c r="F2104" s="1"/>
      <c r="H2104" s="1"/>
      <c r="I2104" s="2"/>
      <c r="J2104" s="2"/>
      <c r="N2104" s="2"/>
      <c r="O2104">
        <f>IFERROR(VLOOKUP($A2104,Accounts!$A:$G,3,FALSE),"")</f>
        <v>0</v>
      </c>
    </row>
    <row r="2105" spans="1:15" outlineLevel="2" x14ac:dyDescent="0.2">
      <c r="A2105" t="str">
        <f t="shared" si="32"/>
        <v/>
      </c>
      <c r="F2105" s="1"/>
      <c r="H2105" s="1"/>
      <c r="I2105" s="2"/>
      <c r="J2105" s="2"/>
      <c r="N2105" s="2"/>
      <c r="O2105">
        <f>IFERROR(VLOOKUP($A2105,Accounts!$A:$G,3,FALSE),"")</f>
        <v>0</v>
      </c>
    </row>
    <row r="2106" spans="1:15" outlineLevel="2" x14ac:dyDescent="0.2">
      <c r="A2106" t="str">
        <f t="shared" si="32"/>
        <v/>
      </c>
      <c r="F2106" s="1"/>
      <c r="H2106" s="1"/>
      <c r="I2106" s="2"/>
      <c r="J2106" s="2"/>
      <c r="N2106" s="2"/>
      <c r="O2106">
        <f>IFERROR(VLOOKUP($A2106,Accounts!$A:$G,3,FALSE),"")</f>
        <v>0</v>
      </c>
    </row>
    <row r="2107" spans="1:15" outlineLevel="2" x14ac:dyDescent="0.2">
      <c r="A2107" t="str">
        <f t="shared" si="32"/>
        <v/>
      </c>
      <c r="F2107" s="1"/>
      <c r="H2107" s="1"/>
      <c r="I2107" s="2"/>
      <c r="J2107" s="2"/>
      <c r="N2107" s="2"/>
      <c r="O2107">
        <f>IFERROR(VLOOKUP($A2107,Accounts!$A:$G,3,FALSE),"")</f>
        <v>0</v>
      </c>
    </row>
    <row r="2108" spans="1:15" outlineLevel="2" x14ac:dyDescent="0.2">
      <c r="A2108" t="str">
        <f t="shared" si="32"/>
        <v/>
      </c>
      <c r="F2108" s="1"/>
      <c r="H2108" s="1"/>
      <c r="I2108" s="2"/>
      <c r="J2108" s="2"/>
      <c r="N2108" s="2"/>
      <c r="O2108">
        <f>IFERROR(VLOOKUP($A2108,Accounts!$A:$G,3,FALSE),"")</f>
        <v>0</v>
      </c>
    </row>
    <row r="2109" spans="1:15" outlineLevel="2" x14ac:dyDescent="0.2">
      <c r="A2109" t="str">
        <f t="shared" si="32"/>
        <v/>
      </c>
      <c r="F2109" s="1"/>
      <c r="H2109" s="1"/>
      <c r="I2109" s="2"/>
      <c r="J2109" s="2"/>
      <c r="N2109" s="2"/>
      <c r="O2109">
        <f>IFERROR(VLOOKUP($A2109,Accounts!$A:$G,3,FALSE),"")</f>
        <v>0</v>
      </c>
    </row>
    <row r="2110" spans="1:15" outlineLevel="2" x14ac:dyDescent="0.2">
      <c r="A2110" t="str">
        <f t="shared" si="32"/>
        <v/>
      </c>
      <c r="F2110" s="1"/>
      <c r="H2110" s="1"/>
      <c r="I2110" s="2"/>
      <c r="J2110" s="2"/>
      <c r="N2110" s="2"/>
      <c r="O2110">
        <f>IFERROR(VLOOKUP($A2110,Accounts!$A:$G,3,FALSE),"")</f>
        <v>0</v>
      </c>
    </row>
    <row r="2111" spans="1:15" outlineLevel="2" x14ac:dyDescent="0.2">
      <c r="A2111" t="str">
        <f t="shared" si="32"/>
        <v/>
      </c>
      <c r="F2111" s="1"/>
      <c r="H2111" s="1"/>
      <c r="I2111" s="2"/>
      <c r="J2111" s="2"/>
      <c r="N2111" s="2"/>
      <c r="O2111">
        <f>IFERROR(VLOOKUP($A2111,Accounts!$A:$G,3,FALSE),"")</f>
        <v>0</v>
      </c>
    </row>
    <row r="2112" spans="1:15" outlineLevel="2" x14ac:dyDescent="0.2">
      <c r="A2112" t="str">
        <f t="shared" si="32"/>
        <v/>
      </c>
      <c r="F2112" s="1"/>
      <c r="H2112" s="1"/>
      <c r="I2112" s="2"/>
      <c r="J2112" s="2"/>
      <c r="N2112" s="2"/>
      <c r="O2112">
        <f>IFERROR(VLOOKUP($A2112,Accounts!$A:$G,3,FALSE),"")</f>
        <v>0</v>
      </c>
    </row>
    <row r="2113" spans="1:15" outlineLevel="2" x14ac:dyDescent="0.2">
      <c r="A2113" t="str">
        <f t="shared" si="32"/>
        <v/>
      </c>
      <c r="F2113" s="1"/>
      <c r="H2113" s="1"/>
      <c r="I2113" s="2"/>
      <c r="J2113" s="2"/>
      <c r="N2113" s="2"/>
      <c r="O2113">
        <f>IFERROR(VLOOKUP($A2113,Accounts!$A:$G,3,FALSE),"")</f>
        <v>0</v>
      </c>
    </row>
    <row r="2114" spans="1:15" outlineLevel="2" x14ac:dyDescent="0.2">
      <c r="A2114" t="str">
        <f t="shared" si="32"/>
        <v/>
      </c>
      <c r="F2114" s="1"/>
      <c r="H2114" s="1"/>
      <c r="I2114" s="2"/>
      <c r="J2114" s="2"/>
      <c r="N2114" s="2"/>
      <c r="O2114">
        <f>IFERROR(VLOOKUP($A2114,Accounts!$A:$G,3,FALSE),"")</f>
        <v>0</v>
      </c>
    </row>
    <row r="2115" spans="1:15" outlineLevel="2" x14ac:dyDescent="0.2">
      <c r="A2115" t="str">
        <f t="shared" si="32"/>
        <v/>
      </c>
      <c r="F2115" s="1"/>
      <c r="H2115" s="1"/>
      <c r="I2115" s="2"/>
      <c r="J2115" s="2"/>
      <c r="N2115" s="2"/>
      <c r="O2115">
        <f>IFERROR(VLOOKUP($A2115,Accounts!$A:$G,3,FALSE),"")</f>
        <v>0</v>
      </c>
    </row>
    <row r="2116" spans="1:15" outlineLevel="2" x14ac:dyDescent="0.2">
      <c r="A2116" t="str">
        <f t="shared" si="32"/>
        <v/>
      </c>
      <c r="F2116" s="1"/>
      <c r="H2116" s="1"/>
      <c r="I2116" s="2"/>
      <c r="J2116" s="2"/>
      <c r="N2116" s="2"/>
      <c r="O2116">
        <f>IFERROR(VLOOKUP($A2116,Accounts!$A:$G,3,FALSE),"")</f>
        <v>0</v>
      </c>
    </row>
    <row r="2117" spans="1:15" outlineLevel="2" x14ac:dyDescent="0.2">
      <c r="A2117" t="str">
        <f t="shared" si="32"/>
        <v/>
      </c>
      <c r="F2117" s="1"/>
      <c r="H2117" s="1"/>
      <c r="I2117" s="2"/>
      <c r="J2117" s="2"/>
      <c r="N2117" s="2"/>
      <c r="O2117">
        <f>IFERROR(VLOOKUP($A2117,Accounts!$A:$G,3,FALSE),"")</f>
        <v>0</v>
      </c>
    </row>
    <row r="2118" spans="1:15" outlineLevel="2" x14ac:dyDescent="0.2">
      <c r="A2118" t="str">
        <f t="shared" si="32"/>
        <v/>
      </c>
      <c r="F2118" s="1"/>
      <c r="H2118" s="1"/>
      <c r="I2118" s="2"/>
      <c r="J2118" s="2"/>
      <c r="N2118" s="2"/>
      <c r="O2118">
        <f>IFERROR(VLOOKUP($A2118,Accounts!$A:$G,3,FALSE),"")</f>
        <v>0</v>
      </c>
    </row>
    <row r="2119" spans="1:15" outlineLevel="2" x14ac:dyDescent="0.2">
      <c r="A2119" t="str">
        <f t="shared" si="32"/>
        <v/>
      </c>
      <c r="F2119" s="1"/>
      <c r="H2119" s="1"/>
      <c r="I2119" s="2"/>
      <c r="J2119" s="2"/>
      <c r="N2119" s="2"/>
      <c r="O2119">
        <f>IFERROR(VLOOKUP($A2119,Accounts!$A:$G,3,FALSE),"")</f>
        <v>0</v>
      </c>
    </row>
    <row r="2120" spans="1:15" outlineLevel="2" x14ac:dyDescent="0.2">
      <c r="A2120" t="str">
        <f t="shared" si="32"/>
        <v/>
      </c>
      <c r="F2120" s="1"/>
      <c r="H2120" s="1"/>
      <c r="I2120" s="2"/>
      <c r="J2120" s="2"/>
      <c r="N2120" s="2"/>
      <c r="O2120">
        <f>IFERROR(VLOOKUP($A2120,Accounts!$A:$G,3,FALSE),"")</f>
        <v>0</v>
      </c>
    </row>
    <row r="2121" spans="1:15" outlineLevel="2" x14ac:dyDescent="0.2">
      <c r="A2121" t="str">
        <f t="shared" si="32"/>
        <v/>
      </c>
      <c r="F2121" s="1"/>
      <c r="H2121" s="1"/>
      <c r="I2121" s="2"/>
      <c r="J2121" s="2"/>
      <c r="N2121" s="2"/>
      <c r="O2121">
        <f>IFERROR(VLOOKUP($A2121,Accounts!$A:$G,3,FALSE),"")</f>
        <v>0</v>
      </c>
    </row>
    <row r="2122" spans="1:15" outlineLevel="2" x14ac:dyDescent="0.2">
      <c r="A2122" t="str">
        <f t="shared" ref="A2122:A2185" si="33">IFERROR(IF(J2122=0,E2122&amp;C2122&amp;I2122,G2122&amp;B2122&amp;J2122),"")</f>
        <v/>
      </c>
      <c r="F2122" s="1"/>
      <c r="H2122" s="1"/>
      <c r="I2122" s="2"/>
      <c r="J2122" s="2"/>
      <c r="N2122" s="2"/>
      <c r="O2122">
        <f>IFERROR(VLOOKUP($A2122,Accounts!$A:$G,3,FALSE),"")</f>
        <v>0</v>
      </c>
    </row>
    <row r="2123" spans="1:15" outlineLevel="2" x14ac:dyDescent="0.2">
      <c r="A2123" t="str">
        <f t="shared" si="33"/>
        <v/>
      </c>
      <c r="F2123" s="1"/>
      <c r="H2123" s="1"/>
      <c r="I2123" s="2"/>
      <c r="J2123" s="2"/>
      <c r="N2123" s="2"/>
      <c r="O2123">
        <f>IFERROR(VLOOKUP($A2123,Accounts!$A:$G,3,FALSE),"")</f>
        <v>0</v>
      </c>
    </row>
    <row r="2124" spans="1:15" outlineLevel="2" x14ac:dyDescent="0.2">
      <c r="A2124" t="str">
        <f t="shared" si="33"/>
        <v/>
      </c>
      <c r="F2124" s="1"/>
      <c r="H2124" s="1"/>
      <c r="I2124" s="2"/>
      <c r="J2124" s="2"/>
      <c r="N2124" s="2"/>
      <c r="O2124">
        <f>IFERROR(VLOOKUP($A2124,Accounts!$A:$G,3,FALSE),"")</f>
        <v>0</v>
      </c>
    </row>
    <row r="2125" spans="1:15" outlineLevel="1" x14ac:dyDescent="0.2">
      <c r="A2125" t="str">
        <f t="shared" si="33"/>
        <v/>
      </c>
      <c r="F2125" s="1"/>
      <c r="H2125" s="1"/>
      <c r="I2125" s="2"/>
      <c r="J2125" s="2"/>
      <c r="N2125" s="2"/>
      <c r="O2125">
        <f>IFERROR(VLOOKUP($A2125,Accounts!$A:$G,3,FALSE),"")</f>
        <v>0</v>
      </c>
    </row>
    <row r="2126" spans="1:15" outlineLevel="2" x14ac:dyDescent="0.2">
      <c r="A2126" t="str">
        <f t="shared" si="33"/>
        <v/>
      </c>
      <c r="F2126" s="1"/>
      <c r="H2126" s="1"/>
      <c r="I2126" s="2"/>
      <c r="J2126" s="2"/>
      <c r="N2126" s="2"/>
      <c r="O2126">
        <f>IFERROR(VLOOKUP($A2126,Accounts!$A:$G,3,FALSE),"")</f>
        <v>0</v>
      </c>
    </row>
    <row r="2127" spans="1:15" outlineLevel="1" x14ac:dyDescent="0.2">
      <c r="A2127" t="str">
        <f t="shared" si="33"/>
        <v/>
      </c>
      <c r="F2127" s="1"/>
      <c r="H2127" s="1"/>
      <c r="I2127" s="2"/>
      <c r="J2127" s="2"/>
      <c r="N2127" s="2"/>
      <c r="O2127">
        <f>IFERROR(VLOOKUP($A2127,Accounts!$A:$G,3,FALSE),"")</f>
        <v>0</v>
      </c>
    </row>
    <row r="2128" spans="1:15" outlineLevel="2" x14ac:dyDescent="0.2">
      <c r="A2128" t="str">
        <f t="shared" si="33"/>
        <v/>
      </c>
      <c r="F2128" s="1"/>
      <c r="H2128" s="1"/>
      <c r="I2128" s="2"/>
      <c r="J2128" s="2"/>
      <c r="N2128" s="2"/>
      <c r="O2128">
        <f>IFERROR(VLOOKUP($A2128,Accounts!$A:$G,3,FALSE),"")</f>
        <v>0</v>
      </c>
    </row>
    <row r="2129" spans="1:15" outlineLevel="1" x14ac:dyDescent="0.2">
      <c r="A2129" t="str">
        <f t="shared" si="33"/>
        <v/>
      </c>
      <c r="F2129" s="1"/>
      <c r="H2129" s="1"/>
      <c r="I2129" s="2"/>
      <c r="J2129" s="2"/>
      <c r="N2129" s="2"/>
      <c r="O2129">
        <f>IFERROR(VLOOKUP($A2129,Accounts!$A:$G,3,FALSE),"")</f>
        <v>0</v>
      </c>
    </row>
    <row r="2130" spans="1:15" outlineLevel="2" x14ac:dyDescent="0.2">
      <c r="A2130" t="str">
        <f t="shared" si="33"/>
        <v/>
      </c>
      <c r="F2130" s="1"/>
      <c r="H2130" s="1"/>
      <c r="I2130" s="2"/>
      <c r="J2130" s="2"/>
      <c r="N2130" s="2"/>
      <c r="O2130">
        <f>IFERROR(VLOOKUP($A2130,Accounts!$A:$G,3,FALSE),"")</f>
        <v>0</v>
      </c>
    </row>
    <row r="2131" spans="1:15" outlineLevel="2" x14ac:dyDescent="0.2">
      <c r="A2131" t="str">
        <f t="shared" si="33"/>
        <v/>
      </c>
      <c r="F2131" s="1"/>
      <c r="H2131" s="1"/>
      <c r="I2131" s="2"/>
      <c r="J2131" s="2"/>
      <c r="N2131" s="2"/>
      <c r="O2131">
        <f>IFERROR(VLOOKUP($A2131,Accounts!$A:$G,3,FALSE),"")</f>
        <v>0</v>
      </c>
    </row>
    <row r="2132" spans="1:15" outlineLevel="2" x14ac:dyDescent="0.2">
      <c r="A2132" t="str">
        <f t="shared" si="33"/>
        <v/>
      </c>
      <c r="F2132" s="1"/>
      <c r="H2132" s="1"/>
      <c r="I2132" s="2"/>
      <c r="J2132" s="2"/>
      <c r="N2132" s="2"/>
      <c r="O2132">
        <f>IFERROR(VLOOKUP($A2132,Accounts!$A:$G,3,FALSE),"")</f>
        <v>0</v>
      </c>
    </row>
    <row r="2133" spans="1:15" outlineLevel="2" x14ac:dyDescent="0.2">
      <c r="A2133" t="str">
        <f t="shared" si="33"/>
        <v/>
      </c>
      <c r="F2133" s="1"/>
      <c r="H2133" s="1"/>
      <c r="I2133" s="2"/>
      <c r="J2133" s="2"/>
      <c r="N2133" s="2"/>
      <c r="O2133">
        <f>IFERROR(VLOOKUP($A2133,Accounts!$A:$G,3,FALSE),"")</f>
        <v>0</v>
      </c>
    </row>
    <row r="2134" spans="1:15" outlineLevel="2" x14ac:dyDescent="0.2">
      <c r="A2134" t="str">
        <f t="shared" si="33"/>
        <v/>
      </c>
      <c r="F2134" s="1"/>
      <c r="H2134" s="1"/>
      <c r="I2134" s="2"/>
      <c r="J2134" s="2"/>
      <c r="N2134" s="2"/>
      <c r="O2134">
        <f>IFERROR(VLOOKUP($A2134,Accounts!$A:$G,3,FALSE),"")</f>
        <v>0</v>
      </c>
    </row>
    <row r="2135" spans="1:15" outlineLevel="2" x14ac:dyDescent="0.2">
      <c r="A2135" t="str">
        <f t="shared" si="33"/>
        <v/>
      </c>
      <c r="F2135" s="1"/>
      <c r="H2135" s="1"/>
      <c r="I2135" s="2"/>
      <c r="J2135" s="2"/>
      <c r="N2135" s="2"/>
      <c r="O2135">
        <f>IFERROR(VLOOKUP($A2135,Accounts!$A:$G,3,FALSE),"")</f>
        <v>0</v>
      </c>
    </row>
    <row r="2136" spans="1:15" outlineLevel="2" x14ac:dyDescent="0.2">
      <c r="A2136" t="str">
        <f t="shared" si="33"/>
        <v/>
      </c>
      <c r="F2136" s="1"/>
      <c r="H2136" s="1"/>
      <c r="I2136" s="2"/>
      <c r="J2136" s="2"/>
      <c r="N2136" s="2"/>
      <c r="O2136">
        <f>IFERROR(VLOOKUP($A2136,Accounts!$A:$G,3,FALSE),"")</f>
        <v>0</v>
      </c>
    </row>
    <row r="2137" spans="1:15" outlineLevel="2" x14ac:dyDescent="0.2">
      <c r="A2137" t="str">
        <f t="shared" si="33"/>
        <v/>
      </c>
      <c r="F2137" s="1"/>
      <c r="H2137" s="1"/>
      <c r="I2137" s="2"/>
      <c r="J2137" s="2"/>
      <c r="N2137" s="2"/>
      <c r="O2137">
        <f>IFERROR(VLOOKUP($A2137,Accounts!$A:$G,3,FALSE),"")</f>
        <v>0</v>
      </c>
    </row>
    <row r="2138" spans="1:15" outlineLevel="2" x14ac:dyDescent="0.2">
      <c r="A2138" t="str">
        <f t="shared" si="33"/>
        <v/>
      </c>
      <c r="F2138" s="1"/>
      <c r="H2138" s="1"/>
      <c r="I2138" s="2"/>
      <c r="J2138" s="2"/>
      <c r="N2138" s="2"/>
      <c r="O2138">
        <f>IFERROR(VLOOKUP($A2138,Accounts!$A:$G,3,FALSE),"")</f>
        <v>0</v>
      </c>
    </row>
    <row r="2139" spans="1:15" outlineLevel="2" x14ac:dyDescent="0.2">
      <c r="A2139" t="str">
        <f t="shared" si="33"/>
        <v/>
      </c>
      <c r="F2139" s="1"/>
      <c r="H2139" s="1"/>
      <c r="I2139" s="2"/>
      <c r="J2139" s="2"/>
      <c r="N2139" s="2"/>
      <c r="O2139">
        <f>IFERROR(VLOOKUP($A2139,Accounts!$A:$G,3,FALSE),"")</f>
        <v>0</v>
      </c>
    </row>
    <row r="2140" spans="1:15" outlineLevel="2" x14ac:dyDescent="0.2">
      <c r="A2140" t="str">
        <f t="shared" si="33"/>
        <v/>
      </c>
      <c r="F2140" s="1"/>
      <c r="H2140" s="1"/>
      <c r="I2140" s="2"/>
      <c r="J2140" s="2"/>
      <c r="N2140" s="2"/>
      <c r="O2140">
        <f>IFERROR(VLOOKUP($A2140,Accounts!$A:$G,3,FALSE),"")</f>
        <v>0</v>
      </c>
    </row>
    <row r="2141" spans="1:15" outlineLevel="2" x14ac:dyDescent="0.2">
      <c r="A2141" t="str">
        <f t="shared" si="33"/>
        <v/>
      </c>
      <c r="F2141" s="1"/>
      <c r="H2141" s="1"/>
      <c r="I2141" s="2"/>
      <c r="J2141" s="2"/>
      <c r="N2141" s="2"/>
      <c r="O2141">
        <f>IFERROR(VLOOKUP($A2141,Accounts!$A:$G,3,FALSE),"")</f>
        <v>0</v>
      </c>
    </row>
    <row r="2142" spans="1:15" outlineLevel="2" x14ac:dyDescent="0.2">
      <c r="A2142" t="str">
        <f t="shared" si="33"/>
        <v/>
      </c>
      <c r="F2142" s="1"/>
      <c r="H2142" s="1"/>
      <c r="I2142" s="2"/>
      <c r="J2142" s="2"/>
      <c r="N2142" s="2"/>
      <c r="O2142">
        <f>IFERROR(VLOOKUP($A2142,Accounts!$A:$G,3,FALSE),"")</f>
        <v>0</v>
      </c>
    </row>
    <row r="2143" spans="1:15" outlineLevel="2" x14ac:dyDescent="0.2">
      <c r="A2143" t="str">
        <f t="shared" si="33"/>
        <v/>
      </c>
      <c r="F2143" s="1"/>
      <c r="H2143" s="1"/>
      <c r="I2143" s="2"/>
      <c r="J2143" s="2"/>
      <c r="N2143" s="2"/>
      <c r="O2143">
        <f>IFERROR(VLOOKUP($A2143,Accounts!$A:$G,3,FALSE),"")</f>
        <v>0</v>
      </c>
    </row>
    <row r="2144" spans="1:15" outlineLevel="2" x14ac:dyDescent="0.2">
      <c r="A2144" t="str">
        <f t="shared" si="33"/>
        <v/>
      </c>
      <c r="F2144" s="1"/>
      <c r="H2144" s="1"/>
      <c r="I2144" s="2"/>
      <c r="J2144" s="2"/>
      <c r="N2144" s="2"/>
      <c r="O2144">
        <f>IFERROR(VLOOKUP($A2144,Accounts!$A:$G,3,FALSE),"")</f>
        <v>0</v>
      </c>
    </row>
    <row r="2145" spans="1:15" outlineLevel="2" x14ac:dyDescent="0.2">
      <c r="A2145" t="str">
        <f t="shared" si="33"/>
        <v/>
      </c>
      <c r="F2145" s="1"/>
      <c r="H2145" s="1"/>
      <c r="I2145" s="2"/>
      <c r="J2145" s="2"/>
      <c r="N2145" s="2"/>
      <c r="O2145">
        <f>IFERROR(VLOOKUP($A2145,Accounts!$A:$G,3,FALSE),"")</f>
        <v>0</v>
      </c>
    </row>
    <row r="2146" spans="1:15" outlineLevel="2" x14ac:dyDescent="0.2">
      <c r="A2146" t="str">
        <f t="shared" si="33"/>
        <v/>
      </c>
      <c r="F2146" s="1"/>
      <c r="H2146" s="1"/>
      <c r="I2146" s="2"/>
      <c r="J2146" s="2"/>
      <c r="N2146" s="2"/>
      <c r="O2146">
        <f>IFERROR(VLOOKUP($A2146,Accounts!$A:$G,3,FALSE),"")</f>
        <v>0</v>
      </c>
    </row>
    <row r="2147" spans="1:15" outlineLevel="2" x14ac:dyDescent="0.2">
      <c r="A2147" t="str">
        <f t="shared" si="33"/>
        <v/>
      </c>
      <c r="F2147" s="1"/>
      <c r="H2147" s="1"/>
      <c r="I2147" s="2"/>
      <c r="J2147" s="2"/>
      <c r="N2147" s="2"/>
      <c r="O2147">
        <f>IFERROR(VLOOKUP($A2147,Accounts!$A:$G,3,FALSE),"")</f>
        <v>0</v>
      </c>
    </row>
    <row r="2148" spans="1:15" outlineLevel="2" x14ac:dyDescent="0.2">
      <c r="A2148" t="str">
        <f t="shared" si="33"/>
        <v/>
      </c>
      <c r="F2148" s="1"/>
      <c r="H2148" s="1"/>
      <c r="I2148" s="2"/>
      <c r="J2148" s="2"/>
      <c r="N2148" s="2"/>
      <c r="O2148">
        <f>IFERROR(VLOOKUP($A2148,Accounts!$A:$G,3,FALSE),"")</f>
        <v>0</v>
      </c>
    </row>
    <row r="2149" spans="1:15" outlineLevel="2" x14ac:dyDescent="0.2">
      <c r="A2149" t="str">
        <f t="shared" si="33"/>
        <v/>
      </c>
      <c r="F2149" s="1"/>
      <c r="H2149" s="1"/>
      <c r="I2149" s="2"/>
      <c r="J2149" s="2"/>
      <c r="N2149" s="2"/>
      <c r="O2149">
        <f>IFERROR(VLOOKUP($A2149,Accounts!$A:$G,3,FALSE),"")</f>
        <v>0</v>
      </c>
    </row>
    <row r="2150" spans="1:15" outlineLevel="2" x14ac:dyDescent="0.2">
      <c r="A2150" t="str">
        <f t="shared" si="33"/>
        <v/>
      </c>
      <c r="F2150" s="1"/>
      <c r="H2150" s="1"/>
      <c r="I2150" s="2"/>
      <c r="J2150" s="2"/>
      <c r="N2150" s="2"/>
      <c r="O2150">
        <f>IFERROR(VLOOKUP($A2150,Accounts!$A:$G,3,FALSE),"")</f>
        <v>0</v>
      </c>
    </row>
    <row r="2151" spans="1:15" outlineLevel="2" x14ac:dyDescent="0.2">
      <c r="A2151" t="str">
        <f t="shared" si="33"/>
        <v/>
      </c>
      <c r="F2151" s="1"/>
      <c r="H2151" s="1"/>
      <c r="I2151" s="2"/>
      <c r="J2151" s="2"/>
      <c r="N2151" s="2"/>
      <c r="O2151">
        <f>IFERROR(VLOOKUP($A2151,Accounts!$A:$G,3,FALSE),"")</f>
        <v>0</v>
      </c>
    </row>
    <row r="2152" spans="1:15" outlineLevel="2" x14ac:dyDescent="0.2">
      <c r="A2152" t="str">
        <f t="shared" si="33"/>
        <v/>
      </c>
      <c r="F2152" s="1"/>
      <c r="H2152" s="1"/>
      <c r="I2152" s="2"/>
      <c r="J2152" s="2"/>
      <c r="N2152" s="2"/>
      <c r="O2152">
        <f>IFERROR(VLOOKUP($A2152,Accounts!$A:$G,3,FALSE),"")</f>
        <v>0</v>
      </c>
    </row>
    <row r="2153" spans="1:15" outlineLevel="2" x14ac:dyDescent="0.2">
      <c r="A2153" t="str">
        <f t="shared" si="33"/>
        <v/>
      </c>
      <c r="F2153" s="1"/>
      <c r="H2153" s="1"/>
      <c r="I2153" s="2"/>
      <c r="J2153" s="2"/>
      <c r="N2153" s="2"/>
      <c r="O2153">
        <f>IFERROR(VLOOKUP($A2153,Accounts!$A:$G,3,FALSE),"")</f>
        <v>0</v>
      </c>
    </row>
    <row r="2154" spans="1:15" outlineLevel="2" x14ac:dyDescent="0.2">
      <c r="A2154" t="str">
        <f t="shared" si="33"/>
        <v/>
      </c>
      <c r="F2154" s="1"/>
      <c r="H2154" s="1"/>
      <c r="I2154" s="2"/>
      <c r="J2154" s="2"/>
      <c r="N2154" s="2"/>
      <c r="O2154">
        <f>IFERROR(VLOOKUP($A2154,Accounts!$A:$G,3,FALSE),"")</f>
        <v>0</v>
      </c>
    </row>
    <row r="2155" spans="1:15" outlineLevel="2" x14ac:dyDescent="0.2">
      <c r="A2155" t="str">
        <f t="shared" si="33"/>
        <v/>
      </c>
      <c r="F2155" s="1"/>
      <c r="H2155" s="1"/>
      <c r="I2155" s="2"/>
      <c r="J2155" s="2"/>
      <c r="N2155" s="2"/>
      <c r="O2155">
        <f>IFERROR(VLOOKUP($A2155,Accounts!$A:$G,3,FALSE),"")</f>
        <v>0</v>
      </c>
    </row>
    <row r="2156" spans="1:15" outlineLevel="1" x14ac:dyDescent="0.2">
      <c r="A2156" t="str">
        <f t="shared" si="33"/>
        <v/>
      </c>
      <c r="F2156" s="1"/>
      <c r="H2156" s="1"/>
      <c r="I2156" s="2"/>
      <c r="J2156" s="2"/>
      <c r="N2156" s="2"/>
      <c r="O2156">
        <f>IFERROR(VLOOKUP($A2156,Accounts!$A:$G,3,FALSE),"")</f>
        <v>0</v>
      </c>
    </row>
    <row r="2157" spans="1:15" outlineLevel="2" x14ac:dyDescent="0.2">
      <c r="A2157" t="str">
        <f t="shared" si="33"/>
        <v/>
      </c>
      <c r="F2157" s="1"/>
      <c r="H2157" s="1"/>
      <c r="I2157" s="2"/>
      <c r="J2157" s="2"/>
      <c r="N2157" s="2"/>
      <c r="O2157">
        <f>IFERROR(VLOOKUP($A2157,Accounts!$A:$G,3,FALSE),"")</f>
        <v>0</v>
      </c>
    </row>
    <row r="2158" spans="1:15" outlineLevel="2" x14ac:dyDescent="0.2">
      <c r="A2158" t="str">
        <f t="shared" si="33"/>
        <v/>
      </c>
      <c r="F2158" s="1"/>
      <c r="H2158" s="1"/>
      <c r="I2158" s="2"/>
      <c r="J2158" s="2"/>
      <c r="N2158" s="2"/>
      <c r="O2158">
        <f>IFERROR(VLOOKUP($A2158,Accounts!$A:$G,3,FALSE),"")</f>
        <v>0</v>
      </c>
    </row>
    <row r="2159" spans="1:15" outlineLevel="1" x14ac:dyDescent="0.2">
      <c r="A2159" t="str">
        <f t="shared" si="33"/>
        <v/>
      </c>
      <c r="F2159" s="1"/>
      <c r="H2159" s="1"/>
      <c r="I2159" s="2"/>
      <c r="J2159" s="2"/>
      <c r="N2159" s="2"/>
      <c r="O2159">
        <f>IFERROR(VLOOKUP($A2159,Accounts!$A:$G,3,FALSE),"")</f>
        <v>0</v>
      </c>
    </row>
    <row r="2160" spans="1:15" outlineLevel="2" x14ac:dyDescent="0.2">
      <c r="A2160" t="str">
        <f t="shared" si="33"/>
        <v/>
      </c>
      <c r="F2160" s="1"/>
      <c r="H2160" s="1"/>
      <c r="I2160" s="2"/>
      <c r="J2160" s="2"/>
      <c r="N2160" s="2"/>
      <c r="O2160">
        <f>IFERROR(VLOOKUP($A2160,Accounts!$A:$G,3,FALSE),"")</f>
        <v>0</v>
      </c>
    </row>
    <row r="2161" spans="1:15" outlineLevel="2" x14ac:dyDescent="0.2">
      <c r="A2161" t="str">
        <f t="shared" si="33"/>
        <v/>
      </c>
      <c r="F2161" s="1"/>
      <c r="H2161" s="1"/>
      <c r="I2161" s="2"/>
      <c r="J2161" s="2"/>
      <c r="N2161" s="2"/>
      <c r="O2161">
        <f>IFERROR(VLOOKUP($A2161,Accounts!$A:$G,3,FALSE),"")</f>
        <v>0</v>
      </c>
    </row>
    <row r="2162" spans="1:15" outlineLevel="1" x14ac:dyDescent="0.2">
      <c r="A2162" t="str">
        <f t="shared" si="33"/>
        <v/>
      </c>
      <c r="F2162" s="1"/>
      <c r="H2162" s="1"/>
      <c r="I2162" s="2"/>
      <c r="J2162" s="2"/>
      <c r="N2162" s="2"/>
      <c r="O2162">
        <f>IFERROR(VLOOKUP($A2162,Accounts!$A:$G,3,FALSE),"")</f>
        <v>0</v>
      </c>
    </row>
    <row r="2163" spans="1:15" outlineLevel="2" x14ac:dyDescent="0.2">
      <c r="A2163" t="str">
        <f t="shared" si="33"/>
        <v/>
      </c>
      <c r="F2163" s="1"/>
      <c r="H2163" s="1"/>
      <c r="I2163" s="2"/>
      <c r="J2163" s="2"/>
      <c r="N2163" s="2"/>
      <c r="O2163">
        <f>IFERROR(VLOOKUP($A2163,Accounts!$A:$G,3,FALSE),"")</f>
        <v>0</v>
      </c>
    </row>
    <row r="2164" spans="1:15" outlineLevel="2" x14ac:dyDescent="0.2">
      <c r="A2164" t="str">
        <f t="shared" si="33"/>
        <v/>
      </c>
      <c r="F2164" s="1"/>
      <c r="H2164" s="1"/>
      <c r="I2164" s="2"/>
      <c r="J2164" s="2"/>
      <c r="N2164" s="2"/>
      <c r="O2164">
        <f>IFERROR(VLOOKUP($A2164,Accounts!$A:$G,3,FALSE),"")</f>
        <v>0</v>
      </c>
    </row>
    <row r="2165" spans="1:15" outlineLevel="2" x14ac:dyDescent="0.2">
      <c r="A2165" t="str">
        <f t="shared" si="33"/>
        <v/>
      </c>
      <c r="F2165" s="1"/>
      <c r="H2165" s="1"/>
      <c r="I2165" s="2"/>
      <c r="J2165" s="2"/>
      <c r="N2165" s="2"/>
      <c r="O2165">
        <f>IFERROR(VLOOKUP($A2165,Accounts!$A:$G,3,FALSE),"")</f>
        <v>0</v>
      </c>
    </row>
    <row r="2166" spans="1:15" outlineLevel="2" x14ac:dyDescent="0.2">
      <c r="A2166" t="str">
        <f t="shared" si="33"/>
        <v/>
      </c>
      <c r="F2166" s="1"/>
      <c r="H2166" s="1"/>
      <c r="I2166" s="2"/>
      <c r="J2166" s="2"/>
      <c r="N2166" s="2"/>
      <c r="O2166">
        <f>IFERROR(VLOOKUP($A2166,Accounts!$A:$G,3,FALSE),"")</f>
        <v>0</v>
      </c>
    </row>
    <row r="2167" spans="1:15" outlineLevel="1" x14ac:dyDescent="0.2">
      <c r="A2167" t="str">
        <f t="shared" si="33"/>
        <v/>
      </c>
      <c r="F2167" s="1"/>
      <c r="H2167" s="1"/>
      <c r="I2167" s="2"/>
      <c r="J2167" s="2"/>
      <c r="N2167" s="2"/>
      <c r="O2167">
        <f>IFERROR(VLOOKUP($A2167,Accounts!$A:$G,3,FALSE),"")</f>
        <v>0</v>
      </c>
    </row>
    <row r="2168" spans="1:15" outlineLevel="2" x14ac:dyDescent="0.2">
      <c r="A2168" t="str">
        <f t="shared" si="33"/>
        <v/>
      </c>
      <c r="F2168" s="1"/>
      <c r="H2168" s="1"/>
      <c r="I2168" s="2"/>
      <c r="J2168" s="2"/>
      <c r="N2168" s="2"/>
      <c r="O2168">
        <f>IFERROR(VLOOKUP($A2168,Accounts!$A:$G,3,FALSE),"")</f>
        <v>0</v>
      </c>
    </row>
    <row r="2169" spans="1:15" outlineLevel="2" x14ac:dyDescent="0.2">
      <c r="A2169" t="str">
        <f t="shared" si="33"/>
        <v/>
      </c>
      <c r="F2169" s="1"/>
      <c r="H2169" s="1"/>
      <c r="I2169" s="2"/>
      <c r="J2169" s="2"/>
      <c r="N2169" s="2"/>
      <c r="O2169">
        <f>IFERROR(VLOOKUP($A2169,Accounts!$A:$G,3,FALSE),"")</f>
        <v>0</v>
      </c>
    </row>
    <row r="2170" spans="1:15" outlineLevel="2" x14ac:dyDescent="0.2">
      <c r="A2170" t="str">
        <f t="shared" si="33"/>
        <v/>
      </c>
      <c r="F2170" s="1"/>
      <c r="H2170" s="1"/>
      <c r="I2170" s="2"/>
      <c r="J2170" s="2"/>
      <c r="N2170" s="2"/>
      <c r="O2170">
        <f>IFERROR(VLOOKUP($A2170,Accounts!$A:$G,3,FALSE),"")</f>
        <v>0</v>
      </c>
    </row>
    <row r="2171" spans="1:15" outlineLevel="2" x14ac:dyDescent="0.2">
      <c r="A2171" t="str">
        <f t="shared" si="33"/>
        <v/>
      </c>
      <c r="F2171" s="1"/>
      <c r="H2171" s="1"/>
      <c r="I2171" s="2"/>
      <c r="J2171" s="2"/>
      <c r="N2171" s="2"/>
      <c r="O2171">
        <f>IFERROR(VLOOKUP($A2171,Accounts!$A:$G,3,FALSE),"")</f>
        <v>0</v>
      </c>
    </row>
    <row r="2172" spans="1:15" outlineLevel="2" x14ac:dyDescent="0.2">
      <c r="A2172" t="str">
        <f t="shared" si="33"/>
        <v/>
      </c>
      <c r="F2172" s="1"/>
      <c r="H2172" s="1"/>
      <c r="I2172" s="2"/>
      <c r="J2172" s="2"/>
      <c r="N2172" s="2"/>
      <c r="O2172">
        <f>IFERROR(VLOOKUP($A2172,Accounts!$A:$G,3,FALSE),"")</f>
        <v>0</v>
      </c>
    </row>
    <row r="2173" spans="1:15" outlineLevel="2" x14ac:dyDescent="0.2">
      <c r="A2173" t="str">
        <f t="shared" si="33"/>
        <v/>
      </c>
      <c r="F2173" s="1"/>
      <c r="H2173" s="1"/>
      <c r="I2173" s="2"/>
      <c r="J2173" s="2"/>
      <c r="N2173" s="2"/>
      <c r="O2173">
        <f>IFERROR(VLOOKUP($A2173,Accounts!$A:$G,3,FALSE),"")</f>
        <v>0</v>
      </c>
    </row>
    <row r="2174" spans="1:15" outlineLevel="2" x14ac:dyDescent="0.2">
      <c r="A2174" t="str">
        <f t="shared" si="33"/>
        <v/>
      </c>
      <c r="F2174" s="1"/>
      <c r="H2174" s="1"/>
      <c r="I2174" s="2"/>
      <c r="J2174" s="2"/>
      <c r="N2174" s="2"/>
      <c r="O2174">
        <f>IFERROR(VLOOKUP($A2174,Accounts!$A:$G,3,FALSE),"")</f>
        <v>0</v>
      </c>
    </row>
    <row r="2175" spans="1:15" outlineLevel="2" x14ac:dyDescent="0.2">
      <c r="A2175" t="str">
        <f t="shared" si="33"/>
        <v/>
      </c>
      <c r="F2175" s="1"/>
      <c r="H2175" s="1"/>
      <c r="I2175" s="2"/>
      <c r="J2175" s="2"/>
      <c r="N2175" s="2"/>
      <c r="O2175">
        <f>IFERROR(VLOOKUP($A2175,Accounts!$A:$G,3,FALSE),"")</f>
        <v>0</v>
      </c>
    </row>
    <row r="2176" spans="1:15" outlineLevel="2" x14ac:dyDescent="0.2">
      <c r="A2176" t="str">
        <f t="shared" si="33"/>
        <v/>
      </c>
      <c r="F2176" s="1"/>
      <c r="H2176" s="1"/>
      <c r="I2176" s="2"/>
      <c r="J2176" s="2"/>
      <c r="N2176" s="2"/>
      <c r="O2176">
        <f>IFERROR(VLOOKUP($A2176,Accounts!$A:$G,3,FALSE),"")</f>
        <v>0</v>
      </c>
    </row>
    <row r="2177" spans="1:15" outlineLevel="2" x14ac:dyDescent="0.2">
      <c r="A2177" t="str">
        <f t="shared" si="33"/>
        <v/>
      </c>
      <c r="F2177" s="1"/>
      <c r="H2177" s="1"/>
      <c r="I2177" s="2"/>
      <c r="J2177" s="2"/>
      <c r="N2177" s="2"/>
      <c r="O2177">
        <f>IFERROR(VLOOKUP($A2177,Accounts!$A:$G,3,FALSE),"")</f>
        <v>0</v>
      </c>
    </row>
    <row r="2178" spans="1:15" outlineLevel="2" x14ac:dyDescent="0.2">
      <c r="A2178" t="str">
        <f t="shared" si="33"/>
        <v/>
      </c>
      <c r="F2178" s="1"/>
      <c r="H2178" s="1"/>
      <c r="I2178" s="2"/>
      <c r="J2178" s="2"/>
      <c r="N2178" s="2"/>
      <c r="O2178">
        <f>IFERROR(VLOOKUP($A2178,Accounts!$A:$G,3,FALSE),"")</f>
        <v>0</v>
      </c>
    </row>
    <row r="2179" spans="1:15" outlineLevel="2" x14ac:dyDescent="0.2">
      <c r="A2179" t="str">
        <f t="shared" si="33"/>
        <v/>
      </c>
      <c r="F2179" s="1"/>
      <c r="H2179" s="1"/>
      <c r="I2179" s="2"/>
      <c r="J2179" s="2"/>
      <c r="N2179" s="2"/>
      <c r="O2179">
        <f>IFERROR(VLOOKUP($A2179,Accounts!$A:$G,3,FALSE),"")</f>
        <v>0</v>
      </c>
    </row>
    <row r="2180" spans="1:15" outlineLevel="2" x14ac:dyDescent="0.2">
      <c r="A2180" t="str">
        <f t="shared" si="33"/>
        <v/>
      </c>
      <c r="F2180" s="1"/>
      <c r="H2180" s="1"/>
      <c r="I2180" s="2"/>
      <c r="J2180" s="2"/>
      <c r="N2180" s="2"/>
      <c r="O2180">
        <f>IFERROR(VLOOKUP($A2180,Accounts!$A:$G,3,FALSE),"")</f>
        <v>0</v>
      </c>
    </row>
    <row r="2181" spans="1:15" outlineLevel="2" x14ac:dyDescent="0.2">
      <c r="A2181" t="str">
        <f t="shared" si="33"/>
        <v/>
      </c>
      <c r="F2181" s="1"/>
      <c r="H2181" s="1"/>
      <c r="I2181" s="2"/>
      <c r="J2181" s="2"/>
      <c r="N2181" s="2"/>
      <c r="O2181">
        <f>IFERROR(VLOOKUP($A2181,Accounts!$A:$G,3,FALSE),"")</f>
        <v>0</v>
      </c>
    </row>
    <row r="2182" spans="1:15" outlineLevel="2" x14ac:dyDescent="0.2">
      <c r="A2182" t="str">
        <f t="shared" si="33"/>
        <v/>
      </c>
      <c r="F2182" s="1"/>
      <c r="H2182" s="1"/>
      <c r="I2182" s="2"/>
      <c r="J2182" s="2"/>
      <c r="N2182" s="2"/>
      <c r="O2182">
        <f>IFERROR(VLOOKUP($A2182,Accounts!$A:$G,3,FALSE),"")</f>
        <v>0</v>
      </c>
    </row>
    <row r="2183" spans="1:15" outlineLevel="2" x14ac:dyDescent="0.2">
      <c r="A2183" t="str">
        <f t="shared" si="33"/>
        <v/>
      </c>
      <c r="F2183" s="1"/>
      <c r="H2183" s="1"/>
      <c r="I2183" s="2"/>
      <c r="J2183" s="2"/>
      <c r="N2183" s="2"/>
      <c r="O2183">
        <f>IFERROR(VLOOKUP($A2183,Accounts!$A:$G,3,FALSE),"")</f>
        <v>0</v>
      </c>
    </row>
    <row r="2184" spans="1:15" outlineLevel="2" x14ac:dyDescent="0.2">
      <c r="A2184" t="str">
        <f t="shared" si="33"/>
        <v/>
      </c>
      <c r="F2184" s="1"/>
      <c r="H2184" s="1"/>
      <c r="I2184" s="2"/>
      <c r="J2184" s="2"/>
      <c r="N2184" s="2"/>
      <c r="O2184">
        <f>IFERROR(VLOOKUP($A2184,Accounts!$A:$G,3,FALSE),"")</f>
        <v>0</v>
      </c>
    </row>
    <row r="2185" spans="1:15" outlineLevel="2" x14ac:dyDescent="0.2">
      <c r="A2185" t="str">
        <f t="shared" si="33"/>
        <v/>
      </c>
      <c r="F2185" s="1"/>
      <c r="H2185" s="1"/>
      <c r="I2185" s="2"/>
      <c r="J2185" s="2"/>
      <c r="N2185" s="2"/>
      <c r="O2185">
        <f>IFERROR(VLOOKUP($A2185,Accounts!$A:$G,3,FALSE),"")</f>
        <v>0</v>
      </c>
    </row>
    <row r="2186" spans="1:15" outlineLevel="2" x14ac:dyDescent="0.2">
      <c r="A2186" t="str">
        <f t="shared" ref="A2186:A2249" si="34">IFERROR(IF(J2186=0,E2186&amp;C2186&amp;I2186,G2186&amp;B2186&amp;J2186),"")</f>
        <v/>
      </c>
      <c r="F2186" s="1"/>
      <c r="H2186" s="1"/>
      <c r="I2186" s="2"/>
      <c r="J2186" s="2"/>
      <c r="N2186" s="2"/>
      <c r="O2186">
        <f>IFERROR(VLOOKUP($A2186,Accounts!$A:$G,3,FALSE),"")</f>
        <v>0</v>
      </c>
    </row>
    <row r="2187" spans="1:15" outlineLevel="2" x14ac:dyDescent="0.2">
      <c r="A2187" t="str">
        <f t="shared" si="34"/>
        <v/>
      </c>
      <c r="F2187" s="1"/>
      <c r="H2187" s="1"/>
      <c r="I2187" s="2"/>
      <c r="J2187" s="2"/>
      <c r="N2187" s="2"/>
      <c r="O2187">
        <f>IFERROR(VLOOKUP($A2187,Accounts!$A:$G,3,FALSE),"")</f>
        <v>0</v>
      </c>
    </row>
    <row r="2188" spans="1:15" outlineLevel="2" x14ac:dyDescent="0.2">
      <c r="A2188" t="str">
        <f t="shared" si="34"/>
        <v/>
      </c>
      <c r="F2188" s="1"/>
      <c r="H2188" s="1"/>
      <c r="I2188" s="2"/>
      <c r="J2188" s="2"/>
      <c r="N2188" s="2"/>
      <c r="O2188">
        <f>IFERROR(VLOOKUP($A2188,Accounts!$A:$G,3,FALSE),"")</f>
        <v>0</v>
      </c>
    </row>
    <row r="2189" spans="1:15" outlineLevel="2" x14ac:dyDescent="0.2">
      <c r="A2189" t="str">
        <f t="shared" si="34"/>
        <v/>
      </c>
      <c r="F2189" s="1"/>
      <c r="H2189" s="1"/>
      <c r="I2189" s="2"/>
      <c r="J2189" s="2"/>
      <c r="N2189" s="2"/>
      <c r="O2189">
        <f>IFERROR(VLOOKUP($A2189,Accounts!$A:$G,3,FALSE),"")</f>
        <v>0</v>
      </c>
    </row>
    <row r="2190" spans="1:15" outlineLevel="2" x14ac:dyDescent="0.2">
      <c r="A2190" t="str">
        <f t="shared" si="34"/>
        <v/>
      </c>
      <c r="F2190" s="1"/>
      <c r="H2190" s="1"/>
      <c r="I2190" s="2"/>
      <c r="J2190" s="2"/>
      <c r="N2190" s="2"/>
      <c r="O2190">
        <f>IFERROR(VLOOKUP($A2190,Accounts!$A:$G,3,FALSE),"")</f>
        <v>0</v>
      </c>
    </row>
    <row r="2191" spans="1:15" outlineLevel="2" x14ac:dyDescent="0.2">
      <c r="A2191" t="str">
        <f t="shared" si="34"/>
        <v/>
      </c>
      <c r="F2191" s="1"/>
      <c r="H2191" s="1"/>
      <c r="I2191" s="2"/>
      <c r="J2191" s="2"/>
      <c r="N2191" s="2"/>
      <c r="O2191">
        <f>IFERROR(VLOOKUP($A2191,Accounts!$A:$G,3,FALSE),"")</f>
        <v>0</v>
      </c>
    </row>
    <row r="2192" spans="1:15" outlineLevel="2" x14ac:dyDescent="0.2">
      <c r="A2192" t="str">
        <f t="shared" si="34"/>
        <v/>
      </c>
      <c r="F2192" s="1"/>
      <c r="H2192" s="1"/>
      <c r="I2192" s="2"/>
      <c r="J2192" s="2"/>
      <c r="N2192" s="2"/>
      <c r="O2192">
        <f>IFERROR(VLOOKUP($A2192,Accounts!$A:$G,3,FALSE),"")</f>
        <v>0</v>
      </c>
    </row>
    <row r="2193" spans="1:15" outlineLevel="2" x14ac:dyDescent="0.2">
      <c r="A2193" t="str">
        <f t="shared" si="34"/>
        <v/>
      </c>
      <c r="F2193" s="1"/>
      <c r="H2193" s="1"/>
      <c r="I2193" s="2"/>
      <c r="J2193" s="2"/>
      <c r="N2193" s="2"/>
      <c r="O2193">
        <f>IFERROR(VLOOKUP($A2193,Accounts!$A:$G,3,FALSE),"")</f>
        <v>0</v>
      </c>
    </row>
    <row r="2194" spans="1:15" outlineLevel="2" x14ac:dyDescent="0.2">
      <c r="A2194" t="str">
        <f t="shared" si="34"/>
        <v/>
      </c>
      <c r="F2194" s="1"/>
      <c r="H2194" s="1"/>
      <c r="I2194" s="2"/>
      <c r="J2194" s="2"/>
      <c r="N2194" s="2"/>
      <c r="O2194">
        <f>IFERROR(VLOOKUP($A2194,Accounts!$A:$G,3,FALSE),"")</f>
        <v>0</v>
      </c>
    </row>
    <row r="2195" spans="1:15" outlineLevel="2" x14ac:dyDescent="0.2">
      <c r="A2195" t="str">
        <f t="shared" si="34"/>
        <v/>
      </c>
      <c r="F2195" s="1"/>
      <c r="H2195" s="1"/>
      <c r="I2195" s="2"/>
      <c r="J2195" s="2"/>
      <c r="N2195" s="2"/>
      <c r="O2195">
        <f>IFERROR(VLOOKUP($A2195,Accounts!$A:$G,3,FALSE),"")</f>
        <v>0</v>
      </c>
    </row>
    <row r="2196" spans="1:15" outlineLevel="2" x14ac:dyDescent="0.2">
      <c r="A2196" t="str">
        <f t="shared" si="34"/>
        <v/>
      </c>
      <c r="F2196" s="1"/>
      <c r="H2196" s="1"/>
      <c r="I2196" s="2"/>
      <c r="J2196" s="2"/>
      <c r="N2196" s="2"/>
      <c r="O2196">
        <f>IFERROR(VLOOKUP($A2196,Accounts!$A:$G,3,FALSE),"")</f>
        <v>0</v>
      </c>
    </row>
    <row r="2197" spans="1:15" outlineLevel="2" x14ac:dyDescent="0.2">
      <c r="A2197" t="str">
        <f t="shared" si="34"/>
        <v/>
      </c>
      <c r="F2197" s="1"/>
      <c r="H2197" s="1"/>
      <c r="I2197" s="2"/>
      <c r="J2197" s="2"/>
      <c r="N2197" s="2"/>
      <c r="O2197">
        <f>IFERROR(VLOOKUP($A2197,Accounts!$A:$G,3,FALSE),"")</f>
        <v>0</v>
      </c>
    </row>
    <row r="2198" spans="1:15" outlineLevel="2" x14ac:dyDescent="0.2">
      <c r="A2198" t="str">
        <f t="shared" si="34"/>
        <v/>
      </c>
      <c r="F2198" s="1"/>
      <c r="H2198" s="1"/>
      <c r="I2198" s="2"/>
      <c r="J2198" s="2"/>
      <c r="N2198" s="2"/>
      <c r="O2198">
        <f>IFERROR(VLOOKUP($A2198,Accounts!$A:$G,3,FALSE),"")</f>
        <v>0</v>
      </c>
    </row>
    <row r="2199" spans="1:15" outlineLevel="2" x14ac:dyDescent="0.2">
      <c r="A2199" t="str">
        <f t="shared" si="34"/>
        <v/>
      </c>
      <c r="F2199" s="1"/>
      <c r="H2199" s="1"/>
      <c r="I2199" s="2"/>
      <c r="J2199" s="2"/>
      <c r="N2199" s="2"/>
      <c r="O2199">
        <f>IFERROR(VLOOKUP($A2199,Accounts!$A:$G,3,FALSE),"")</f>
        <v>0</v>
      </c>
    </row>
    <row r="2200" spans="1:15" outlineLevel="2" x14ac:dyDescent="0.2">
      <c r="A2200" t="str">
        <f t="shared" si="34"/>
        <v/>
      </c>
      <c r="F2200" s="1"/>
      <c r="H2200" s="1"/>
      <c r="I2200" s="2"/>
      <c r="J2200" s="2"/>
      <c r="N2200" s="2"/>
      <c r="O2200">
        <f>IFERROR(VLOOKUP($A2200,Accounts!$A:$G,3,FALSE),"")</f>
        <v>0</v>
      </c>
    </row>
    <row r="2201" spans="1:15" outlineLevel="2" x14ac:dyDescent="0.2">
      <c r="A2201" t="str">
        <f t="shared" si="34"/>
        <v/>
      </c>
      <c r="F2201" s="1"/>
      <c r="H2201" s="1"/>
      <c r="I2201" s="2"/>
      <c r="J2201" s="2"/>
      <c r="N2201" s="2"/>
      <c r="O2201">
        <f>IFERROR(VLOOKUP($A2201,Accounts!$A:$G,3,FALSE),"")</f>
        <v>0</v>
      </c>
    </row>
    <row r="2202" spans="1:15" outlineLevel="1" x14ac:dyDescent="0.2">
      <c r="A2202" t="str">
        <f t="shared" si="34"/>
        <v/>
      </c>
      <c r="F2202" s="1"/>
      <c r="H2202" s="1"/>
      <c r="I2202" s="2"/>
      <c r="J2202" s="2"/>
      <c r="N2202" s="2"/>
      <c r="O2202">
        <f>IFERROR(VLOOKUP($A2202,Accounts!$A:$G,3,FALSE),"")</f>
        <v>0</v>
      </c>
    </row>
    <row r="2203" spans="1:15" x14ac:dyDescent="0.2">
      <c r="A2203" t="str">
        <f t="shared" si="34"/>
        <v/>
      </c>
      <c r="F2203" s="1"/>
      <c r="H2203" s="1"/>
      <c r="I2203" s="2"/>
      <c r="J2203" s="2"/>
      <c r="N2203" s="2"/>
      <c r="O2203">
        <f>IFERROR(VLOOKUP($A2203,Accounts!$A:$G,3,FALSE),"")</f>
        <v>0</v>
      </c>
    </row>
    <row r="2204" spans="1:15" x14ac:dyDescent="0.2">
      <c r="A2204" t="str">
        <f t="shared" si="34"/>
        <v/>
      </c>
      <c r="F2204" s="1"/>
      <c r="H2204" s="1"/>
      <c r="I2204" s="2"/>
      <c r="J2204" s="2"/>
      <c r="N2204" s="2"/>
      <c r="O2204">
        <f>IFERROR(VLOOKUP($A2204,Accounts!$A:$G,3,FALSE),"")</f>
        <v>0</v>
      </c>
    </row>
    <row r="2205" spans="1:15" x14ac:dyDescent="0.2">
      <c r="A2205" t="str">
        <f t="shared" si="34"/>
        <v/>
      </c>
      <c r="F2205" s="1"/>
      <c r="H2205" s="1"/>
      <c r="I2205" s="2"/>
      <c r="J2205" s="2"/>
      <c r="N2205" s="2"/>
      <c r="O2205">
        <f>IFERROR(VLOOKUP($A2205,Accounts!$A:$G,3,FALSE),"")</f>
        <v>0</v>
      </c>
    </row>
    <row r="2206" spans="1:15" x14ac:dyDescent="0.2">
      <c r="A2206" t="str">
        <f t="shared" si="34"/>
        <v/>
      </c>
      <c r="F2206" s="1"/>
      <c r="H2206" s="1"/>
      <c r="I2206" s="2"/>
      <c r="J2206" s="2"/>
      <c r="N2206" s="2"/>
      <c r="O2206">
        <f>IFERROR(VLOOKUP($A2206,Accounts!$A:$G,3,FALSE),"")</f>
        <v>0</v>
      </c>
    </row>
    <row r="2207" spans="1:15" x14ac:dyDescent="0.2">
      <c r="A2207" t="str">
        <f t="shared" si="34"/>
        <v/>
      </c>
      <c r="F2207" s="1"/>
      <c r="H2207" s="1"/>
      <c r="I2207" s="2"/>
      <c r="J2207" s="2"/>
      <c r="N2207" s="2"/>
      <c r="O2207">
        <f>IFERROR(VLOOKUP($A2207,Accounts!$A:$G,3,FALSE),"")</f>
        <v>0</v>
      </c>
    </row>
    <row r="2208" spans="1:15" x14ac:dyDescent="0.2">
      <c r="A2208" t="str">
        <f t="shared" si="34"/>
        <v/>
      </c>
      <c r="F2208" s="1"/>
      <c r="H2208" s="1"/>
      <c r="I2208" s="2"/>
      <c r="J2208" s="2"/>
      <c r="N2208" s="2"/>
      <c r="O2208">
        <f>IFERROR(VLOOKUP($A2208,Accounts!$A:$G,3,FALSE),"")</f>
        <v>0</v>
      </c>
    </row>
    <row r="2209" spans="1:15" x14ac:dyDescent="0.2">
      <c r="A2209" t="str">
        <f t="shared" si="34"/>
        <v/>
      </c>
      <c r="F2209" s="1"/>
      <c r="H2209" s="1"/>
      <c r="I2209" s="2"/>
      <c r="J2209" s="2"/>
      <c r="N2209" s="2"/>
      <c r="O2209">
        <f>IFERROR(VLOOKUP($A2209,Accounts!$A:$G,3,FALSE),"")</f>
        <v>0</v>
      </c>
    </row>
    <row r="2210" spans="1:15" x14ac:dyDescent="0.2">
      <c r="A2210" t="str">
        <f t="shared" si="34"/>
        <v/>
      </c>
      <c r="F2210" s="1"/>
      <c r="H2210" s="1"/>
      <c r="I2210" s="2"/>
      <c r="J2210" s="2"/>
      <c r="N2210" s="2"/>
      <c r="O2210">
        <f>IFERROR(VLOOKUP($A2210,Accounts!$A:$G,3,FALSE),"")</f>
        <v>0</v>
      </c>
    </row>
    <row r="2211" spans="1:15" x14ac:dyDescent="0.2">
      <c r="A2211" t="str">
        <f t="shared" si="34"/>
        <v/>
      </c>
      <c r="F2211" s="1"/>
      <c r="H2211" s="1"/>
      <c r="I2211" s="2"/>
      <c r="J2211" s="2"/>
      <c r="N2211" s="2"/>
      <c r="O2211">
        <f>IFERROR(VLOOKUP($A2211,Accounts!$A:$G,3,FALSE),"")</f>
        <v>0</v>
      </c>
    </row>
    <row r="2212" spans="1:15" x14ac:dyDescent="0.2">
      <c r="A2212" t="str">
        <f t="shared" si="34"/>
        <v/>
      </c>
      <c r="F2212" s="1"/>
      <c r="H2212" s="1"/>
      <c r="I2212" s="2"/>
      <c r="J2212" s="2"/>
      <c r="N2212" s="2"/>
      <c r="O2212">
        <f>IFERROR(VLOOKUP($A2212,Accounts!$A:$G,3,FALSE),"")</f>
        <v>0</v>
      </c>
    </row>
    <row r="2213" spans="1:15" x14ac:dyDescent="0.2">
      <c r="A2213" t="str">
        <f t="shared" si="34"/>
        <v/>
      </c>
      <c r="F2213" s="1"/>
      <c r="H2213" s="1"/>
      <c r="I2213" s="2"/>
      <c r="J2213" s="2"/>
      <c r="N2213" s="2"/>
      <c r="O2213">
        <f>IFERROR(VLOOKUP($A2213,Accounts!$A:$G,3,FALSE),"")</f>
        <v>0</v>
      </c>
    </row>
    <row r="2214" spans="1:15" x14ac:dyDescent="0.2">
      <c r="A2214" t="str">
        <f t="shared" si="34"/>
        <v/>
      </c>
      <c r="F2214" s="1"/>
      <c r="H2214" s="1"/>
      <c r="I2214" s="2"/>
      <c r="J2214" s="2"/>
      <c r="N2214" s="2"/>
      <c r="O2214">
        <f>IFERROR(VLOOKUP($A2214,Accounts!$A:$G,3,FALSE),"")</f>
        <v>0</v>
      </c>
    </row>
    <row r="2215" spans="1:15" x14ac:dyDescent="0.2">
      <c r="A2215" t="str">
        <f t="shared" si="34"/>
        <v/>
      </c>
      <c r="F2215" s="1"/>
      <c r="H2215" s="1"/>
      <c r="I2215" s="2"/>
      <c r="J2215" s="2"/>
      <c r="N2215" s="2"/>
      <c r="O2215">
        <f>IFERROR(VLOOKUP($A2215,Accounts!$A:$G,3,FALSE),"")</f>
        <v>0</v>
      </c>
    </row>
    <row r="2216" spans="1:15" x14ac:dyDescent="0.2">
      <c r="A2216" t="str">
        <f t="shared" si="34"/>
        <v/>
      </c>
      <c r="F2216" s="1"/>
      <c r="H2216" s="1"/>
      <c r="I2216" s="2"/>
      <c r="J2216" s="2"/>
      <c r="N2216" s="2"/>
      <c r="O2216">
        <f>IFERROR(VLOOKUP($A2216,Accounts!$A:$G,3,FALSE),"")</f>
        <v>0</v>
      </c>
    </row>
    <row r="2217" spans="1:15" x14ac:dyDescent="0.2">
      <c r="A2217" t="str">
        <f t="shared" si="34"/>
        <v/>
      </c>
      <c r="F2217" s="1"/>
      <c r="H2217" s="1"/>
      <c r="I2217" s="2"/>
      <c r="J2217" s="2"/>
      <c r="N2217" s="2"/>
      <c r="O2217">
        <f>IFERROR(VLOOKUP($A2217,Accounts!$A:$G,3,FALSE),"")</f>
        <v>0</v>
      </c>
    </row>
    <row r="2218" spans="1:15" x14ac:dyDescent="0.2">
      <c r="A2218" t="str">
        <f t="shared" si="34"/>
        <v/>
      </c>
      <c r="F2218" s="1"/>
      <c r="H2218" s="1"/>
      <c r="I2218" s="2"/>
      <c r="J2218" s="2"/>
      <c r="N2218" s="2"/>
      <c r="O2218">
        <f>IFERROR(VLOOKUP($A2218,Accounts!$A:$G,3,FALSE),"")</f>
        <v>0</v>
      </c>
    </row>
    <row r="2219" spans="1:15" x14ac:dyDescent="0.2">
      <c r="A2219" t="str">
        <f t="shared" si="34"/>
        <v/>
      </c>
      <c r="F2219" s="1"/>
      <c r="H2219" s="1"/>
      <c r="I2219" s="2"/>
      <c r="J2219" s="2"/>
      <c r="N2219" s="2"/>
      <c r="O2219">
        <f>IFERROR(VLOOKUP($A2219,Accounts!$A:$G,3,FALSE),"")</f>
        <v>0</v>
      </c>
    </row>
    <row r="2220" spans="1:15" x14ac:dyDescent="0.2">
      <c r="A2220" t="str">
        <f t="shared" si="34"/>
        <v/>
      </c>
      <c r="F2220" s="1"/>
      <c r="H2220" s="1"/>
      <c r="I2220" s="2"/>
      <c r="J2220" s="2"/>
      <c r="N2220" s="2"/>
      <c r="O2220">
        <f>IFERROR(VLOOKUP($A2220,Accounts!$A:$G,3,FALSE),"")</f>
        <v>0</v>
      </c>
    </row>
    <row r="2221" spans="1:15" x14ac:dyDescent="0.2">
      <c r="A2221" t="str">
        <f t="shared" si="34"/>
        <v/>
      </c>
      <c r="F2221" s="1"/>
      <c r="H2221" s="1"/>
      <c r="I2221" s="2"/>
      <c r="J2221" s="2"/>
      <c r="N2221" s="2"/>
      <c r="O2221">
        <f>IFERROR(VLOOKUP($A2221,Accounts!$A:$G,3,FALSE),"")</f>
        <v>0</v>
      </c>
    </row>
    <row r="2222" spans="1:15" x14ac:dyDescent="0.2">
      <c r="A2222" t="str">
        <f t="shared" si="34"/>
        <v/>
      </c>
      <c r="F2222" s="1"/>
      <c r="H2222" s="1"/>
      <c r="I2222" s="2"/>
      <c r="J2222" s="2"/>
      <c r="N2222" s="2"/>
      <c r="O2222">
        <f>IFERROR(VLOOKUP($A2222,Accounts!$A:$G,3,FALSE),"")</f>
        <v>0</v>
      </c>
    </row>
    <row r="2223" spans="1:15" x14ac:dyDescent="0.2">
      <c r="A2223" t="str">
        <f t="shared" si="34"/>
        <v/>
      </c>
      <c r="F2223" s="1"/>
      <c r="H2223" s="1"/>
      <c r="I2223" s="2"/>
      <c r="J2223" s="2"/>
      <c r="N2223" s="2"/>
      <c r="O2223">
        <f>IFERROR(VLOOKUP($A2223,Accounts!$A:$G,3,FALSE),"")</f>
        <v>0</v>
      </c>
    </row>
    <row r="2224" spans="1:15" x14ac:dyDescent="0.2">
      <c r="A2224" t="str">
        <f t="shared" si="34"/>
        <v/>
      </c>
      <c r="F2224" s="1"/>
      <c r="H2224" s="1"/>
      <c r="I2224" s="2"/>
      <c r="J2224" s="2"/>
      <c r="N2224" s="2"/>
      <c r="O2224">
        <f>IFERROR(VLOOKUP($A2224,Accounts!$A:$G,3,FALSE),"")</f>
        <v>0</v>
      </c>
    </row>
    <row r="2225" spans="1:15" x14ac:dyDescent="0.2">
      <c r="A2225" t="str">
        <f t="shared" si="34"/>
        <v/>
      </c>
      <c r="F2225" s="1"/>
      <c r="H2225" s="1"/>
      <c r="I2225" s="2"/>
      <c r="J2225" s="2"/>
      <c r="N2225" s="2"/>
      <c r="O2225">
        <f>IFERROR(VLOOKUP($A2225,Accounts!$A:$G,3,FALSE),"")</f>
        <v>0</v>
      </c>
    </row>
    <row r="2226" spans="1:15" x14ac:dyDescent="0.2">
      <c r="A2226" t="str">
        <f t="shared" si="34"/>
        <v/>
      </c>
      <c r="F2226" s="1"/>
      <c r="H2226" s="1"/>
      <c r="I2226" s="2"/>
      <c r="J2226" s="2"/>
      <c r="N2226" s="2"/>
      <c r="O2226">
        <f>IFERROR(VLOOKUP($A2226,Accounts!$A:$G,3,FALSE),"")</f>
        <v>0</v>
      </c>
    </row>
    <row r="2227" spans="1:15" x14ac:dyDescent="0.2">
      <c r="A2227" t="str">
        <f t="shared" si="34"/>
        <v/>
      </c>
      <c r="F2227" s="1"/>
      <c r="H2227" s="1"/>
      <c r="I2227" s="2"/>
      <c r="J2227" s="2"/>
      <c r="N2227" s="2"/>
      <c r="O2227">
        <f>IFERROR(VLOOKUP($A2227,Accounts!$A:$G,3,FALSE),"")</f>
        <v>0</v>
      </c>
    </row>
    <row r="2228" spans="1:15" x14ac:dyDescent="0.2">
      <c r="A2228" t="str">
        <f t="shared" si="34"/>
        <v/>
      </c>
      <c r="F2228" s="1"/>
      <c r="H2228" s="1"/>
      <c r="I2228" s="2"/>
      <c r="J2228" s="2"/>
      <c r="N2228" s="2"/>
      <c r="O2228">
        <f>IFERROR(VLOOKUP($A2228,Accounts!$A:$G,3,FALSE),"")</f>
        <v>0</v>
      </c>
    </row>
    <row r="2229" spans="1:15" x14ac:dyDescent="0.2">
      <c r="A2229" t="str">
        <f t="shared" si="34"/>
        <v/>
      </c>
      <c r="F2229" s="1"/>
      <c r="H2229" s="1"/>
      <c r="I2229" s="2"/>
      <c r="J2229" s="2"/>
      <c r="N2229" s="2"/>
      <c r="O2229">
        <f>IFERROR(VLOOKUP($A2229,Accounts!$A:$G,3,FALSE),"")</f>
        <v>0</v>
      </c>
    </row>
    <row r="2230" spans="1:15" x14ac:dyDescent="0.2">
      <c r="A2230" t="str">
        <f t="shared" si="34"/>
        <v/>
      </c>
      <c r="F2230" s="1"/>
      <c r="H2230" s="1"/>
      <c r="I2230" s="2"/>
      <c r="J2230" s="2"/>
      <c r="N2230" s="2"/>
      <c r="O2230">
        <f>IFERROR(VLOOKUP($A2230,Accounts!$A:$G,3,FALSE),"")</f>
        <v>0</v>
      </c>
    </row>
    <row r="2231" spans="1:15" x14ac:dyDescent="0.2">
      <c r="A2231" t="str">
        <f t="shared" si="34"/>
        <v/>
      </c>
      <c r="F2231" s="1"/>
      <c r="H2231" s="1"/>
      <c r="I2231" s="2"/>
      <c r="J2231" s="2"/>
      <c r="N2231" s="2"/>
      <c r="O2231">
        <f>IFERROR(VLOOKUP($A2231,Accounts!$A:$G,3,FALSE),"")</f>
        <v>0</v>
      </c>
    </row>
    <row r="2232" spans="1:15" x14ac:dyDescent="0.2">
      <c r="A2232" t="str">
        <f t="shared" si="34"/>
        <v/>
      </c>
      <c r="F2232" s="1"/>
      <c r="H2232" s="1"/>
      <c r="I2232" s="2"/>
      <c r="J2232" s="2"/>
      <c r="N2232" s="2"/>
      <c r="O2232">
        <f>IFERROR(VLOOKUP($A2232,Accounts!$A:$G,3,FALSE),"")</f>
        <v>0</v>
      </c>
    </row>
    <row r="2233" spans="1:15" x14ac:dyDescent="0.2">
      <c r="A2233" t="str">
        <f t="shared" si="34"/>
        <v/>
      </c>
      <c r="F2233" s="1"/>
      <c r="H2233" s="1"/>
      <c r="I2233" s="2"/>
      <c r="J2233" s="2"/>
      <c r="N2233" s="2"/>
      <c r="O2233">
        <f>IFERROR(VLOOKUP($A2233,Accounts!$A:$G,3,FALSE),"")</f>
        <v>0</v>
      </c>
    </row>
    <row r="2234" spans="1:15" x14ac:dyDescent="0.2">
      <c r="A2234" t="str">
        <f t="shared" si="34"/>
        <v/>
      </c>
      <c r="F2234" s="1"/>
      <c r="H2234" s="1"/>
      <c r="I2234" s="2"/>
      <c r="J2234" s="2"/>
      <c r="N2234" s="2"/>
      <c r="O2234">
        <f>IFERROR(VLOOKUP($A2234,Accounts!$A:$G,3,FALSE),"")</f>
        <v>0</v>
      </c>
    </row>
    <row r="2235" spans="1:15" x14ac:dyDescent="0.2">
      <c r="A2235" t="str">
        <f t="shared" si="34"/>
        <v/>
      </c>
      <c r="F2235" s="1"/>
      <c r="H2235" s="1"/>
      <c r="I2235" s="2"/>
      <c r="J2235" s="2"/>
      <c r="N2235" s="2"/>
      <c r="O2235">
        <f>IFERROR(VLOOKUP($A2235,Accounts!$A:$G,3,FALSE),"")</f>
        <v>0</v>
      </c>
    </row>
    <row r="2236" spans="1:15" x14ac:dyDescent="0.2">
      <c r="A2236" t="str">
        <f t="shared" si="34"/>
        <v/>
      </c>
      <c r="F2236" s="1"/>
      <c r="H2236" s="1"/>
      <c r="I2236" s="2"/>
      <c r="J2236" s="2"/>
      <c r="N2236" s="2"/>
      <c r="O2236">
        <f>IFERROR(VLOOKUP($A2236,Accounts!$A:$G,3,FALSE),"")</f>
        <v>0</v>
      </c>
    </row>
    <row r="2237" spans="1:15" x14ac:dyDescent="0.2">
      <c r="A2237" t="str">
        <f t="shared" si="34"/>
        <v/>
      </c>
      <c r="F2237" s="1"/>
      <c r="H2237" s="1"/>
      <c r="I2237" s="2"/>
      <c r="J2237" s="2"/>
      <c r="N2237" s="2"/>
      <c r="O2237">
        <f>IFERROR(VLOOKUP($A2237,Accounts!$A:$G,3,FALSE),"")</f>
        <v>0</v>
      </c>
    </row>
    <row r="2238" spans="1:15" x14ac:dyDescent="0.2">
      <c r="A2238" t="str">
        <f t="shared" si="34"/>
        <v/>
      </c>
      <c r="F2238" s="1"/>
      <c r="H2238" s="1"/>
      <c r="I2238" s="2"/>
      <c r="J2238" s="2"/>
      <c r="N2238" s="2"/>
      <c r="O2238">
        <f>IFERROR(VLOOKUP($A2238,Accounts!$A:$G,3,FALSE),"")</f>
        <v>0</v>
      </c>
    </row>
    <row r="2239" spans="1:15" x14ac:dyDescent="0.2">
      <c r="A2239" t="str">
        <f t="shared" si="34"/>
        <v/>
      </c>
      <c r="F2239" s="1"/>
      <c r="H2239" s="1"/>
      <c r="I2239" s="2"/>
      <c r="J2239" s="2"/>
      <c r="N2239" s="2"/>
      <c r="O2239">
        <f>IFERROR(VLOOKUP($A2239,Accounts!$A:$G,3,FALSE),"")</f>
        <v>0</v>
      </c>
    </row>
    <row r="2240" spans="1:15" x14ac:dyDescent="0.2">
      <c r="A2240" t="str">
        <f t="shared" si="34"/>
        <v/>
      </c>
      <c r="F2240" s="1"/>
      <c r="H2240" s="1"/>
      <c r="I2240" s="2"/>
      <c r="J2240" s="2"/>
      <c r="N2240" s="2"/>
      <c r="O2240">
        <f>IFERROR(VLOOKUP($A2240,Accounts!$A:$G,3,FALSE),"")</f>
        <v>0</v>
      </c>
    </row>
    <row r="2241" spans="1:15" x14ac:dyDescent="0.2">
      <c r="A2241" t="str">
        <f t="shared" si="34"/>
        <v/>
      </c>
      <c r="F2241" s="1"/>
      <c r="H2241" s="1"/>
      <c r="I2241" s="2"/>
      <c r="J2241" s="2"/>
      <c r="N2241" s="2"/>
      <c r="O2241">
        <f>IFERROR(VLOOKUP($A2241,Accounts!$A:$G,3,FALSE),"")</f>
        <v>0</v>
      </c>
    </row>
    <row r="2242" spans="1:15" x14ac:dyDescent="0.2">
      <c r="A2242" t="str">
        <f t="shared" si="34"/>
        <v/>
      </c>
      <c r="F2242" s="1"/>
      <c r="H2242" s="1"/>
      <c r="I2242" s="2"/>
      <c r="J2242" s="2"/>
      <c r="N2242" s="2"/>
      <c r="O2242">
        <f>IFERROR(VLOOKUP($A2242,Accounts!$A:$G,3,FALSE),"")</f>
        <v>0</v>
      </c>
    </row>
    <row r="2243" spans="1:15" x14ac:dyDescent="0.2">
      <c r="A2243" t="str">
        <f t="shared" si="34"/>
        <v/>
      </c>
      <c r="F2243" s="1"/>
      <c r="H2243" s="1"/>
      <c r="I2243" s="2"/>
      <c r="J2243" s="2"/>
      <c r="N2243" s="2"/>
      <c r="O2243">
        <f>IFERROR(VLOOKUP($A2243,Accounts!$A:$G,3,FALSE),"")</f>
        <v>0</v>
      </c>
    </row>
    <row r="2244" spans="1:15" x14ac:dyDescent="0.2">
      <c r="A2244" t="str">
        <f t="shared" si="34"/>
        <v/>
      </c>
      <c r="F2244" s="1"/>
      <c r="H2244" s="1"/>
      <c r="I2244" s="2"/>
      <c r="J2244" s="2"/>
      <c r="N2244" s="2"/>
      <c r="O2244">
        <f>IFERROR(VLOOKUP($A2244,Accounts!$A:$G,3,FALSE),"")</f>
        <v>0</v>
      </c>
    </row>
    <row r="2245" spans="1:15" x14ac:dyDescent="0.2">
      <c r="A2245" t="str">
        <f t="shared" si="34"/>
        <v/>
      </c>
      <c r="F2245" s="1"/>
      <c r="H2245" s="1"/>
      <c r="I2245" s="2"/>
      <c r="J2245" s="2"/>
      <c r="N2245" s="2"/>
      <c r="O2245">
        <f>IFERROR(VLOOKUP($A2245,Accounts!$A:$G,3,FALSE),"")</f>
        <v>0</v>
      </c>
    </row>
    <row r="2246" spans="1:15" x14ac:dyDescent="0.2">
      <c r="A2246" t="str">
        <f t="shared" si="34"/>
        <v/>
      </c>
      <c r="F2246" s="1"/>
      <c r="H2246" s="1"/>
      <c r="I2246" s="2"/>
      <c r="J2246" s="2"/>
      <c r="N2246" s="2"/>
      <c r="O2246">
        <f>IFERROR(VLOOKUP($A2246,Accounts!$A:$G,3,FALSE),"")</f>
        <v>0</v>
      </c>
    </row>
    <row r="2247" spans="1:15" x14ac:dyDescent="0.2">
      <c r="A2247" t="str">
        <f t="shared" si="34"/>
        <v/>
      </c>
      <c r="F2247" s="1"/>
      <c r="H2247" s="1"/>
      <c r="I2247" s="2"/>
      <c r="J2247" s="2"/>
      <c r="N2247" s="2"/>
      <c r="O2247">
        <f>IFERROR(VLOOKUP($A2247,Accounts!$A:$G,3,FALSE),"")</f>
        <v>0</v>
      </c>
    </row>
    <row r="2248" spans="1:15" x14ac:dyDescent="0.2">
      <c r="A2248" t="str">
        <f t="shared" si="34"/>
        <v/>
      </c>
      <c r="F2248" s="1"/>
      <c r="H2248" s="1"/>
      <c r="I2248" s="2"/>
      <c r="J2248" s="2"/>
      <c r="N2248" s="2"/>
      <c r="O2248">
        <f>IFERROR(VLOOKUP($A2248,Accounts!$A:$G,3,FALSE),"")</f>
        <v>0</v>
      </c>
    </row>
    <row r="2249" spans="1:15" x14ac:dyDescent="0.2">
      <c r="A2249" t="str">
        <f t="shared" si="34"/>
        <v/>
      </c>
      <c r="F2249" s="1"/>
      <c r="H2249" s="1"/>
      <c r="I2249" s="2"/>
      <c r="J2249" s="2"/>
      <c r="N2249" s="2"/>
      <c r="O2249">
        <f>IFERROR(VLOOKUP($A2249,Accounts!$A:$G,3,FALSE),"")</f>
        <v>0</v>
      </c>
    </row>
    <row r="2250" spans="1:15" x14ac:dyDescent="0.2">
      <c r="A2250" t="str">
        <f t="shared" ref="A2250:A2313" si="35">IFERROR(IF(J2250=0,E2250&amp;C2250&amp;I2250,G2250&amp;B2250&amp;J2250),"")</f>
        <v/>
      </c>
      <c r="F2250" s="1"/>
      <c r="H2250" s="1"/>
      <c r="I2250" s="2"/>
      <c r="J2250" s="2"/>
      <c r="N2250" s="2"/>
      <c r="O2250">
        <f>IFERROR(VLOOKUP($A2250,Accounts!$A:$G,3,FALSE),"")</f>
        <v>0</v>
      </c>
    </row>
    <row r="2251" spans="1:15" x14ac:dyDescent="0.2">
      <c r="A2251" t="str">
        <f t="shared" si="35"/>
        <v/>
      </c>
      <c r="F2251" s="1"/>
      <c r="H2251" s="1"/>
      <c r="I2251" s="2"/>
      <c r="J2251" s="2"/>
      <c r="N2251" s="2"/>
      <c r="O2251">
        <f>IFERROR(VLOOKUP($A2251,Accounts!$A:$G,3,FALSE),"")</f>
        <v>0</v>
      </c>
    </row>
    <row r="2252" spans="1:15" x14ac:dyDescent="0.2">
      <c r="A2252" t="str">
        <f t="shared" si="35"/>
        <v/>
      </c>
      <c r="F2252" s="1"/>
      <c r="H2252" s="1"/>
      <c r="I2252" s="2"/>
      <c r="J2252" s="2"/>
      <c r="N2252" s="2"/>
      <c r="O2252">
        <f>IFERROR(VLOOKUP($A2252,Accounts!$A:$G,3,FALSE),"")</f>
        <v>0</v>
      </c>
    </row>
    <row r="2253" spans="1:15" x14ac:dyDescent="0.2">
      <c r="A2253" t="str">
        <f t="shared" si="35"/>
        <v/>
      </c>
      <c r="F2253" s="1"/>
      <c r="H2253" s="1"/>
      <c r="I2253" s="2"/>
      <c r="J2253" s="2"/>
      <c r="N2253" s="2"/>
      <c r="O2253">
        <f>IFERROR(VLOOKUP($A2253,Accounts!$A:$G,3,FALSE),"")</f>
        <v>0</v>
      </c>
    </row>
    <row r="2254" spans="1:15" x14ac:dyDescent="0.2">
      <c r="A2254" t="str">
        <f t="shared" si="35"/>
        <v/>
      </c>
      <c r="F2254" s="1"/>
      <c r="H2254" s="1"/>
      <c r="I2254" s="2"/>
      <c r="J2254" s="2"/>
      <c r="N2254" s="2"/>
      <c r="O2254">
        <f>IFERROR(VLOOKUP($A2254,Accounts!$A:$G,3,FALSE),"")</f>
        <v>0</v>
      </c>
    </row>
    <row r="2255" spans="1:15" x14ac:dyDescent="0.2">
      <c r="A2255" t="str">
        <f t="shared" si="35"/>
        <v/>
      </c>
      <c r="F2255" s="1"/>
      <c r="H2255" s="1"/>
      <c r="I2255" s="2"/>
      <c r="J2255" s="2"/>
      <c r="N2255" s="2"/>
      <c r="O2255">
        <f>IFERROR(VLOOKUP($A2255,Accounts!$A:$G,3,FALSE),"")</f>
        <v>0</v>
      </c>
    </row>
    <row r="2256" spans="1:15" x14ac:dyDescent="0.2">
      <c r="A2256" t="str">
        <f t="shared" si="35"/>
        <v/>
      </c>
      <c r="F2256" s="1"/>
      <c r="H2256" s="1"/>
      <c r="I2256" s="2"/>
      <c r="J2256" s="2"/>
      <c r="N2256" s="2"/>
      <c r="O2256">
        <f>IFERROR(VLOOKUP($A2256,Accounts!$A:$G,3,FALSE),"")</f>
        <v>0</v>
      </c>
    </row>
    <row r="2257" spans="1:15" x14ac:dyDescent="0.2">
      <c r="A2257" t="str">
        <f t="shared" si="35"/>
        <v/>
      </c>
      <c r="F2257" s="1"/>
      <c r="H2257" s="1"/>
      <c r="I2257" s="2"/>
      <c r="J2257" s="2"/>
      <c r="N2257" s="2"/>
      <c r="O2257">
        <f>IFERROR(VLOOKUP($A2257,Accounts!$A:$G,3,FALSE),"")</f>
        <v>0</v>
      </c>
    </row>
    <row r="2258" spans="1:15" x14ac:dyDescent="0.2">
      <c r="A2258" t="str">
        <f t="shared" si="35"/>
        <v/>
      </c>
      <c r="F2258" s="1"/>
      <c r="H2258" s="1"/>
      <c r="I2258" s="2"/>
      <c r="J2258" s="2"/>
      <c r="N2258" s="2"/>
      <c r="O2258">
        <f>IFERROR(VLOOKUP($A2258,Accounts!$A:$G,3,FALSE),"")</f>
        <v>0</v>
      </c>
    </row>
    <row r="2259" spans="1:15" x14ac:dyDescent="0.2">
      <c r="A2259" t="str">
        <f t="shared" si="35"/>
        <v/>
      </c>
      <c r="F2259" s="1"/>
      <c r="H2259" s="1"/>
      <c r="I2259" s="2"/>
      <c r="J2259" s="2"/>
      <c r="N2259" s="2"/>
      <c r="O2259">
        <f>IFERROR(VLOOKUP($A2259,Accounts!$A:$G,3,FALSE),"")</f>
        <v>0</v>
      </c>
    </row>
    <row r="2260" spans="1:15" x14ac:dyDescent="0.2">
      <c r="A2260" t="str">
        <f t="shared" si="35"/>
        <v/>
      </c>
      <c r="F2260" s="1"/>
      <c r="H2260" s="1"/>
      <c r="I2260" s="2"/>
      <c r="J2260" s="2"/>
      <c r="N2260" s="2"/>
      <c r="O2260">
        <f>IFERROR(VLOOKUP($A2260,Accounts!$A:$G,3,FALSE),"")</f>
        <v>0</v>
      </c>
    </row>
    <row r="2261" spans="1:15" x14ac:dyDescent="0.2">
      <c r="A2261" t="str">
        <f t="shared" si="35"/>
        <v/>
      </c>
      <c r="F2261" s="1"/>
      <c r="H2261" s="1"/>
      <c r="I2261" s="2"/>
      <c r="J2261" s="2"/>
      <c r="N2261" s="2"/>
      <c r="O2261">
        <f>IFERROR(VLOOKUP($A2261,Accounts!$A:$G,3,FALSE),"")</f>
        <v>0</v>
      </c>
    </row>
    <row r="2262" spans="1:15" x14ac:dyDescent="0.2">
      <c r="A2262" t="str">
        <f t="shared" si="35"/>
        <v/>
      </c>
      <c r="F2262" s="1"/>
      <c r="H2262" s="1"/>
      <c r="I2262" s="2"/>
      <c r="J2262" s="2"/>
      <c r="N2262" s="2"/>
      <c r="O2262">
        <f>IFERROR(VLOOKUP($A2262,Accounts!$A:$G,3,FALSE),"")</f>
        <v>0</v>
      </c>
    </row>
    <row r="2263" spans="1:15" x14ac:dyDescent="0.2">
      <c r="A2263" t="str">
        <f t="shared" si="35"/>
        <v/>
      </c>
      <c r="F2263" s="1"/>
      <c r="H2263" s="1"/>
      <c r="I2263" s="2"/>
      <c r="J2263" s="2"/>
      <c r="N2263" s="2"/>
      <c r="O2263">
        <f>IFERROR(VLOOKUP($A2263,Accounts!$A:$G,3,FALSE),"")</f>
        <v>0</v>
      </c>
    </row>
    <row r="2264" spans="1:15" x14ac:dyDescent="0.2">
      <c r="A2264" t="str">
        <f t="shared" si="35"/>
        <v/>
      </c>
      <c r="F2264" s="1"/>
      <c r="H2264" s="1"/>
      <c r="I2264" s="2"/>
      <c r="J2264" s="2"/>
      <c r="N2264" s="2"/>
      <c r="O2264">
        <f>IFERROR(VLOOKUP($A2264,Accounts!$A:$G,3,FALSE),"")</f>
        <v>0</v>
      </c>
    </row>
    <row r="2265" spans="1:15" x14ac:dyDescent="0.2">
      <c r="A2265" t="str">
        <f t="shared" si="35"/>
        <v/>
      </c>
      <c r="F2265" s="1"/>
      <c r="H2265" s="1"/>
      <c r="I2265" s="2"/>
      <c r="J2265" s="2"/>
      <c r="N2265" s="2"/>
      <c r="O2265">
        <f>IFERROR(VLOOKUP($A2265,Accounts!$A:$G,3,FALSE),"")</f>
        <v>0</v>
      </c>
    </row>
    <row r="2266" spans="1:15" x14ac:dyDescent="0.2">
      <c r="A2266" t="str">
        <f t="shared" si="35"/>
        <v/>
      </c>
      <c r="F2266" s="1"/>
      <c r="H2266" s="1"/>
      <c r="I2266" s="2"/>
      <c r="J2266" s="2"/>
      <c r="N2266" s="2"/>
      <c r="O2266">
        <f>IFERROR(VLOOKUP($A2266,Accounts!$A:$G,3,FALSE),"")</f>
        <v>0</v>
      </c>
    </row>
    <row r="2267" spans="1:15" x14ac:dyDescent="0.2">
      <c r="A2267" t="str">
        <f t="shared" si="35"/>
        <v/>
      </c>
      <c r="F2267" s="1"/>
      <c r="H2267" s="1"/>
      <c r="I2267" s="2"/>
      <c r="J2267" s="2"/>
      <c r="N2267" s="2"/>
      <c r="O2267">
        <f>IFERROR(VLOOKUP($A2267,Accounts!$A:$G,3,FALSE),"")</f>
        <v>0</v>
      </c>
    </row>
    <row r="2268" spans="1:15" x14ac:dyDescent="0.2">
      <c r="A2268" t="str">
        <f t="shared" si="35"/>
        <v/>
      </c>
      <c r="F2268" s="1"/>
      <c r="H2268" s="1"/>
      <c r="I2268" s="2"/>
      <c r="J2268" s="2"/>
      <c r="N2268" s="2"/>
      <c r="O2268">
        <f>IFERROR(VLOOKUP($A2268,Accounts!$A:$G,3,FALSE),"")</f>
        <v>0</v>
      </c>
    </row>
    <row r="2269" spans="1:15" x14ac:dyDescent="0.2">
      <c r="A2269" t="str">
        <f t="shared" si="35"/>
        <v/>
      </c>
      <c r="F2269" s="1"/>
      <c r="H2269" s="1"/>
      <c r="I2269" s="2"/>
      <c r="J2269" s="2"/>
      <c r="N2269" s="2"/>
      <c r="O2269">
        <f>IFERROR(VLOOKUP($A2269,Accounts!$A:$G,3,FALSE),"")</f>
        <v>0</v>
      </c>
    </row>
    <row r="2270" spans="1:15" x14ac:dyDescent="0.2">
      <c r="A2270" t="str">
        <f t="shared" si="35"/>
        <v/>
      </c>
      <c r="F2270" s="1"/>
      <c r="H2270" s="1"/>
      <c r="I2270" s="2"/>
      <c r="J2270" s="2"/>
      <c r="N2270" s="2"/>
      <c r="O2270">
        <f>IFERROR(VLOOKUP($A2270,Accounts!$A:$G,3,FALSE),"")</f>
        <v>0</v>
      </c>
    </row>
    <row r="2271" spans="1:15" x14ac:dyDescent="0.2">
      <c r="A2271" t="str">
        <f t="shared" si="35"/>
        <v/>
      </c>
      <c r="F2271" s="1"/>
      <c r="H2271" s="1"/>
      <c r="I2271" s="2"/>
      <c r="J2271" s="2"/>
      <c r="N2271" s="2"/>
      <c r="O2271">
        <f>IFERROR(VLOOKUP($A2271,Accounts!$A:$G,3,FALSE),"")</f>
        <v>0</v>
      </c>
    </row>
    <row r="2272" spans="1:15" x14ac:dyDescent="0.2">
      <c r="A2272" t="str">
        <f t="shared" si="35"/>
        <v/>
      </c>
      <c r="F2272" s="1"/>
      <c r="H2272" s="1"/>
      <c r="I2272" s="2"/>
      <c r="J2272" s="2"/>
      <c r="N2272" s="2"/>
      <c r="O2272">
        <f>IFERROR(VLOOKUP($A2272,Accounts!$A:$G,3,FALSE),"")</f>
        <v>0</v>
      </c>
    </row>
    <row r="2273" spans="1:15" x14ac:dyDescent="0.2">
      <c r="A2273" t="str">
        <f t="shared" si="35"/>
        <v/>
      </c>
      <c r="F2273" s="1"/>
      <c r="H2273" s="1"/>
      <c r="I2273" s="2"/>
      <c r="J2273" s="2"/>
      <c r="N2273" s="2"/>
      <c r="O2273">
        <f>IFERROR(VLOOKUP($A2273,Accounts!$A:$G,3,FALSE),"")</f>
        <v>0</v>
      </c>
    </row>
    <row r="2274" spans="1:15" x14ac:dyDescent="0.2">
      <c r="A2274" t="str">
        <f t="shared" si="35"/>
        <v/>
      </c>
      <c r="F2274" s="1"/>
      <c r="H2274" s="1"/>
      <c r="I2274" s="2"/>
      <c r="J2274" s="2"/>
      <c r="N2274" s="2"/>
      <c r="O2274">
        <f>IFERROR(VLOOKUP($A2274,Accounts!$A:$G,3,FALSE),"")</f>
        <v>0</v>
      </c>
    </row>
    <row r="2275" spans="1:15" x14ac:dyDescent="0.2">
      <c r="A2275" t="str">
        <f t="shared" si="35"/>
        <v/>
      </c>
      <c r="F2275" s="1"/>
      <c r="H2275" s="1"/>
      <c r="I2275" s="2"/>
      <c r="J2275" s="2"/>
      <c r="N2275" s="2"/>
      <c r="O2275">
        <f>IFERROR(VLOOKUP($A2275,Accounts!$A:$G,3,FALSE),"")</f>
        <v>0</v>
      </c>
    </row>
    <row r="2276" spans="1:15" x14ac:dyDescent="0.2">
      <c r="A2276" t="str">
        <f t="shared" si="35"/>
        <v/>
      </c>
      <c r="F2276" s="1"/>
      <c r="H2276" s="1"/>
      <c r="I2276" s="2"/>
      <c r="J2276" s="2"/>
      <c r="N2276" s="2"/>
      <c r="O2276">
        <f>IFERROR(VLOOKUP($A2276,Accounts!$A:$G,3,FALSE),"")</f>
        <v>0</v>
      </c>
    </row>
    <row r="2277" spans="1:15" x14ac:dyDescent="0.2">
      <c r="A2277" t="str">
        <f t="shared" si="35"/>
        <v/>
      </c>
      <c r="F2277" s="1"/>
      <c r="H2277" s="1"/>
      <c r="I2277" s="2"/>
      <c r="J2277" s="2"/>
      <c r="N2277" s="2"/>
      <c r="O2277">
        <f>IFERROR(VLOOKUP($A2277,Accounts!$A:$G,3,FALSE),"")</f>
        <v>0</v>
      </c>
    </row>
    <row r="2278" spans="1:15" x14ac:dyDescent="0.2">
      <c r="A2278" t="str">
        <f t="shared" si="35"/>
        <v/>
      </c>
      <c r="F2278" s="1"/>
      <c r="H2278" s="1"/>
      <c r="I2278" s="2"/>
      <c r="J2278" s="2"/>
      <c r="N2278" s="2"/>
      <c r="O2278">
        <f>IFERROR(VLOOKUP($A2278,Accounts!$A:$G,3,FALSE),"")</f>
        <v>0</v>
      </c>
    </row>
    <row r="2279" spans="1:15" x14ac:dyDescent="0.2">
      <c r="A2279" t="str">
        <f t="shared" si="35"/>
        <v/>
      </c>
      <c r="F2279" s="1"/>
      <c r="H2279" s="1"/>
      <c r="I2279" s="2"/>
      <c r="J2279" s="2"/>
      <c r="N2279" s="2"/>
      <c r="O2279">
        <f>IFERROR(VLOOKUP($A2279,Accounts!$A:$G,3,FALSE),"")</f>
        <v>0</v>
      </c>
    </row>
    <row r="2280" spans="1:15" x14ac:dyDescent="0.2">
      <c r="A2280" t="str">
        <f t="shared" si="35"/>
        <v/>
      </c>
      <c r="F2280" s="1"/>
      <c r="H2280" s="1"/>
      <c r="I2280" s="2"/>
      <c r="J2280" s="2"/>
      <c r="N2280" s="2"/>
      <c r="O2280">
        <f>IFERROR(VLOOKUP($A2280,Accounts!$A:$G,3,FALSE),"")</f>
        <v>0</v>
      </c>
    </row>
    <row r="2281" spans="1:15" x14ac:dyDescent="0.2">
      <c r="A2281" t="str">
        <f t="shared" si="35"/>
        <v/>
      </c>
      <c r="F2281" s="1"/>
      <c r="H2281" s="1"/>
      <c r="I2281" s="2"/>
      <c r="J2281" s="2"/>
      <c r="N2281" s="2"/>
      <c r="O2281">
        <f>IFERROR(VLOOKUP($A2281,Accounts!$A:$G,3,FALSE),"")</f>
        <v>0</v>
      </c>
    </row>
    <row r="2282" spans="1:15" x14ac:dyDescent="0.2">
      <c r="A2282" t="str">
        <f t="shared" si="35"/>
        <v/>
      </c>
      <c r="F2282" s="1"/>
      <c r="H2282" s="1"/>
      <c r="I2282" s="2"/>
      <c r="J2282" s="2"/>
      <c r="N2282" s="2"/>
      <c r="O2282">
        <f>IFERROR(VLOOKUP($A2282,Accounts!$A:$G,3,FALSE),"")</f>
        <v>0</v>
      </c>
    </row>
    <row r="2283" spans="1:15" x14ac:dyDescent="0.2">
      <c r="A2283" t="str">
        <f t="shared" si="35"/>
        <v/>
      </c>
      <c r="F2283" s="1"/>
      <c r="H2283" s="1"/>
      <c r="I2283" s="2"/>
      <c r="J2283" s="2"/>
      <c r="N2283" s="2"/>
      <c r="O2283">
        <f>IFERROR(VLOOKUP($A2283,Accounts!$A:$G,3,FALSE),"")</f>
        <v>0</v>
      </c>
    </row>
    <row r="2284" spans="1:15" x14ac:dyDescent="0.2">
      <c r="A2284" t="str">
        <f t="shared" si="35"/>
        <v/>
      </c>
      <c r="F2284" s="1"/>
      <c r="H2284" s="1"/>
      <c r="I2284" s="2"/>
      <c r="J2284" s="2"/>
      <c r="N2284" s="2"/>
      <c r="O2284">
        <f>IFERROR(VLOOKUP($A2284,Accounts!$A:$G,3,FALSE),"")</f>
        <v>0</v>
      </c>
    </row>
    <row r="2285" spans="1:15" x14ac:dyDescent="0.2">
      <c r="A2285" t="str">
        <f t="shared" si="35"/>
        <v/>
      </c>
      <c r="F2285" s="1"/>
      <c r="H2285" s="1"/>
      <c r="I2285" s="2"/>
      <c r="J2285" s="2"/>
      <c r="N2285" s="2"/>
      <c r="O2285">
        <f>IFERROR(VLOOKUP($A2285,Accounts!$A:$G,3,FALSE),"")</f>
        <v>0</v>
      </c>
    </row>
    <row r="2286" spans="1:15" x14ac:dyDescent="0.2">
      <c r="A2286" t="str">
        <f t="shared" si="35"/>
        <v/>
      </c>
      <c r="F2286" s="1"/>
      <c r="H2286" s="1"/>
      <c r="I2286" s="2"/>
      <c r="J2286" s="2"/>
      <c r="N2286" s="2"/>
      <c r="O2286">
        <f>IFERROR(VLOOKUP($A2286,Accounts!$A:$G,3,FALSE),"")</f>
        <v>0</v>
      </c>
    </row>
    <row r="2287" spans="1:15" x14ac:dyDescent="0.2">
      <c r="A2287" t="str">
        <f t="shared" si="35"/>
        <v/>
      </c>
      <c r="F2287" s="1"/>
      <c r="H2287" s="1"/>
      <c r="I2287" s="2"/>
      <c r="J2287" s="2"/>
      <c r="N2287" s="2"/>
      <c r="O2287">
        <f>IFERROR(VLOOKUP($A2287,Accounts!$A:$G,3,FALSE),"")</f>
        <v>0</v>
      </c>
    </row>
    <row r="2288" spans="1:15" x14ac:dyDescent="0.2">
      <c r="A2288" t="str">
        <f t="shared" si="35"/>
        <v/>
      </c>
      <c r="F2288" s="1"/>
      <c r="H2288" s="1"/>
      <c r="I2288" s="2"/>
      <c r="J2288" s="2"/>
      <c r="N2288" s="2"/>
      <c r="O2288">
        <f>IFERROR(VLOOKUP($A2288,Accounts!$A:$G,3,FALSE),"")</f>
        <v>0</v>
      </c>
    </row>
    <row r="2289" spans="1:15" x14ac:dyDescent="0.2">
      <c r="A2289" t="str">
        <f t="shared" si="35"/>
        <v/>
      </c>
      <c r="F2289" s="1"/>
      <c r="H2289" s="1"/>
      <c r="I2289" s="2"/>
      <c r="J2289" s="2"/>
      <c r="N2289" s="2"/>
      <c r="O2289">
        <f>IFERROR(VLOOKUP($A2289,Accounts!$A:$G,3,FALSE),"")</f>
        <v>0</v>
      </c>
    </row>
    <row r="2290" spans="1:15" x14ac:dyDescent="0.2">
      <c r="A2290" t="str">
        <f t="shared" si="35"/>
        <v/>
      </c>
      <c r="F2290" s="1"/>
      <c r="H2290" s="1"/>
      <c r="I2290" s="2"/>
      <c r="J2290" s="2"/>
      <c r="N2290" s="2"/>
      <c r="O2290">
        <f>IFERROR(VLOOKUP($A2290,Accounts!$A:$G,3,FALSE),"")</f>
        <v>0</v>
      </c>
    </row>
    <row r="2291" spans="1:15" x14ac:dyDescent="0.2">
      <c r="A2291" t="str">
        <f t="shared" si="35"/>
        <v/>
      </c>
      <c r="F2291" s="1"/>
      <c r="H2291" s="1"/>
      <c r="I2291" s="2"/>
      <c r="J2291" s="2"/>
      <c r="N2291" s="2"/>
      <c r="O2291">
        <f>IFERROR(VLOOKUP($A2291,Accounts!$A:$G,3,FALSE),"")</f>
        <v>0</v>
      </c>
    </row>
    <row r="2292" spans="1:15" x14ac:dyDescent="0.2">
      <c r="A2292" t="str">
        <f t="shared" si="35"/>
        <v/>
      </c>
      <c r="F2292" s="1"/>
      <c r="H2292" s="1"/>
      <c r="I2292" s="2"/>
      <c r="J2292" s="2"/>
      <c r="N2292" s="2"/>
      <c r="O2292">
        <f>IFERROR(VLOOKUP($A2292,Accounts!$A:$G,3,FALSE),"")</f>
        <v>0</v>
      </c>
    </row>
    <row r="2293" spans="1:15" x14ac:dyDescent="0.2">
      <c r="A2293" t="str">
        <f t="shared" si="35"/>
        <v/>
      </c>
      <c r="F2293" s="1"/>
      <c r="H2293" s="1"/>
      <c r="I2293" s="2"/>
      <c r="J2293" s="2"/>
      <c r="N2293" s="2"/>
      <c r="O2293">
        <f>IFERROR(VLOOKUP($A2293,Accounts!$A:$G,3,FALSE),"")</f>
        <v>0</v>
      </c>
    </row>
    <row r="2294" spans="1:15" x14ac:dyDescent="0.2">
      <c r="A2294" t="str">
        <f t="shared" si="35"/>
        <v/>
      </c>
      <c r="F2294" s="1"/>
      <c r="H2294" s="1"/>
      <c r="I2294" s="2"/>
      <c r="J2294" s="2"/>
      <c r="N2294" s="2"/>
      <c r="O2294">
        <f>IFERROR(VLOOKUP($A2294,Accounts!$A:$G,3,FALSE),"")</f>
        <v>0</v>
      </c>
    </row>
    <row r="2295" spans="1:15" x14ac:dyDescent="0.2">
      <c r="A2295" t="str">
        <f t="shared" si="35"/>
        <v/>
      </c>
      <c r="F2295" s="1"/>
      <c r="H2295" s="1"/>
      <c r="I2295" s="2"/>
      <c r="J2295" s="2"/>
      <c r="N2295" s="2"/>
      <c r="O2295">
        <f>IFERROR(VLOOKUP($A2295,Accounts!$A:$G,3,FALSE),"")</f>
        <v>0</v>
      </c>
    </row>
    <row r="2296" spans="1:15" x14ac:dyDescent="0.2">
      <c r="A2296" t="str">
        <f t="shared" si="35"/>
        <v/>
      </c>
      <c r="F2296" s="1"/>
      <c r="H2296" s="1"/>
      <c r="I2296" s="2"/>
      <c r="J2296" s="2"/>
      <c r="N2296" s="2"/>
      <c r="O2296">
        <f>IFERROR(VLOOKUP($A2296,Accounts!$A:$G,3,FALSE),"")</f>
        <v>0</v>
      </c>
    </row>
    <row r="2297" spans="1:15" x14ac:dyDescent="0.2">
      <c r="A2297" t="str">
        <f t="shared" si="35"/>
        <v/>
      </c>
      <c r="F2297" s="1"/>
      <c r="H2297" s="1"/>
      <c r="I2297" s="2"/>
      <c r="J2297" s="2"/>
      <c r="N2297" s="2"/>
      <c r="O2297">
        <f>IFERROR(VLOOKUP($A2297,Accounts!$A:$G,3,FALSE),"")</f>
        <v>0</v>
      </c>
    </row>
    <row r="2298" spans="1:15" x14ac:dyDescent="0.2">
      <c r="A2298" t="str">
        <f t="shared" si="35"/>
        <v/>
      </c>
      <c r="F2298" s="1"/>
      <c r="H2298" s="1"/>
      <c r="I2298" s="2"/>
      <c r="J2298" s="2"/>
      <c r="N2298" s="2"/>
      <c r="O2298">
        <f>IFERROR(VLOOKUP($A2298,Accounts!$A:$G,3,FALSE),"")</f>
        <v>0</v>
      </c>
    </row>
    <row r="2299" spans="1:15" x14ac:dyDescent="0.2">
      <c r="A2299" t="str">
        <f t="shared" si="35"/>
        <v/>
      </c>
      <c r="F2299" s="1"/>
      <c r="H2299" s="1"/>
      <c r="I2299" s="2"/>
      <c r="J2299" s="2"/>
      <c r="N2299" s="2"/>
      <c r="O2299">
        <f>IFERROR(VLOOKUP($A2299,Accounts!$A:$G,3,FALSE),"")</f>
        <v>0</v>
      </c>
    </row>
    <row r="2300" spans="1:15" x14ac:dyDescent="0.2">
      <c r="A2300" t="str">
        <f t="shared" si="35"/>
        <v/>
      </c>
      <c r="F2300" s="1"/>
      <c r="H2300" s="1"/>
      <c r="I2300" s="2"/>
      <c r="J2300" s="2"/>
      <c r="N2300" s="2"/>
      <c r="O2300">
        <f>IFERROR(VLOOKUP($A2300,Accounts!$A:$G,3,FALSE),"")</f>
        <v>0</v>
      </c>
    </row>
    <row r="2301" spans="1:15" x14ac:dyDescent="0.2">
      <c r="A2301" t="str">
        <f t="shared" si="35"/>
        <v/>
      </c>
      <c r="F2301" s="1"/>
      <c r="H2301" s="1"/>
      <c r="I2301" s="2"/>
      <c r="J2301" s="2"/>
      <c r="N2301" s="2"/>
      <c r="O2301">
        <f>IFERROR(VLOOKUP($A2301,Accounts!$A:$G,3,FALSE),"")</f>
        <v>0</v>
      </c>
    </row>
    <row r="2302" spans="1:15" x14ac:dyDescent="0.2">
      <c r="A2302" t="str">
        <f t="shared" si="35"/>
        <v/>
      </c>
      <c r="F2302" s="1"/>
      <c r="H2302" s="1"/>
      <c r="I2302" s="2"/>
      <c r="J2302" s="2"/>
      <c r="N2302" s="2"/>
      <c r="O2302">
        <f>IFERROR(VLOOKUP($A2302,Accounts!$A:$G,3,FALSE),"")</f>
        <v>0</v>
      </c>
    </row>
    <row r="2303" spans="1:15" x14ac:dyDescent="0.2">
      <c r="A2303" t="str">
        <f t="shared" si="35"/>
        <v/>
      </c>
      <c r="F2303" s="1"/>
      <c r="H2303" s="1"/>
      <c r="I2303" s="2"/>
      <c r="J2303" s="2"/>
      <c r="N2303" s="2"/>
      <c r="O2303">
        <f>IFERROR(VLOOKUP($A2303,Accounts!$A:$G,3,FALSE),"")</f>
        <v>0</v>
      </c>
    </row>
    <row r="2304" spans="1:15" x14ac:dyDescent="0.2">
      <c r="A2304" t="str">
        <f t="shared" si="35"/>
        <v/>
      </c>
      <c r="F2304" s="1"/>
      <c r="H2304" s="1"/>
      <c r="I2304" s="2"/>
      <c r="J2304" s="2"/>
      <c r="N2304" s="2"/>
      <c r="O2304">
        <f>IFERROR(VLOOKUP($A2304,Accounts!$A:$G,3,FALSE),"")</f>
        <v>0</v>
      </c>
    </row>
    <row r="2305" spans="1:15" x14ac:dyDescent="0.2">
      <c r="A2305" t="str">
        <f t="shared" si="35"/>
        <v/>
      </c>
      <c r="F2305" s="1"/>
      <c r="H2305" s="1"/>
      <c r="I2305" s="2"/>
      <c r="J2305" s="2"/>
      <c r="N2305" s="2"/>
      <c r="O2305">
        <f>IFERROR(VLOOKUP($A2305,Accounts!$A:$G,3,FALSE),"")</f>
        <v>0</v>
      </c>
    </row>
    <row r="2306" spans="1:15" x14ac:dyDescent="0.2">
      <c r="A2306" t="str">
        <f t="shared" si="35"/>
        <v/>
      </c>
      <c r="F2306" s="1"/>
      <c r="H2306" s="1"/>
      <c r="I2306" s="2"/>
      <c r="J2306" s="2"/>
      <c r="N2306" s="2"/>
      <c r="O2306">
        <f>IFERROR(VLOOKUP($A2306,Accounts!$A:$G,3,FALSE),"")</f>
        <v>0</v>
      </c>
    </row>
    <row r="2307" spans="1:15" x14ac:dyDescent="0.2">
      <c r="A2307" t="str">
        <f t="shared" si="35"/>
        <v/>
      </c>
      <c r="F2307" s="1"/>
      <c r="H2307" s="1"/>
      <c r="I2307" s="2"/>
      <c r="J2307" s="2"/>
      <c r="N2307" s="2"/>
      <c r="O2307">
        <f>IFERROR(VLOOKUP($A2307,Accounts!$A:$G,3,FALSE),"")</f>
        <v>0</v>
      </c>
    </row>
    <row r="2308" spans="1:15" x14ac:dyDescent="0.2">
      <c r="A2308" t="str">
        <f t="shared" si="35"/>
        <v/>
      </c>
      <c r="F2308" s="1"/>
      <c r="H2308" s="1"/>
      <c r="I2308" s="2"/>
      <c r="J2308" s="2"/>
      <c r="N2308" s="2"/>
      <c r="O2308">
        <f>IFERROR(VLOOKUP($A2308,Accounts!$A:$G,3,FALSE),"")</f>
        <v>0</v>
      </c>
    </row>
    <row r="2309" spans="1:15" x14ac:dyDescent="0.2">
      <c r="A2309" t="str">
        <f t="shared" si="35"/>
        <v/>
      </c>
      <c r="F2309" s="1"/>
      <c r="H2309" s="1"/>
      <c r="I2309" s="2"/>
      <c r="J2309" s="2"/>
      <c r="N2309" s="2"/>
      <c r="O2309">
        <f>IFERROR(VLOOKUP($A2309,Accounts!$A:$G,3,FALSE),"")</f>
        <v>0</v>
      </c>
    </row>
    <row r="2310" spans="1:15" x14ac:dyDescent="0.2">
      <c r="A2310" t="str">
        <f t="shared" si="35"/>
        <v/>
      </c>
      <c r="F2310" s="1"/>
      <c r="H2310" s="1"/>
      <c r="I2310" s="2"/>
      <c r="J2310" s="2"/>
      <c r="N2310" s="2"/>
      <c r="O2310">
        <f>IFERROR(VLOOKUP($A2310,Accounts!$A:$G,3,FALSE),"")</f>
        <v>0</v>
      </c>
    </row>
    <row r="2311" spans="1:15" x14ac:dyDescent="0.2">
      <c r="A2311" t="str">
        <f t="shared" si="35"/>
        <v/>
      </c>
      <c r="F2311" s="1"/>
      <c r="H2311" s="1"/>
      <c r="I2311" s="2"/>
      <c r="J2311" s="2"/>
      <c r="N2311" s="2"/>
      <c r="O2311">
        <f>IFERROR(VLOOKUP($A2311,Accounts!$A:$G,3,FALSE),"")</f>
        <v>0</v>
      </c>
    </row>
    <row r="2312" spans="1:15" x14ac:dyDescent="0.2">
      <c r="A2312" t="str">
        <f t="shared" si="35"/>
        <v/>
      </c>
      <c r="F2312" s="1"/>
      <c r="H2312" s="1"/>
      <c r="I2312" s="2"/>
      <c r="J2312" s="2"/>
      <c r="N2312" s="2"/>
      <c r="O2312">
        <f>IFERROR(VLOOKUP($A2312,Accounts!$A:$G,3,FALSE),"")</f>
        <v>0</v>
      </c>
    </row>
    <row r="2313" spans="1:15" x14ac:dyDescent="0.2">
      <c r="A2313" t="str">
        <f t="shared" si="35"/>
        <v/>
      </c>
      <c r="F2313" s="1"/>
      <c r="H2313" s="1"/>
      <c r="I2313" s="2"/>
      <c r="J2313" s="2"/>
      <c r="N2313" s="2"/>
      <c r="O2313">
        <f>IFERROR(VLOOKUP($A2313,Accounts!$A:$G,3,FALSE),"")</f>
        <v>0</v>
      </c>
    </row>
    <row r="2314" spans="1:15" x14ac:dyDescent="0.2">
      <c r="A2314" t="str">
        <f t="shared" ref="A2314:A2377" si="36">IFERROR(IF(J2314=0,E2314&amp;C2314&amp;I2314,G2314&amp;B2314&amp;J2314),"")</f>
        <v/>
      </c>
      <c r="F2314" s="1"/>
      <c r="H2314" s="1"/>
      <c r="I2314" s="2"/>
      <c r="J2314" s="2"/>
      <c r="N2314" s="2"/>
      <c r="O2314">
        <f>IFERROR(VLOOKUP($A2314,Accounts!$A:$G,3,FALSE),"")</f>
        <v>0</v>
      </c>
    </row>
    <row r="2315" spans="1:15" x14ac:dyDescent="0.2">
      <c r="A2315" t="str">
        <f t="shared" si="36"/>
        <v/>
      </c>
      <c r="F2315" s="1"/>
      <c r="H2315" s="1"/>
      <c r="I2315" s="2"/>
      <c r="J2315" s="2"/>
      <c r="N2315" s="2"/>
      <c r="O2315">
        <f>IFERROR(VLOOKUP($A2315,Accounts!$A:$G,3,FALSE),"")</f>
        <v>0</v>
      </c>
    </row>
    <row r="2316" spans="1:15" x14ac:dyDescent="0.2">
      <c r="A2316" t="str">
        <f t="shared" si="36"/>
        <v/>
      </c>
      <c r="F2316" s="1"/>
      <c r="H2316" s="1"/>
      <c r="I2316" s="2"/>
      <c r="J2316" s="2"/>
      <c r="N2316" s="2"/>
      <c r="O2316">
        <f>IFERROR(VLOOKUP($A2316,Accounts!$A:$G,3,FALSE),"")</f>
        <v>0</v>
      </c>
    </row>
    <row r="2317" spans="1:15" x14ac:dyDescent="0.2">
      <c r="A2317" t="str">
        <f t="shared" si="36"/>
        <v/>
      </c>
      <c r="F2317" s="1"/>
      <c r="H2317" s="1"/>
      <c r="I2317" s="2"/>
      <c r="J2317" s="2"/>
      <c r="N2317" s="2"/>
      <c r="O2317">
        <f>IFERROR(VLOOKUP($A2317,Accounts!$A:$G,3,FALSE),"")</f>
        <v>0</v>
      </c>
    </row>
    <row r="2318" spans="1:15" x14ac:dyDescent="0.2">
      <c r="A2318" t="str">
        <f t="shared" si="36"/>
        <v/>
      </c>
      <c r="F2318" s="1"/>
      <c r="H2318" s="1"/>
      <c r="I2318" s="2"/>
      <c r="J2318" s="2"/>
      <c r="N2318" s="2"/>
      <c r="O2318">
        <f>IFERROR(VLOOKUP($A2318,Accounts!$A:$G,3,FALSE),"")</f>
        <v>0</v>
      </c>
    </row>
    <row r="2319" spans="1:15" x14ac:dyDescent="0.2">
      <c r="A2319" t="str">
        <f t="shared" si="36"/>
        <v/>
      </c>
      <c r="F2319" s="1"/>
      <c r="H2319" s="1"/>
      <c r="I2319" s="2"/>
      <c r="J2319" s="2"/>
      <c r="N2319" s="2"/>
      <c r="O2319">
        <f>IFERROR(VLOOKUP($A2319,Accounts!$A:$G,3,FALSE),"")</f>
        <v>0</v>
      </c>
    </row>
    <row r="2320" spans="1:15" x14ac:dyDescent="0.2">
      <c r="A2320" t="str">
        <f t="shared" si="36"/>
        <v/>
      </c>
      <c r="F2320" s="1"/>
      <c r="H2320" s="1"/>
      <c r="I2320" s="2"/>
      <c r="J2320" s="2"/>
      <c r="N2320" s="2"/>
      <c r="O2320">
        <f>IFERROR(VLOOKUP($A2320,Accounts!$A:$G,3,FALSE),"")</f>
        <v>0</v>
      </c>
    </row>
    <row r="2321" spans="1:15" x14ac:dyDescent="0.2">
      <c r="A2321" t="str">
        <f t="shared" si="36"/>
        <v/>
      </c>
      <c r="F2321" s="1"/>
      <c r="H2321" s="1"/>
      <c r="I2321" s="2"/>
      <c r="J2321" s="2"/>
      <c r="N2321" s="2"/>
      <c r="O2321">
        <f>IFERROR(VLOOKUP($A2321,Accounts!$A:$G,3,FALSE),"")</f>
        <v>0</v>
      </c>
    </row>
    <row r="2322" spans="1:15" x14ac:dyDescent="0.2">
      <c r="A2322" t="str">
        <f t="shared" si="36"/>
        <v/>
      </c>
      <c r="F2322" s="1"/>
      <c r="H2322" s="1"/>
      <c r="I2322" s="2"/>
      <c r="J2322" s="2"/>
      <c r="N2322" s="2"/>
      <c r="O2322">
        <f>IFERROR(VLOOKUP($A2322,Accounts!$A:$G,3,FALSE),"")</f>
        <v>0</v>
      </c>
    </row>
    <row r="2323" spans="1:15" x14ac:dyDescent="0.2">
      <c r="A2323" t="str">
        <f t="shared" si="36"/>
        <v/>
      </c>
      <c r="F2323" s="1"/>
      <c r="H2323" s="1"/>
      <c r="I2323" s="2"/>
      <c r="J2323" s="2"/>
      <c r="N2323" s="2"/>
      <c r="O2323">
        <f>IFERROR(VLOOKUP($A2323,Accounts!$A:$G,3,FALSE),"")</f>
        <v>0</v>
      </c>
    </row>
    <row r="2324" spans="1:15" x14ac:dyDescent="0.2">
      <c r="A2324" t="str">
        <f t="shared" si="36"/>
        <v/>
      </c>
      <c r="F2324" s="1"/>
      <c r="H2324" s="1"/>
      <c r="I2324" s="2"/>
      <c r="J2324" s="2"/>
      <c r="N2324" s="2"/>
      <c r="O2324">
        <f>IFERROR(VLOOKUP($A2324,Accounts!$A:$G,3,FALSE),"")</f>
        <v>0</v>
      </c>
    </row>
    <row r="2325" spans="1:15" x14ac:dyDescent="0.2">
      <c r="A2325" t="str">
        <f t="shared" si="36"/>
        <v/>
      </c>
      <c r="F2325" s="1"/>
      <c r="H2325" s="1"/>
      <c r="I2325" s="2"/>
      <c r="J2325" s="2"/>
      <c r="N2325" s="2"/>
      <c r="O2325">
        <f>IFERROR(VLOOKUP($A2325,Accounts!$A:$G,3,FALSE),"")</f>
        <v>0</v>
      </c>
    </row>
    <row r="2326" spans="1:15" x14ac:dyDescent="0.2">
      <c r="A2326" t="str">
        <f t="shared" si="36"/>
        <v/>
      </c>
      <c r="F2326" s="1"/>
      <c r="H2326" s="1"/>
      <c r="I2326" s="2"/>
      <c r="J2326" s="2"/>
      <c r="N2326" s="2"/>
      <c r="O2326">
        <f>IFERROR(VLOOKUP($A2326,Accounts!$A:$G,3,FALSE),"")</f>
        <v>0</v>
      </c>
    </row>
    <row r="2327" spans="1:15" x14ac:dyDescent="0.2">
      <c r="A2327" t="str">
        <f t="shared" si="36"/>
        <v/>
      </c>
      <c r="F2327" s="1"/>
      <c r="H2327" s="1"/>
      <c r="I2327" s="2"/>
      <c r="J2327" s="2"/>
      <c r="N2327" s="2"/>
      <c r="O2327">
        <f>IFERROR(VLOOKUP($A2327,Accounts!$A:$G,3,FALSE),"")</f>
        <v>0</v>
      </c>
    </row>
    <row r="2328" spans="1:15" x14ac:dyDescent="0.2">
      <c r="A2328" t="str">
        <f t="shared" si="36"/>
        <v/>
      </c>
      <c r="F2328" s="1"/>
      <c r="H2328" s="1"/>
      <c r="I2328" s="2"/>
      <c r="J2328" s="2"/>
      <c r="N2328" s="2"/>
      <c r="O2328">
        <f>IFERROR(VLOOKUP($A2328,Accounts!$A:$G,3,FALSE),"")</f>
        <v>0</v>
      </c>
    </row>
    <row r="2329" spans="1:15" x14ac:dyDescent="0.2">
      <c r="A2329" t="str">
        <f t="shared" si="36"/>
        <v/>
      </c>
      <c r="F2329" s="1"/>
      <c r="H2329" s="1"/>
      <c r="I2329" s="2"/>
      <c r="J2329" s="2"/>
      <c r="N2329" s="2"/>
      <c r="O2329">
        <f>IFERROR(VLOOKUP($A2329,Accounts!$A:$G,3,FALSE),"")</f>
        <v>0</v>
      </c>
    </row>
    <row r="2330" spans="1:15" x14ac:dyDescent="0.2">
      <c r="A2330" t="str">
        <f t="shared" si="36"/>
        <v/>
      </c>
      <c r="F2330" s="1"/>
      <c r="H2330" s="1"/>
      <c r="I2330" s="2"/>
      <c r="J2330" s="2"/>
      <c r="N2330" s="2"/>
      <c r="O2330">
        <f>IFERROR(VLOOKUP($A2330,Accounts!$A:$G,3,FALSE),"")</f>
        <v>0</v>
      </c>
    </row>
    <row r="2331" spans="1:15" x14ac:dyDescent="0.2">
      <c r="A2331" t="str">
        <f t="shared" si="36"/>
        <v/>
      </c>
      <c r="F2331" s="1"/>
      <c r="H2331" s="1"/>
      <c r="I2331" s="2"/>
      <c r="J2331" s="2"/>
      <c r="N2331" s="2"/>
      <c r="O2331">
        <f>IFERROR(VLOOKUP($A2331,Accounts!$A:$G,3,FALSE),"")</f>
        <v>0</v>
      </c>
    </row>
    <row r="2332" spans="1:15" x14ac:dyDescent="0.2">
      <c r="A2332" t="str">
        <f t="shared" si="36"/>
        <v/>
      </c>
      <c r="F2332" s="1"/>
      <c r="H2332" s="1"/>
      <c r="I2332" s="2"/>
      <c r="J2332" s="2"/>
      <c r="N2332" s="2"/>
      <c r="O2332">
        <f>IFERROR(VLOOKUP($A2332,Accounts!$A:$G,3,FALSE),"")</f>
        <v>0</v>
      </c>
    </row>
    <row r="2333" spans="1:15" x14ac:dyDescent="0.2">
      <c r="A2333" t="str">
        <f t="shared" si="36"/>
        <v/>
      </c>
      <c r="F2333" s="1"/>
      <c r="H2333" s="1"/>
      <c r="I2333" s="2"/>
      <c r="J2333" s="2"/>
      <c r="N2333" s="2"/>
      <c r="O2333">
        <f>IFERROR(VLOOKUP($A2333,Accounts!$A:$G,3,FALSE),"")</f>
        <v>0</v>
      </c>
    </row>
    <row r="2334" spans="1:15" x14ac:dyDescent="0.2">
      <c r="A2334" t="str">
        <f t="shared" si="36"/>
        <v/>
      </c>
      <c r="F2334" s="1"/>
      <c r="H2334" s="1"/>
      <c r="I2334" s="2"/>
      <c r="J2334" s="2"/>
      <c r="N2334" s="2"/>
      <c r="O2334">
        <f>IFERROR(VLOOKUP($A2334,Accounts!$A:$G,3,FALSE),"")</f>
        <v>0</v>
      </c>
    </row>
    <row r="2335" spans="1:15" x14ac:dyDescent="0.2">
      <c r="A2335" t="str">
        <f t="shared" si="36"/>
        <v/>
      </c>
      <c r="F2335" s="1"/>
      <c r="H2335" s="1"/>
      <c r="I2335" s="2"/>
      <c r="J2335" s="2"/>
      <c r="N2335" s="2"/>
      <c r="O2335">
        <f>IFERROR(VLOOKUP($A2335,Accounts!$A:$G,3,FALSE),"")</f>
        <v>0</v>
      </c>
    </row>
    <row r="2336" spans="1:15" x14ac:dyDescent="0.2">
      <c r="A2336" t="str">
        <f t="shared" si="36"/>
        <v/>
      </c>
      <c r="F2336" s="1"/>
      <c r="H2336" s="1"/>
      <c r="I2336" s="2"/>
      <c r="J2336" s="2"/>
      <c r="N2336" s="2"/>
      <c r="O2336">
        <f>IFERROR(VLOOKUP($A2336,Accounts!$A:$G,3,FALSE),"")</f>
        <v>0</v>
      </c>
    </row>
    <row r="2337" spans="1:15" x14ac:dyDescent="0.2">
      <c r="A2337" t="str">
        <f t="shared" si="36"/>
        <v/>
      </c>
      <c r="F2337" s="1"/>
      <c r="H2337" s="1"/>
      <c r="I2337" s="2"/>
      <c r="J2337" s="2"/>
      <c r="N2337" s="2"/>
      <c r="O2337">
        <f>IFERROR(VLOOKUP($A2337,Accounts!$A:$G,3,FALSE),"")</f>
        <v>0</v>
      </c>
    </row>
    <row r="2338" spans="1:15" x14ac:dyDescent="0.2">
      <c r="A2338" t="str">
        <f t="shared" si="36"/>
        <v/>
      </c>
      <c r="F2338" s="1"/>
      <c r="H2338" s="1"/>
      <c r="I2338" s="2"/>
      <c r="J2338" s="2"/>
      <c r="N2338" s="2"/>
      <c r="O2338">
        <f>IFERROR(VLOOKUP($A2338,Accounts!$A:$G,3,FALSE),"")</f>
        <v>0</v>
      </c>
    </row>
    <row r="2339" spans="1:15" x14ac:dyDescent="0.2">
      <c r="A2339" t="str">
        <f t="shared" si="36"/>
        <v/>
      </c>
      <c r="F2339" s="1"/>
      <c r="H2339" s="1"/>
      <c r="I2339" s="2"/>
      <c r="J2339" s="2"/>
      <c r="N2339" s="2"/>
      <c r="O2339">
        <f>IFERROR(VLOOKUP($A2339,Accounts!$A:$G,3,FALSE),"")</f>
        <v>0</v>
      </c>
    </row>
    <row r="2340" spans="1:15" x14ac:dyDescent="0.2">
      <c r="A2340" t="str">
        <f t="shared" si="36"/>
        <v/>
      </c>
      <c r="F2340" s="1"/>
      <c r="H2340" s="1"/>
      <c r="I2340" s="2"/>
      <c r="J2340" s="2"/>
      <c r="N2340" s="2"/>
      <c r="O2340">
        <f>IFERROR(VLOOKUP($A2340,Accounts!$A:$G,3,FALSE),"")</f>
        <v>0</v>
      </c>
    </row>
    <row r="2341" spans="1:15" x14ac:dyDescent="0.2">
      <c r="A2341" t="str">
        <f t="shared" si="36"/>
        <v/>
      </c>
      <c r="F2341" s="1"/>
      <c r="H2341" s="1"/>
      <c r="I2341" s="2"/>
      <c r="J2341" s="2"/>
      <c r="N2341" s="2"/>
      <c r="O2341">
        <f>IFERROR(VLOOKUP($A2341,Accounts!$A:$G,3,FALSE),"")</f>
        <v>0</v>
      </c>
    </row>
    <row r="2342" spans="1:15" x14ac:dyDescent="0.2">
      <c r="A2342" t="str">
        <f t="shared" si="36"/>
        <v/>
      </c>
      <c r="F2342" s="1"/>
      <c r="H2342" s="1"/>
      <c r="I2342" s="2"/>
      <c r="J2342" s="2"/>
      <c r="N2342" s="2"/>
      <c r="O2342">
        <f>IFERROR(VLOOKUP($A2342,Accounts!$A:$G,3,FALSE),"")</f>
        <v>0</v>
      </c>
    </row>
    <row r="2343" spans="1:15" x14ac:dyDescent="0.2">
      <c r="A2343" t="str">
        <f t="shared" si="36"/>
        <v/>
      </c>
      <c r="F2343" s="1"/>
      <c r="H2343" s="1"/>
      <c r="I2343" s="2"/>
      <c r="J2343" s="2"/>
      <c r="N2343" s="2"/>
      <c r="O2343">
        <f>IFERROR(VLOOKUP($A2343,Accounts!$A:$G,3,FALSE),"")</f>
        <v>0</v>
      </c>
    </row>
    <row r="2344" spans="1:15" x14ac:dyDescent="0.2">
      <c r="A2344" t="str">
        <f t="shared" si="36"/>
        <v/>
      </c>
      <c r="F2344" s="1"/>
      <c r="H2344" s="1"/>
      <c r="I2344" s="2"/>
      <c r="J2344" s="2"/>
      <c r="N2344" s="2"/>
      <c r="O2344">
        <f>IFERROR(VLOOKUP($A2344,Accounts!$A:$G,3,FALSE),"")</f>
        <v>0</v>
      </c>
    </row>
    <row r="2345" spans="1:15" x14ac:dyDescent="0.2">
      <c r="A2345" t="str">
        <f t="shared" si="36"/>
        <v/>
      </c>
      <c r="F2345" s="1"/>
      <c r="H2345" s="1"/>
      <c r="I2345" s="2"/>
      <c r="J2345" s="2"/>
      <c r="N2345" s="2"/>
      <c r="O2345">
        <f>IFERROR(VLOOKUP($A2345,Accounts!$A:$G,3,FALSE),"")</f>
        <v>0</v>
      </c>
    </row>
    <row r="2346" spans="1:15" x14ac:dyDescent="0.2">
      <c r="A2346" t="str">
        <f t="shared" si="36"/>
        <v/>
      </c>
      <c r="F2346" s="1"/>
      <c r="H2346" s="1"/>
      <c r="I2346" s="2"/>
      <c r="J2346" s="2"/>
      <c r="N2346" s="2"/>
      <c r="O2346">
        <f>IFERROR(VLOOKUP($A2346,Accounts!$A:$G,3,FALSE),"")</f>
        <v>0</v>
      </c>
    </row>
    <row r="2347" spans="1:15" x14ac:dyDescent="0.2">
      <c r="A2347" t="str">
        <f t="shared" si="36"/>
        <v/>
      </c>
      <c r="F2347" s="1"/>
      <c r="H2347" s="1"/>
      <c r="I2347" s="2"/>
      <c r="J2347" s="2"/>
      <c r="N2347" s="2"/>
      <c r="O2347">
        <f>IFERROR(VLOOKUP($A2347,Accounts!$A:$G,3,FALSE),"")</f>
        <v>0</v>
      </c>
    </row>
    <row r="2348" spans="1:15" x14ac:dyDescent="0.2">
      <c r="A2348" t="str">
        <f t="shared" si="36"/>
        <v/>
      </c>
      <c r="F2348" s="1"/>
      <c r="H2348" s="1"/>
      <c r="I2348" s="2"/>
      <c r="J2348" s="2"/>
      <c r="N2348" s="2"/>
      <c r="O2348">
        <f>IFERROR(VLOOKUP($A2348,Accounts!$A:$G,3,FALSE),"")</f>
        <v>0</v>
      </c>
    </row>
    <row r="2349" spans="1:15" x14ac:dyDescent="0.2">
      <c r="A2349" t="str">
        <f t="shared" si="36"/>
        <v/>
      </c>
      <c r="F2349" s="1"/>
      <c r="H2349" s="1"/>
      <c r="I2349" s="2"/>
      <c r="J2349" s="2"/>
      <c r="N2349" s="2"/>
      <c r="O2349">
        <f>IFERROR(VLOOKUP($A2349,Accounts!$A:$G,3,FALSE),"")</f>
        <v>0</v>
      </c>
    </row>
    <row r="2350" spans="1:15" x14ac:dyDescent="0.2">
      <c r="A2350" t="str">
        <f t="shared" si="36"/>
        <v/>
      </c>
      <c r="F2350" s="1"/>
      <c r="H2350" s="1"/>
      <c r="I2350" s="2"/>
      <c r="J2350" s="2"/>
      <c r="N2350" s="2"/>
      <c r="O2350">
        <f>IFERROR(VLOOKUP($A2350,Accounts!$A:$G,3,FALSE),"")</f>
        <v>0</v>
      </c>
    </row>
    <row r="2351" spans="1:15" x14ac:dyDescent="0.2">
      <c r="A2351" t="str">
        <f t="shared" si="36"/>
        <v/>
      </c>
      <c r="F2351" s="1"/>
      <c r="H2351" s="1"/>
      <c r="I2351" s="2"/>
      <c r="J2351" s="2"/>
      <c r="N2351" s="2"/>
      <c r="O2351">
        <f>IFERROR(VLOOKUP($A2351,Accounts!$A:$G,3,FALSE),"")</f>
        <v>0</v>
      </c>
    </row>
    <row r="2352" spans="1:15" x14ac:dyDescent="0.2">
      <c r="A2352" t="str">
        <f t="shared" si="36"/>
        <v/>
      </c>
      <c r="F2352" s="1"/>
      <c r="H2352" s="1"/>
      <c r="I2352" s="2"/>
      <c r="J2352" s="2"/>
      <c r="N2352" s="2"/>
      <c r="O2352">
        <f>IFERROR(VLOOKUP($A2352,Accounts!$A:$G,3,FALSE),"")</f>
        <v>0</v>
      </c>
    </row>
    <row r="2353" spans="1:15" x14ac:dyDescent="0.2">
      <c r="A2353" t="str">
        <f t="shared" si="36"/>
        <v/>
      </c>
      <c r="F2353" s="1"/>
      <c r="H2353" s="1"/>
      <c r="I2353" s="2"/>
      <c r="J2353" s="2"/>
      <c r="N2353" s="2"/>
      <c r="O2353">
        <f>IFERROR(VLOOKUP($A2353,Accounts!$A:$G,3,FALSE),"")</f>
        <v>0</v>
      </c>
    </row>
    <row r="2354" spans="1:15" x14ac:dyDescent="0.2">
      <c r="A2354" t="str">
        <f t="shared" si="36"/>
        <v/>
      </c>
      <c r="F2354" s="1"/>
      <c r="H2354" s="1"/>
      <c r="I2354" s="2"/>
      <c r="J2354" s="2"/>
      <c r="N2354" s="2"/>
      <c r="O2354">
        <f>IFERROR(VLOOKUP($A2354,Accounts!$A:$G,3,FALSE),"")</f>
        <v>0</v>
      </c>
    </row>
    <row r="2355" spans="1:15" x14ac:dyDescent="0.2">
      <c r="A2355" t="str">
        <f t="shared" si="36"/>
        <v/>
      </c>
      <c r="F2355" s="1"/>
      <c r="H2355" s="1"/>
      <c r="I2355" s="2"/>
      <c r="J2355" s="2"/>
      <c r="N2355" s="2"/>
      <c r="O2355">
        <f>IFERROR(VLOOKUP($A2355,Accounts!$A:$G,3,FALSE),"")</f>
        <v>0</v>
      </c>
    </row>
    <row r="2356" spans="1:15" x14ac:dyDescent="0.2">
      <c r="A2356" t="str">
        <f t="shared" si="36"/>
        <v/>
      </c>
      <c r="F2356" s="1"/>
      <c r="H2356" s="1"/>
      <c r="I2356" s="2"/>
      <c r="J2356" s="2"/>
      <c r="N2356" s="2"/>
      <c r="O2356">
        <f>IFERROR(VLOOKUP($A2356,Accounts!$A:$G,3,FALSE),"")</f>
        <v>0</v>
      </c>
    </row>
    <row r="2357" spans="1:15" x14ac:dyDescent="0.2">
      <c r="A2357" t="str">
        <f t="shared" si="36"/>
        <v/>
      </c>
      <c r="F2357" s="1"/>
      <c r="H2357" s="1"/>
      <c r="I2357" s="2"/>
      <c r="J2357" s="2"/>
      <c r="N2357" s="2"/>
      <c r="O2357">
        <f>IFERROR(VLOOKUP($A2357,Accounts!$A:$G,3,FALSE),"")</f>
        <v>0</v>
      </c>
    </row>
    <row r="2358" spans="1:15" x14ac:dyDescent="0.2">
      <c r="A2358" t="str">
        <f t="shared" si="36"/>
        <v/>
      </c>
      <c r="F2358" s="1"/>
      <c r="H2358" s="1"/>
      <c r="I2358" s="2"/>
      <c r="J2358" s="2"/>
      <c r="N2358" s="2"/>
      <c r="O2358">
        <f>IFERROR(VLOOKUP($A2358,Accounts!$A:$G,3,FALSE),"")</f>
        <v>0</v>
      </c>
    </row>
    <row r="2359" spans="1:15" x14ac:dyDescent="0.2">
      <c r="A2359" t="str">
        <f t="shared" si="36"/>
        <v/>
      </c>
      <c r="F2359" s="1"/>
      <c r="H2359" s="1"/>
      <c r="I2359" s="2"/>
      <c r="J2359" s="2"/>
      <c r="N2359" s="2"/>
      <c r="O2359">
        <f>IFERROR(VLOOKUP($A2359,Accounts!$A:$G,3,FALSE),"")</f>
        <v>0</v>
      </c>
    </row>
    <row r="2360" spans="1:15" x14ac:dyDescent="0.2">
      <c r="A2360" t="str">
        <f t="shared" si="36"/>
        <v/>
      </c>
      <c r="F2360" s="1"/>
      <c r="H2360" s="1"/>
      <c r="I2360" s="2"/>
      <c r="J2360" s="2"/>
      <c r="N2360" s="2"/>
      <c r="O2360">
        <f>IFERROR(VLOOKUP($A2360,Accounts!$A:$G,3,FALSE),"")</f>
        <v>0</v>
      </c>
    </row>
    <row r="2361" spans="1:15" x14ac:dyDescent="0.2">
      <c r="A2361" t="str">
        <f t="shared" si="36"/>
        <v/>
      </c>
      <c r="F2361" s="1"/>
      <c r="H2361" s="1"/>
      <c r="I2361" s="2"/>
      <c r="J2361" s="2"/>
      <c r="N2361" s="2"/>
      <c r="O2361">
        <f>IFERROR(VLOOKUP($A2361,Accounts!$A:$G,3,FALSE),"")</f>
        <v>0</v>
      </c>
    </row>
    <row r="2362" spans="1:15" x14ac:dyDescent="0.2">
      <c r="A2362" t="str">
        <f t="shared" si="36"/>
        <v/>
      </c>
      <c r="F2362" s="1"/>
      <c r="H2362" s="1"/>
      <c r="I2362" s="2"/>
      <c r="J2362" s="2"/>
      <c r="N2362" s="2"/>
      <c r="O2362">
        <f>IFERROR(VLOOKUP($A2362,Accounts!$A:$G,3,FALSE),"")</f>
        <v>0</v>
      </c>
    </row>
    <row r="2363" spans="1:15" x14ac:dyDescent="0.2">
      <c r="A2363" t="str">
        <f t="shared" si="36"/>
        <v/>
      </c>
      <c r="F2363" s="1"/>
      <c r="H2363" s="1"/>
      <c r="I2363" s="2"/>
      <c r="J2363" s="2"/>
      <c r="N2363" s="2"/>
      <c r="O2363">
        <f>IFERROR(VLOOKUP($A2363,Accounts!$A:$G,3,FALSE),"")</f>
        <v>0</v>
      </c>
    </row>
    <row r="2364" spans="1:15" x14ac:dyDescent="0.2">
      <c r="A2364" t="str">
        <f t="shared" si="36"/>
        <v/>
      </c>
      <c r="F2364" s="1"/>
      <c r="H2364" s="1"/>
      <c r="I2364" s="2"/>
      <c r="J2364" s="2"/>
      <c r="N2364" s="2"/>
      <c r="O2364">
        <f>IFERROR(VLOOKUP($A2364,Accounts!$A:$G,3,FALSE),"")</f>
        <v>0</v>
      </c>
    </row>
    <row r="2365" spans="1:15" x14ac:dyDescent="0.2">
      <c r="A2365" t="str">
        <f t="shared" si="36"/>
        <v/>
      </c>
      <c r="F2365" s="1"/>
      <c r="H2365" s="1"/>
      <c r="I2365" s="2"/>
      <c r="J2365" s="2"/>
      <c r="N2365" s="2"/>
      <c r="O2365">
        <f>IFERROR(VLOOKUP($A2365,Accounts!$A:$G,3,FALSE),"")</f>
        <v>0</v>
      </c>
    </row>
    <row r="2366" spans="1:15" x14ac:dyDescent="0.2">
      <c r="A2366" t="str">
        <f t="shared" si="36"/>
        <v/>
      </c>
      <c r="F2366" s="1"/>
      <c r="H2366" s="1"/>
      <c r="I2366" s="2"/>
      <c r="J2366" s="2"/>
      <c r="N2366" s="2"/>
      <c r="O2366">
        <f>IFERROR(VLOOKUP($A2366,Accounts!$A:$G,3,FALSE),"")</f>
        <v>0</v>
      </c>
    </row>
    <row r="2367" spans="1:15" x14ac:dyDescent="0.2">
      <c r="A2367" t="str">
        <f t="shared" si="36"/>
        <v/>
      </c>
      <c r="F2367" s="1"/>
      <c r="H2367" s="1"/>
      <c r="I2367" s="2"/>
      <c r="J2367" s="2"/>
      <c r="N2367" s="2"/>
      <c r="O2367">
        <f>IFERROR(VLOOKUP($A2367,Accounts!$A:$G,3,FALSE),"")</f>
        <v>0</v>
      </c>
    </row>
    <row r="2368" spans="1:15" x14ac:dyDescent="0.2">
      <c r="A2368" t="str">
        <f t="shared" si="36"/>
        <v/>
      </c>
      <c r="F2368" s="1"/>
      <c r="H2368" s="1"/>
      <c r="I2368" s="2"/>
      <c r="J2368" s="2"/>
      <c r="N2368" s="2"/>
      <c r="O2368">
        <f>IFERROR(VLOOKUP($A2368,Accounts!$A:$G,3,FALSE),"")</f>
        <v>0</v>
      </c>
    </row>
    <row r="2369" spans="1:15" x14ac:dyDescent="0.2">
      <c r="A2369" t="str">
        <f t="shared" si="36"/>
        <v/>
      </c>
      <c r="F2369" s="1"/>
      <c r="H2369" s="1"/>
      <c r="I2369" s="2"/>
      <c r="J2369" s="2"/>
      <c r="N2369" s="2"/>
      <c r="O2369">
        <f>IFERROR(VLOOKUP($A2369,Accounts!$A:$G,3,FALSE),"")</f>
        <v>0</v>
      </c>
    </row>
    <row r="2370" spans="1:15" x14ac:dyDescent="0.2">
      <c r="A2370" t="str">
        <f t="shared" si="36"/>
        <v/>
      </c>
      <c r="F2370" s="1"/>
      <c r="H2370" s="1"/>
      <c r="I2370" s="2"/>
      <c r="J2370" s="2"/>
      <c r="N2370" s="2"/>
      <c r="O2370">
        <f>IFERROR(VLOOKUP($A2370,Accounts!$A:$G,3,FALSE),"")</f>
        <v>0</v>
      </c>
    </row>
    <row r="2371" spans="1:15" x14ac:dyDescent="0.2">
      <c r="A2371" t="str">
        <f t="shared" si="36"/>
        <v/>
      </c>
      <c r="F2371" s="1"/>
      <c r="H2371" s="1"/>
      <c r="I2371" s="2"/>
      <c r="J2371" s="2"/>
      <c r="N2371" s="2"/>
      <c r="O2371">
        <f>IFERROR(VLOOKUP($A2371,Accounts!$A:$G,3,FALSE),"")</f>
        <v>0</v>
      </c>
    </row>
    <row r="2372" spans="1:15" x14ac:dyDescent="0.2">
      <c r="A2372" t="str">
        <f t="shared" si="36"/>
        <v/>
      </c>
      <c r="F2372" s="1"/>
      <c r="H2372" s="1"/>
      <c r="I2372" s="2"/>
      <c r="J2372" s="2"/>
      <c r="N2372" s="2"/>
      <c r="O2372">
        <f>IFERROR(VLOOKUP($A2372,Accounts!$A:$G,3,FALSE),"")</f>
        <v>0</v>
      </c>
    </row>
    <row r="2373" spans="1:15" x14ac:dyDescent="0.2">
      <c r="A2373" t="str">
        <f t="shared" si="36"/>
        <v/>
      </c>
      <c r="F2373" s="1"/>
      <c r="H2373" s="1"/>
      <c r="I2373" s="2"/>
      <c r="J2373" s="2"/>
      <c r="N2373" s="2"/>
      <c r="O2373">
        <f>IFERROR(VLOOKUP($A2373,Accounts!$A:$G,3,FALSE),"")</f>
        <v>0</v>
      </c>
    </row>
    <row r="2374" spans="1:15" x14ac:dyDescent="0.2">
      <c r="A2374" t="str">
        <f t="shared" si="36"/>
        <v/>
      </c>
      <c r="F2374" s="1"/>
      <c r="H2374" s="1"/>
      <c r="I2374" s="2"/>
      <c r="J2374" s="2"/>
      <c r="N2374" s="2"/>
      <c r="O2374">
        <f>IFERROR(VLOOKUP($A2374,Accounts!$A:$G,3,FALSE),"")</f>
        <v>0</v>
      </c>
    </row>
    <row r="2375" spans="1:15" x14ac:dyDescent="0.2">
      <c r="A2375" t="str">
        <f t="shared" si="36"/>
        <v/>
      </c>
      <c r="F2375" s="1"/>
      <c r="H2375" s="1"/>
      <c r="I2375" s="2"/>
      <c r="J2375" s="2"/>
      <c r="N2375" s="2"/>
      <c r="O2375">
        <f>IFERROR(VLOOKUP($A2375,Accounts!$A:$G,3,FALSE),"")</f>
        <v>0</v>
      </c>
    </row>
    <row r="2376" spans="1:15" x14ac:dyDescent="0.2">
      <c r="A2376" t="str">
        <f t="shared" si="36"/>
        <v/>
      </c>
      <c r="F2376" s="1"/>
      <c r="H2376" s="1"/>
      <c r="I2376" s="2"/>
      <c r="J2376" s="2"/>
      <c r="N2376" s="2"/>
      <c r="O2376">
        <f>IFERROR(VLOOKUP($A2376,Accounts!$A:$G,3,FALSE),"")</f>
        <v>0</v>
      </c>
    </row>
    <row r="2377" spans="1:15" x14ac:dyDescent="0.2">
      <c r="A2377" t="str">
        <f t="shared" si="36"/>
        <v/>
      </c>
      <c r="F2377" s="1"/>
      <c r="H2377" s="1"/>
      <c r="I2377" s="2"/>
      <c r="J2377" s="2"/>
      <c r="N2377" s="2"/>
      <c r="O2377">
        <f>IFERROR(VLOOKUP($A2377,Accounts!$A:$G,3,FALSE),"")</f>
        <v>0</v>
      </c>
    </row>
    <row r="2378" spans="1:15" x14ac:dyDescent="0.2">
      <c r="A2378" t="str">
        <f t="shared" ref="A2378:A2441" si="37">IFERROR(IF(J2378=0,E2378&amp;C2378&amp;I2378,G2378&amp;B2378&amp;J2378),"")</f>
        <v/>
      </c>
      <c r="F2378" s="1"/>
      <c r="H2378" s="1"/>
      <c r="I2378" s="2"/>
      <c r="J2378" s="2"/>
      <c r="N2378" s="2"/>
      <c r="O2378">
        <f>IFERROR(VLOOKUP($A2378,Accounts!$A:$G,3,FALSE),"")</f>
        <v>0</v>
      </c>
    </row>
    <row r="2379" spans="1:15" x14ac:dyDescent="0.2">
      <c r="A2379" t="str">
        <f t="shared" si="37"/>
        <v/>
      </c>
      <c r="F2379" s="1"/>
      <c r="H2379" s="1"/>
      <c r="I2379" s="2"/>
      <c r="J2379" s="2"/>
      <c r="N2379" s="2"/>
      <c r="O2379">
        <f>IFERROR(VLOOKUP($A2379,Accounts!$A:$G,3,FALSE),"")</f>
        <v>0</v>
      </c>
    </row>
    <row r="2380" spans="1:15" x14ac:dyDescent="0.2">
      <c r="A2380" t="str">
        <f t="shared" si="37"/>
        <v/>
      </c>
      <c r="F2380" s="1"/>
      <c r="H2380" s="1"/>
      <c r="I2380" s="2"/>
      <c r="J2380" s="2"/>
      <c r="N2380" s="2"/>
      <c r="O2380">
        <f>IFERROR(VLOOKUP($A2380,Accounts!$A:$G,3,FALSE),"")</f>
        <v>0</v>
      </c>
    </row>
    <row r="2381" spans="1:15" x14ac:dyDescent="0.2">
      <c r="A2381" t="str">
        <f t="shared" si="37"/>
        <v/>
      </c>
      <c r="F2381" s="1"/>
      <c r="H2381" s="1"/>
      <c r="I2381" s="2"/>
      <c r="J2381" s="2"/>
      <c r="N2381" s="2"/>
      <c r="O2381">
        <f>IFERROR(VLOOKUP($A2381,Accounts!$A:$G,3,FALSE),"")</f>
        <v>0</v>
      </c>
    </row>
    <row r="2382" spans="1:15" x14ac:dyDescent="0.2">
      <c r="A2382" t="str">
        <f t="shared" si="37"/>
        <v/>
      </c>
      <c r="F2382" s="1"/>
      <c r="H2382" s="1"/>
      <c r="I2382" s="2"/>
      <c r="J2382" s="2"/>
      <c r="N2382" s="2"/>
      <c r="O2382">
        <f>IFERROR(VLOOKUP($A2382,Accounts!$A:$G,3,FALSE),"")</f>
        <v>0</v>
      </c>
    </row>
    <row r="2383" spans="1:15" x14ac:dyDescent="0.2">
      <c r="A2383" t="str">
        <f t="shared" si="37"/>
        <v/>
      </c>
      <c r="F2383" s="1"/>
      <c r="H2383" s="1"/>
      <c r="I2383" s="2"/>
      <c r="J2383" s="2"/>
      <c r="N2383" s="2"/>
      <c r="O2383">
        <f>IFERROR(VLOOKUP($A2383,Accounts!$A:$G,3,FALSE),"")</f>
        <v>0</v>
      </c>
    </row>
    <row r="2384" spans="1:15" x14ac:dyDescent="0.2">
      <c r="A2384" t="str">
        <f t="shared" si="37"/>
        <v/>
      </c>
      <c r="F2384" s="1"/>
      <c r="H2384" s="1"/>
      <c r="I2384" s="2"/>
      <c r="J2384" s="2"/>
      <c r="N2384" s="2"/>
      <c r="O2384">
        <f>IFERROR(VLOOKUP($A2384,Accounts!$A:$G,3,FALSE),"")</f>
        <v>0</v>
      </c>
    </row>
    <row r="2385" spans="1:15" x14ac:dyDescent="0.2">
      <c r="A2385" t="str">
        <f t="shared" si="37"/>
        <v/>
      </c>
      <c r="F2385" s="1"/>
      <c r="H2385" s="1"/>
      <c r="I2385" s="2"/>
      <c r="J2385" s="2"/>
      <c r="N2385" s="2"/>
      <c r="O2385">
        <f>IFERROR(VLOOKUP($A2385,Accounts!$A:$G,3,FALSE),"")</f>
        <v>0</v>
      </c>
    </row>
    <row r="2386" spans="1:15" x14ac:dyDescent="0.2">
      <c r="A2386" t="str">
        <f t="shared" si="37"/>
        <v/>
      </c>
      <c r="F2386" s="1"/>
      <c r="H2386" s="1"/>
      <c r="I2386" s="2"/>
      <c r="J2386" s="2"/>
      <c r="N2386" s="2"/>
      <c r="O2386">
        <f>IFERROR(VLOOKUP($A2386,Accounts!$A:$G,3,FALSE),"")</f>
        <v>0</v>
      </c>
    </row>
    <row r="2387" spans="1:15" x14ac:dyDescent="0.2">
      <c r="A2387" t="str">
        <f t="shared" si="37"/>
        <v/>
      </c>
      <c r="F2387" s="1"/>
      <c r="H2387" s="1"/>
      <c r="I2387" s="2"/>
      <c r="J2387" s="2"/>
      <c r="N2387" s="2"/>
      <c r="O2387">
        <f>IFERROR(VLOOKUP($A2387,Accounts!$A:$G,3,FALSE),"")</f>
        <v>0</v>
      </c>
    </row>
    <row r="2388" spans="1:15" x14ac:dyDescent="0.2">
      <c r="A2388" t="str">
        <f t="shared" si="37"/>
        <v/>
      </c>
      <c r="F2388" s="1"/>
      <c r="H2388" s="1"/>
      <c r="I2388" s="2"/>
      <c r="J2388" s="2"/>
      <c r="N2388" s="2"/>
      <c r="O2388">
        <f>IFERROR(VLOOKUP($A2388,Accounts!$A:$G,3,FALSE),"")</f>
        <v>0</v>
      </c>
    </row>
    <row r="2389" spans="1:15" x14ac:dyDescent="0.2">
      <c r="A2389" t="str">
        <f t="shared" si="37"/>
        <v/>
      </c>
      <c r="F2389" s="1"/>
      <c r="H2389" s="1"/>
      <c r="I2389" s="2"/>
      <c r="J2389" s="2"/>
      <c r="N2389" s="2"/>
      <c r="O2389">
        <f>IFERROR(VLOOKUP($A2389,Accounts!$A:$G,3,FALSE),"")</f>
        <v>0</v>
      </c>
    </row>
    <row r="2390" spans="1:15" x14ac:dyDescent="0.2">
      <c r="A2390" t="str">
        <f t="shared" si="37"/>
        <v/>
      </c>
      <c r="F2390" s="1"/>
      <c r="H2390" s="1"/>
      <c r="I2390" s="2"/>
      <c r="J2390" s="2"/>
      <c r="N2390" s="2"/>
      <c r="O2390">
        <f>IFERROR(VLOOKUP($A2390,Accounts!$A:$G,3,FALSE),"")</f>
        <v>0</v>
      </c>
    </row>
    <row r="2391" spans="1:15" x14ac:dyDescent="0.2">
      <c r="A2391" t="str">
        <f t="shared" si="37"/>
        <v/>
      </c>
      <c r="F2391" s="1"/>
      <c r="H2391" s="1"/>
      <c r="I2391" s="2"/>
      <c r="J2391" s="2"/>
      <c r="N2391" s="2"/>
      <c r="O2391">
        <f>IFERROR(VLOOKUP($A2391,Accounts!$A:$G,3,FALSE),"")</f>
        <v>0</v>
      </c>
    </row>
    <row r="2392" spans="1:15" x14ac:dyDescent="0.2">
      <c r="A2392" t="str">
        <f t="shared" si="37"/>
        <v/>
      </c>
      <c r="F2392" s="1"/>
      <c r="H2392" s="1"/>
      <c r="I2392" s="2"/>
      <c r="J2392" s="2"/>
      <c r="N2392" s="2"/>
      <c r="O2392">
        <f>IFERROR(VLOOKUP($A2392,Accounts!$A:$G,3,FALSE),"")</f>
        <v>0</v>
      </c>
    </row>
    <row r="2393" spans="1:15" x14ac:dyDescent="0.2">
      <c r="A2393" t="str">
        <f t="shared" si="37"/>
        <v/>
      </c>
      <c r="F2393" s="1"/>
      <c r="H2393" s="1"/>
      <c r="I2393" s="2"/>
      <c r="J2393" s="2"/>
      <c r="N2393" s="2"/>
      <c r="O2393">
        <f>IFERROR(VLOOKUP($A2393,Accounts!$A:$G,3,FALSE),"")</f>
        <v>0</v>
      </c>
    </row>
    <row r="2394" spans="1:15" x14ac:dyDescent="0.2">
      <c r="A2394" t="str">
        <f t="shared" si="37"/>
        <v/>
      </c>
      <c r="F2394" s="1"/>
      <c r="H2394" s="1"/>
      <c r="I2394" s="2"/>
      <c r="J2394" s="2"/>
      <c r="N2394" s="2"/>
      <c r="O2394">
        <f>IFERROR(VLOOKUP($A2394,Accounts!$A:$G,3,FALSE),"")</f>
        <v>0</v>
      </c>
    </row>
    <row r="2395" spans="1:15" x14ac:dyDescent="0.2">
      <c r="A2395" t="str">
        <f t="shared" si="37"/>
        <v/>
      </c>
      <c r="F2395" s="1"/>
      <c r="H2395" s="1"/>
      <c r="I2395" s="2"/>
      <c r="J2395" s="2"/>
      <c r="N2395" s="2"/>
      <c r="O2395">
        <f>IFERROR(VLOOKUP($A2395,Accounts!$A:$G,3,FALSE),"")</f>
        <v>0</v>
      </c>
    </row>
    <row r="2396" spans="1:15" x14ac:dyDescent="0.2">
      <c r="A2396" t="str">
        <f t="shared" si="37"/>
        <v/>
      </c>
      <c r="F2396" s="1"/>
      <c r="H2396" s="1"/>
      <c r="I2396" s="2"/>
      <c r="J2396" s="2"/>
      <c r="N2396" s="2"/>
      <c r="O2396">
        <f>IFERROR(VLOOKUP($A2396,Accounts!$A:$G,3,FALSE),"")</f>
        <v>0</v>
      </c>
    </row>
    <row r="2397" spans="1:15" x14ac:dyDescent="0.2">
      <c r="A2397" t="str">
        <f t="shared" si="37"/>
        <v/>
      </c>
      <c r="F2397" s="1"/>
      <c r="H2397" s="1"/>
      <c r="I2397" s="2"/>
      <c r="J2397" s="2"/>
      <c r="N2397" s="2"/>
      <c r="O2397">
        <f>IFERROR(VLOOKUP($A2397,Accounts!$A:$G,3,FALSE),"")</f>
        <v>0</v>
      </c>
    </row>
    <row r="2398" spans="1:15" x14ac:dyDescent="0.2">
      <c r="A2398" t="str">
        <f t="shared" si="37"/>
        <v/>
      </c>
      <c r="F2398" s="1"/>
      <c r="H2398" s="1"/>
      <c r="I2398" s="2"/>
      <c r="J2398" s="2"/>
      <c r="N2398" s="2"/>
      <c r="O2398">
        <f>IFERROR(VLOOKUP($A2398,Accounts!$A:$G,3,FALSE),"")</f>
        <v>0</v>
      </c>
    </row>
    <row r="2399" spans="1:15" x14ac:dyDescent="0.2">
      <c r="A2399" t="str">
        <f t="shared" si="37"/>
        <v/>
      </c>
      <c r="F2399" s="1"/>
      <c r="H2399" s="1"/>
      <c r="I2399" s="2"/>
      <c r="J2399" s="2"/>
      <c r="N2399" s="2"/>
      <c r="O2399">
        <f>IFERROR(VLOOKUP($A2399,Accounts!$A:$G,3,FALSE),"")</f>
        <v>0</v>
      </c>
    </row>
    <row r="2400" spans="1:15" x14ac:dyDescent="0.2">
      <c r="A2400" t="str">
        <f t="shared" si="37"/>
        <v/>
      </c>
      <c r="F2400" s="1"/>
      <c r="H2400" s="1"/>
      <c r="I2400" s="2"/>
      <c r="J2400" s="2"/>
      <c r="N2400" s="2"/>
      <c r="O2400">
        <f>IFERROR(VLOOKUP($A2400,Accounts!$A:$G,3,FALSE),"")</f>
        <v>0</v>
      </c>
    </row>
    <row r="2401" spans="1:15" x14ac:dyDescent="0.2">
      <c r="A2401" t="str">
        <f t="shared" si="37"/>
        <v/>
      </c>
      <c r="F2401" s="1"/>
      <c r="H2401" s="1"/>
      <c r="I2401" s="2"/>
      <c r="J2401" s="2"/>
      <c r="N2401" s="2"/>
      <c r="O2401">
        <f>IFERROR(VLOOKUP($A2401,Accounts!$A:$G,3,FALSE),"")</f>
        <v>0</v>
      </c>
    </row>
    <row r="2402" spans="1:15" x14ac:dyDescent="0.2">
      <c r="A2402" t="str">
        <f t="shared" si="37"/>
        <v/>
      </c>
      <c r="F2402" s="1"/>
      <c r="H2402" s="1"/>
      <c r="I2402" s="2"/>
      <c r="J2402" s="2"/>
      <c r="N2402" s="2"/>
      <c r="O2402">
        <f>IFERROR(VLOOKUP($A2402,Accounts!$A:$G,3,FALSE),"")</f>
        <v>0</v>
      </c>
    </row>
    <row r="2403" spans="1:15" x14ac:dyDescent="0.2">
      <c r="A2403" t="str">
        <f t="shared" si="37"/>
        <v/>
      </c>
      <c r="F2403" s="1"/>
      <c r="H2403" s="1"/>
      <c r="I2403" s="2"/>
      <c r="J2403" s="2"/>
      <c r="N2403" s="2"/>
      <c r="O2403">
        <f>IFERROR(VLOOKUP($A2403,Accounts!$A:$G,3,FALSE),"")</f>
        <v>0</v>
      </c>
    </row>
    <row r="2404" spans="1:15" x14ac:dyDescent="0.2">
      <c r="A2404" t="str">
        <f t="shared" si="37"/>
        <v/>
      </c>
      <c r="F2404" s="1"/>
      <c r="H2404" s="1"/>
      <c r="I2404" s="2"/>
      <c r="J2404" s="2"/>
      <c r="N2404" s="2"/>
      <c r="O2404">
        <f>IFERROR(VLOOKUP($A2404,Accounts!$A:$G,3,FALSE),"")</f>
        <v>0</v>
      </c>
    </row>
    <row r="2405" spans="1:15" x14ac:dyDescent="0.2">
      <c r="A2405" t="str">
        <f t="shared" si="37"/>
        <v/>
      </c>
      <c r="F2405" s="1"/>
      <c r="H2405" s="1"/>
      <c r="I2405" s="2"/>
      <c r="J2405" s="2"/>
      <c r="N2405" s="2"/>
      <c r="O2405">
        <f>IFERROR(VLOOKUP($A2405,Accounts!$A:$G,3,FALSE),"")</f>
        <v>0</v>
      </c>
    </row>
    <row r="2406" spans="1:15" x14ac:dyDescent="0.2">
      <c r="A2406" t="str">
        <f t="shared" si="37"/>
        <v/>
      </c>
      <c r="F2406" s="1"/>
      <c r="H2406" s="1"/>
      <c r="I2406" s="2"/>
      <c r="J2406" s="2"/>
      <c r="N2406" s="2"/>
      <c r="O2406">
        <f>IFERROR(VLOOKUP($A2406,Accounts!$A:$G,3,FALSE),"")</f>
        <v>0</v>
      </c>
    </row>
    <row r="2407" spans="1:15" x14ac:dyDescent="0.2">
      <c r="A2407" t="str">
        <f t="shared" si="37"/>
        <v/>
      </c>
      <c r="F2407" s="1"/>
      <c r="H2407" s="1"/>
      <c r="I2407" s="2"/>
      <c r="J2407" s="2"/>
      <c r="N2407" s="2"/>
      <c r="O2407">
        <f>IFERROR(VLOOKUP($A2407,Accounts!$A:$G,3,FALSE),"")</f>
        <v>0</v>
      </c>
    </row>
    <row r="2408" spans="1:15" x14ac:dyDescent="0.2">
      <c r="A2408" t="str">
        <f t="shared" si="37"/>
        <v/>
      </c>
      <c r="F2408" s="1"/>
      <c r="H2408" s="1"/>
      <c r="I2408" s="2"/>
      <c r="J2408" s="2"/>
      <c r="N2408" s="2"/>
      <c r="O2408">
        <f>IFERROR(VLOOKUP($A2408,Accounts!$A:$G,3,FALSE),"")</f>
        <v>0</v>
      </c>
    </row>
    <row r="2409" spans="1:15" x14ac:dyDescent="0.2">
      <c r="A2409" t="str">
        <f t="shared" si="37"/>
        <v/>
      </c>
      <c r="F2409" s="1"/>
      <c r="H2409" s="1"/>
      <c r="I2409" s="2"/>
      <c r="J2409" s="2"/>
      <c r="N2409" s="2"/>
      <c r="O2409">
        <f>IFERROR(VLOOKUP($A2409,Accounts!$A:$G,3,FALSE),"")</f>
        <v>0</v>
      </c>
    </row>
    <row r="2410" spans="1:15" x14ac:dyDescent="0.2">
      <c r="A2410" t="str">
        <f t="shared" si="37"/>
        <v/>
      </c>
      <c r="F2410" s="1"/>
      <c r="H2410" s="1"/>
      <c r="I2410" s="2"/>
      <c r="J2410" s="2"/>
      <c r="N2410" s="2"/>
      <c r="O2410">
        <f>IFERROR(VLOOKUP($A2410,Accounts!$A:$G,3,FALSE),"")</f>
        <v>0</v>
      </c>
    </row>
    <row r="2411" spans="1:15" x14ac:dyDescent="0.2">
      <c r="A2411" t="str">
        <f t="shared" si="37"/>
        <v/>
      </c>
      <c r="F2411" s="1"/>
      <c r="H2411" s="1"/>
      <c r="I2411" s="2"/>
      <c r="J2411" s="2"/>
      <c r="N2411" s="2"/>
      <c r="O2411">
        <f>IFERROR(VLOOKUP($A2411,Accounts!$A:$G,3,FALSE),"")</f>
        <v>0</v>
      </c>
    </row>
    <row r="2412" spans="1:15" x14ac:dyDescent="0.2">
      <c r="A2412" t="str">
        <f t="shared" si="37"/>
        <v/>
      </c>
      <c r="F2412" s="1"/>
      <c r="H2412" s="1"/>
      <c r="I2412" s="2"/>
      <c r="J2412" s="2"/>
      <c r="N2412" s="2"/>
      <c r="O2412">
        <f>IFERROR(VLOOKUP($A2412,Accounts!$A:$G,3,FALSE),"")</f>
        <v>0</v>
      </c>
    </row>
    <row r="2413" spans="1:15" x14ac:dyDescent="0.2">
      <c r="A2413" t="str">
        <f t="shared" si="37"/>
        <v/>
      </c>
      <c r="F2413" s="1"/>
      <c r="H2413" s="1"/>
      <c r="I2413" s="2"/>
      <c r="J2413" s="2"/>
      <c r="N2413" s="2"/>
      <c r="O2413">
        <f>IFERROR(VLOOKUP($A2413,Accounts!$A:$G,3,FALSE),"")</f>
        <v>0</v>
      </c>
    </row>
    <row r="2414" spans="1:15" x14ac:dyDescent="0.2">
      <c r="A2414" t="str">
        <f t="shared" si="37"/>
        <v/>
      </c>
      <c r="F2414" s="1"/>
      <c r="H2414" s="1"/>
      <c r="I2414" s="2"/>
      <c r="J2414" s="2"/>
      <c r="N2414" s="2"/>
      <c r="O2414">
        <f>IFERROR(VLOOKUP($A2414,Accounts!$A:$G,3,FALSE),"")</f>
        <v>0</v>
      </c>
    </row>
    <row r="2415" spans="1:15" x14ac:dyDescent="0.2">
      <c r="A2415" t="str">
        <f t="shared" si="37"/>
        <v/>
      </c>
      <c r="F2415" s="1"/>
      <c r="H2415" s="1"/>
      <c r="I2415" s="2"/>
      <c r="J2415" s="2"/>
      <c r="N2415" s="2"/>
      <c r="O2415">
        <f>IFERROR(VLOOKUP($A2415,Accounts!$A:$G,3,FALSE),"")</f>
        <v>0</v>
      </c>
    </row>
    <row r="2416" spans="1:15" x14ac:dyDescent="0.2">
      <c r="A2416" t="str">
        <f t="shared" si="37"/>
        <v/>
      </c>
      <c r="F2416" s="1"/>
      <c r="H2416" s="1"/>
      <c r="I2416" s="2"/>
      <c r="J2416" s="2"/>
      <c r="N2416" s="2"/>
      <c r="O2416">
        <f>IFERROR(VLOOKUP($A2416,Accounts!$A:$G,3,FALSE),"")</f>
        <v>0</v>
      </c>
    </row>
    <row r="2417" spans="1:15" x14ac:dyDescent="0.2">
      <c r="A2417" t="str">
        <f t="shared" si="37"/>
        <v/>
      </c>
      <c r="F2417" s="1"/>
      <c r="H2417" s="1"/>
      <c r="I2417" s="2"/>
      <c r="J2417" s="2"/>
      <c r="N2417" s="2"/>
      <c r="O2417">
        <f>IFERROR(VLOOKUP($A2417,Accounts!$A:$G,3,FALSE),"")</f>
        <v>0</v>
      </c>
    </row>
    <row r="2418" spans="1:15" x14ac:dyDescent="0.2">
      <c r="A2418" t="str">
        <f t="shared" si="37"/>
        <v/>
      </c>
      <c r="F2418" s="1"/>
      <c r="H2418" s="1"/>
      <c r="I2418" s="2"/>
      <c r="J2418" s="2"/>
      <c r="N2418" s="2"/>
      <c r="O2418">
        <f>IFERROR(VLOOKUP($A2418,Accounts!$A:$G,3,FALSE),"")</f>
        <v>0</v>
      </c>
    </row>
    <row r="2419" spans="1:15" x14ac:dyDescent="0.2">
      <c r="A2419" t="str">
        <f t="shared" si="37"/>
        <v/>
      </c>
      <c r="F2419" s="1"/>
      <c r="H2419" s="1"/>
      <c r="I2419" s="2"/>
      <c r="J2419" s="2"/>
      <c r="N2419" s="2"/>
      <c r="O2419">
        <f>IFERROR(VLOOKUP($A2419,Accounts!$A:$G,3,FALSE),"")</f>
        <v>0</v>
      </c>
    </row>
    <row r="2420" spans="1:15" x14ac:dyDescent="0.2">
      <c r="A2420" t="str">
        <f t="shared" si="37"/>
        <v/>
      </c>
      <c r="F2420" s="1"/>
      <c r="H2420" s="1"/>
      <c r="I2420" s="2"/>
      <c r="J2420" s="2"/>
      <c r="N2420" s="2"/>
      <c r="O2420">
        <f>IFERROR(VLOOKUP($A2420,Accounts!$A:$G,3,FALSE),"")</f>
        <v>0</v>
      </c>
    </row>
    <row r="2421" spans="1:15" x14ac:dyDescent="0.2">
      <c r="A2421" t="str">
        <f t="shared" si="37"/>
        <v/>
      </c>
      <c r="F2421" s="1"/>
      <c r="H2421" s="1"/>
      <c r="I2421" s="2"/>
      <c r="J2421" s="2"/>
      <c r="N2421" s="2"/>
      <c r="O2421">
        <f>IFERROR(VLOOKUP($A2421,Accounts!$A:$G,3,FALSE),"")</f>
        <v>0</v>
      </c>
    </row>
    <row r="2422" spans="1:15" x14ac:dyDescent="0.2">
      <c r="A2422" t="str">
        <f t="shared" si="37"/>
        <v/>
      </c>
      <c r="F2422" s="1"/>
      <c r="H2422" s="1"/>
      <c r="I2422" s="2"/>
      <c r="J2422" s="2"/>
      <c r="N2422" s="2"/>
      <c r="O2422">
        <f>IFERROR(VLOOKUP($A2422,Accounts!$A:$G,3,FALSE),"")</f>
        <v>0</v>
      </c>
    </row>
    <row r="2423" spans="1:15" x14ac:dyDescent="0.2">
      <c r="A2423" t="str">
        <f t="shared" si="37"/>
        <v/>
      </c>
      <c r="F2423" s="1"/>
      <c r="H2423" s="1"/>
      <c r="I2423" s="2"/>
      <c r="J2423" s="2"/>
      <c r="N2423" s="2"/>
      <c r="O2423">
        <f>IFERROR(VLOOKUP($A2423,Accounts!$A:$G,3,FALSE),"")</f>
        <v>0</v>
      </c>
    </row>
    <row r="2424" spans="1:15" x14ac:dyDescent="0.2">
      <c r="A2424" t="str">
        <f t="shared" si="37"/>
        <v/>
      </c>
      <c r="F2424" s="1"/>
      <c r="H2424" s="1"/>
      <c r="I2424" s="2"/>
      <c r="J2424" s="2"/>
      <c r="N2424" s="2"/>
      <c r="O2424">
        <f>IFERROR(VLOOKUP($A2424,Accounts!$A:$G,3,FALSE),"")</f>
        <v>0</v>
      </c>
    </row>
    <row r="2425" spans="1:15" x14ac:dyDescent="0.2">
      <c r="A2425" t="str">
        <f t="shared" si="37"/>
        <v/>
      </c>
      <c r="F2425" s="1"/>
      <c r="H2425" s="1"/>
      <c r="I2425" s="2"/>
      <c r="J2425" s="2"/>
      <c r="N2425" s="2"/>
      <c r="O2425">
        <f>IFERROR(VLOOKUP($A2425,Accounts!$A:$G,3,FALSE),"")</f>
        <v>0</v>
      </c>
    </row>
    <row r="2426" spans="1:15" x14ac:dyDescent="0.2">
      <c r="A2426" t="str">
        <f t="shared" si="37"/>
        <v/>
      </c>
      <c r="F2426" s="1"/>
      <c r="H2426" s="1"/>
      <c r="I2426" s="2"/>
      <c r="J2426" s="2"/>
      <c r="N2426" s="2"/>
      <c r="O2426">
        <f>IFERROR(VLOOKUP($A2426,Accounts!$A:$G,3,FALSE),"")</f>
        <v>0</v>
      </c>
    </row>
    <row r="2427" spans="1:15" x14ac:dyDescent="0.2">
      <c r="A2427" t="str">
        <f t="shared" si="37"/>
        <v/>
      </c>
      <c r="F2427" s="1"/>
      <c r="H2427" s="1"/>
      <c r="I2427" s="2"/>
      <c r="J2427" s="2"/>
      <c r="N2427" s="2"/>
      <c r="O2427">
        <f>IFERROR(VLOOKUP($A2427,Accounts!$A:$G,3,FALSE),"")</f>
        <v>0</v>
      </c>
    </row>
    <row r="2428" spans="1:15" x14ac:dyDescent="0.2">
      <c r="A2428" t="str">
        <f t="shared" si="37"/>
        <v/>
      </c>
      <c r="F2428" s="1"/>
      <c r="H2428" s="1"/>
      <c r="I2428" s="2"/>
      <c r="J2428" s="2"/>
      <c r="N2428" s="2"/>
      <c r="O2428">
        <f>IFERROR(VLOOKUP($A2428,Accounts!$A:$G,3,FALSE),"")</f>
        <v>0</v>
      </c>
    </row>
    <row r="2429" spans="1:15" x14ac:dyDescent="0.2">
      <c r="A2429" t="str">
        <f t="shared" si="37"/>
        <v/>
      </c>
      <c r="F2429" s="1"/>
      <c r="H2429" s="1"/>
      <c r="I2429" s="2"/>
      <c r="J2429" s="2"/>
      <c r="N2429" s="2"/>
      <c r="O2429">
        <f>IFERROR(VLOOKUP($A2429,Accounts!$A:$G,3,FALSE),"")</f>
        <v>0</v>
      </c>
    </row>
    <row r="2430" spans="1:15" x14ac:dyDescent="0.2">
      <c r="A2430" t="str">
        <f t="shared" si="37"/>
        <v/>
      </c>
      <c r="F2430" s="1"/>
      <c r="H2430" s="1"/>
      <c r="I2430" s="2"/>
      <c r="J2430" s="2"/>
      <c r="N2430" s="2"/>
      <c r="O2430">
        <f>IFERROR(VLOOKUP($A2430,Accounts!$A:$G,3,FALSE),"")</f>
        <v>0</v>
      </c>
    </row>
    <row r="2431" spans="1:15" x14ac:dyDescent="0.2">
      <c r="A2431" t="str">
        <f t="shared" si="37"/>
        <v/>
      </c>
      <c r="F2431" s="1"/>
      <c r="H2431" s="1"/>
      <c r="I2431" s="2"/>
      <c r="J2431" s="2"/>
      <c r="N2431" s="2"/>
      <c r="O2431">
        <f>IFERROR(VLOOKUP($A2431,Accounts!$A:$G,3,FALSE),"")</f>
        <v>0</v>
      </c>
    </row>
    <row r="2432" spans="1:15" x14ac:dyDescent="0.2">
      <c r="A2432" t="str">
        <f t="shared" si="37"/>
        <v/>
      </c>
      <c r="F2432" s="1"/>
      <c r="H2432" s="1"/>
      <c r="I2432" s="2"/>
      <c r="J2432" s="2"/>
      <c r="N2432" s="2"/>
      <c r="O2432">
        <f>IFERROR(VLOOKUP($A2432,Accounts!$A:$G,3,FALSE),"")</f>
        <v>0</v>
      </c>
    </row>
    <row r="2433" spans="1:15" x14ac:dyDescent="0.2">
      <c r="A2433" t="str">
        <f t="shared" si="37"/>
        <v/>
      </c>
      <c r="F2433" s="1"/>
      <c r="H2433" s="1"/>
      <c r="I2433" s="2"/>
      <c r="J2433" s="2"/>
      <c r="N2433" s="2"/>
      <c r="O2433">
        <f>IFERROR(VLOOKUP($A2433,Accounts!$A:$G,3,FALSE),"")</f>
        <v>0</v>
      </c>
    </row>
    <row r="2434" spans="1:15" x14ac:dyDescent="0.2">
      <c r="A2434" t="str">
        <f t="shared" si="37"/>
        <v/>
      </c>
      <c r="F2434" s="1"/>
      <c r="H2434" s="1"/>
      <c r="I2434" s="2"/>
      <c r="J2434" s="2"/>
      <c r="N2434" s="2"/>
      <c r="O2434">
        <f>IFERROR(VLOOKUP($A2434,Accounts!$A:$G,3,FALSE),"")</f>
        <v>0</v>
      </c>
    </row>
    <row r="2435" spans="1:15" x14ac:dyDescent="0.2">
      <c r="A2435" t="str">
        <f t="shared" si="37"/>
        <v/>
      </c>
      <c r="F2435" s="1"/>
      <c r="H2435" s="1"/>
      <c r="I2435" s="2"/>
      <c r="J2435" s="2"/>
      <c r="N2435" s="2"/>
      <c r="O2435">
        <f>IFERROR(VLOOKUP($A2435,Accounts!$A:$G,3,FALSE),"")</f>
        <v>0</v>
      </c>
    </row>
    <row r="2436" spans="1:15" x14ac:dyDescent="0.2">
      <c r="A2436" t="str">
        <f t="shared" si="37"/>
        <v/>
      </c>
      <c r="F2436" s="1"/>
      <c r="H2436" s="1"/>
      <c r="I2436" s="2"/>
      <c r="J2436" s="2"/>
      <c r="N2436" s="2"/>
      <c r="O2436">
        <f>IFERROR(VLOOKUP($A2436,Accounts!$A:$G,3,FALSE),"")</f>
        <v>0</v>
      </c>
    </row>
    <row r="2437" spans="1:15" x14ac:dyDescent="0.2">
      <c r="A2437" t="str">
        <f t="shared" si="37"/>
        <v/>
      </c>
      <c r="F2437" s="1"/>
      <c r="H2437" s="1"/>
      <c r="I2437" s="2"/>
      <c r="J2437" s="2"/>
      <c r="N2437" s="2"/>
      <c r="O2437">
        <f>IFERROR(VLOOKUP($A2437,Accounts!$A:$G,3,FALSE),"")</f>
        <v>0</v>
      </c>
    </row>
    <row r="2438" spans="1:15" x14ac:dyDescent="0.2">
      <c r="A2438" t="str">
        <f t="shared" si="37"/>
        <v/>
      </c>
      <c r="F2438" s="1"/>
      <c r="H2438" s="1"/>
      <c r="I2438" s="2"/>
      <c r="J2438" s="2"/>
      <c r="N2438" s="2"/>
      <c r="O2438">
        <f>IFERROR(VLOOKUP($A2438,Accounts!$A:$G,3,FALSE),"")</f>
        <v>0</v>
      </c>
    </row>
    <row r="2439" spans="1:15" x14ac:dyDescent="0.2">
      <c r="A2439" t="str">
        <f t="shared" si="37"/>
        <v/>
      </c>
      <c r="B2439" s="3"/>
      <c r="C2439" s="3"/>
      <c r="D2439" s="3"/>
      <c r="E2439" s="3"/>
      <c r="F2439" s="4"/>
      <c r="G2439" s="3"/>
      <c r="H2439" s="4"/>
      <c r="I2439" s="5"/>
      <c r="J2439" s="5"/>
      <c r="K2439" s="3"/>
      <c r="L2439" s="3"/>
      <c r="M2439" s="3"/>
      <c r="N2439" s="5"/>
      <c r="O2439">
        <f>IFERROR(VLOOKUP($A2439,Accounts!$A:$G,3,FALSE),"")</f>
        <v>0</v>
      </c>
    </row>
    <row r="2440" spans="1:15" x14ac:dyDescent="0.2">
      <c r="A2440" t="str">
        <f t="shared" si="37"/>
        <v/>
      </c>
      <c r="F2440" s="1"/>
      <c r="H2440" s="1"/>
      <c r="I2440" s="2"/>
      <c r="J2440" s="2"/>
      <c r="N2440" s="2"/>
      <c r="O2440">
        <f>IFERROR(VLOOKUP($A2440,Accounts!$A:$G,3,FALSE),"")</f>
        <v>0</v>
      </c>
    </row>
    <row r="2441" spans="1:15" x14ac:dyDescent="0.2">
      <c r="A2441" t="str">
        <f t="shared" si="37"/>
        <v/>
      </c>
      <c r="B2441" s="3"/>
      <c r="C2441" s="3"/>
      <c r="D2441" s="3"/>
      <c r="E2441" s="3"/>
      <c r="F2441" s="4"/>
      <c r="G2441" s="3"/>
      <c r="H2441" s="4"/>
      <c r="I2441" s="5"/>
      <c r="J2441" s="5"/>
      <c r="K2441" s="3"/>
      <c r="L2441" s="3"/>
      <c r="M2441" s="3"/>
      <c r="N2441" s="5"/>
      <c r="O2441">
        <f>IFERROR(VLOOKUP($A2441,Accounts!$A:$G,3,FALSE),"")</f>
        <v>0</v>
      </c>
    </row>
    <row r="2442" spans="1:15" x14ac:dyDescent="0.2">
      <c r="A2442" t="str">
        <f t="shared" ref="A2442:A2505" si="38">IFERROR(IF(J2442=0,E2442&amp;C2442&amp;I2442,G2442&amp;B2442&amp;J2442),"")</f>
        <v/>
      </c>
      <c r="F2442" s="1"/>
      <c r="H2442" s="1"/>
      <c r="I2442" s="2"/>
      <c r="J2442" s="2"/>
      <c r="N2442" s="2"/>
      <c r="O2442">
        <f>IFERROR(VLOOKUP($A2442,Accounts!$A:$G,3,FALSE),"")</f>
        <v>0</v>
      </c>
    </row>
    <row r="2443" spans="1:15" x14ac:dyDescent="0.2">
      <c r="A2443" t="str">
        <f t="shared" si="38"/>
        <v/>
      </c>
      <c r="F2443" s="1"/>
      <c r="H2443" s="1"/>
      <c r="I2443" s="2"/>
      <c r="J2443" s="2"/>
      <c r="N2443" s="2"/>
      <c r="O2443">
        <f>IFERROR(VLOOKUP($A2443,Accounts!$A:$G,3,FALSE),"")</f>
        <v>0</v>
      </c>
    </row>
    <row r="2444" spans="1:15" x14ac:dyDescent="0.2">
      <c r="A2444" t="str">
        <f t="shared" si="38"/>
        <v/>
      </c>
      <c r="B2444" s="3"/>
      <c r="C2444" s="3"/>
      <c r="D2444" s="3"/>
      <c r="E2444" s="3"/>
      <c r="F2444" s="4"/>
      <c r="G2444" s="3"/>
      <c r="H2444" s="4"/>
      <c r="I2444" s="5"/>
      <c r="J2444" s="5"/>
      <c r="K2444" s="3"/>
      <c r="L2444" s="3"/>
      <c r="M2444" s="3"/>
      <c r="N2444" s="5"/>
      <c r="O2444">
        <f>IFERROR(VLOOKUP($A2444,Accounts!$A:$G,3,FALSE),"")</f>
        <v>0</v>
      </c>
    </row>
    <row r="2445" spans="1:15" x14ac:dyDescent="0.2">
      <c r="A2445" t="str">
        <f t="shared" si="38"/>
        <v/>
      </c>
      <c r="F2445" s="1"/>
      <c r="H2445" s="1"/>
      <c r="I2445" s="2"/>
      <c r="J2445" s="2"/>
      <c r="N2445" s="2"/>
      <c r="O2445">
        <f>IFERROR(VLOOKUP($A2445,Accounts!$A:$G,3,FALSE),"")</f>
        <v>0</v>
      </c>
    </row>
    <row r="2446" spans="1:15" x14ac:dyDescent="0.2">
      <c r="A2446" t="str">
        <f t="shared" si="38"/>
        <v/>
      </c>
      <c r="F2446" s="1"/>
      <c r="H2446" s="1"/>
      <c r="I2446" s="2"/>
      <c r="J2446" s="2"/>
      <c r="N2446" s="2"/>
      <c r="O2446">
        <f>IFERROR(VLOOKUP($A2446,Accounts!$A:$G,3,FALSE),"")</f>
        <v>0</v>
      </c>
    </row>
    <row r="2447" spans="1:15" x14ac:dyDescent="0.2">
      <c r="A2447" t="str">
        <f t="shared" si="38"/>
        <v/>
      </c>
      <c r="F2447" s="1"/>
      <c r="H2447" s="1"/>
      <c r="I2447" s="2"/>
      <c r="J2447" s="2"/>
      <c r="N2447" s="2"/>
      <c r="O2447">
        <f>IFERROR(VLOOKUP($A2447,Accounts!$A:$G,3,FALSE),"")</f>
        <v>0</v>
      </c>
    </row>
    <row r="2448" spans="1:15" x14ac:dyDescent="0.2">
      <c r="A2448" t="str">
        <f t="shared" si="38"/>
        <v/>
      </c>
      <c r="F2448" s="1"/>
      <c r="H2448" s="1"/>
      <c r="I2448" s="2"/>
      <c r="J2448" s="2"/>
      <c r="N2448" s="2"/>
      <c r="O2448">
        <f>IFERROR(VLOOKUP($A2448,Accounts!$A:$G,3,FALSE),"")</f>
        <v>0</v>
      </c>
    </row>
    <row r="2449" spans="1:15" x14ac:dyDescent="0.2">
      <c r="A2449" t="str">
        <f t="shared" si="38"/>
        <v/>
      </c>
      <c r="F2449" s="1"/>
      <c r="H2449" s="1"/>
      <c r="I2449" s="2"/>
      <c r="J2449" s="2"/>
      <c r="N2449" s="2"/>
      <c r="O2449">
        <f>IFERROR(VLOOKUP($A2449,Accounts!$A:$G,3,FALSE),"")</f>
        <v>0</v>
      </c>
    </row>
    <row r="2450" spans="1:15" x14ac:dyDescent="0.2">
      <c r="A2450" t="str">
        <f t="shared" si="38"/>
        <v/>
      </c>
      <c r="F2450" s="1"/>
      <c r="H2450" s="1"/>
      <c r="I2450" s="2"/>
      <c r="J2450" s="2"/>
      <c r="N2450" s="2"/>
      <c r="O2450">
        <f>IFERROR(VLOOKUP($A2450,Accounts!$A:$G,3,FALSE),"")</f>
        <v>0</v>
      </c>
    </row>
    <row r="2451" spans="1:15" x14ac:dyDescent="0.2">
      <c r="A2451" t="str">
        <f t="shared" si="38"/>
        <v/>
      </c>
      <c r="F2451" s="1"/>
      <c r="H2451" s="1"/>
      <c r="I2451" s="2"/>
      <c r="J2451" s="2"/>
      <c r="N2451" s="2"/>
      <c r="O2451">
        <f>IFERROR(VLOOKUP($A2451,Accounts!$A:$G,3,FALSE),"")</f>
        <v>0</v>
      </c>
    </row>
    <row r="2452" spans="1:15" x14ac:dyDescent="0.2">
      <c r="A2452" t="str">
        <f t="shared" si="38"/>
        <v/>
      </c>
      <c r="F2452" s="1"/>
      <c r="H2452" s="1"/>
      <c r="I2452" s="2"/>
      <c r="J2452" s="2"/>
      <c r="N2452" s="2"/>
      <c r="O2452">
        <f>IFERROR(VLOOKUP($A2452,Accounts!$A:$G,3,FALSE),"")</f>
        <v>0</v>
      </c>
    </row>
    <row r="2453" spans="1:15" x14ac:dyDescent="0.2">
      <c r="A2453" t="str">
        <f t="shared" si="38"/>
        <v/>
      </c>
      <c r="F2453" s="1"/>
      <c r="H2453" s="1"/>
      <c r="I2453" s="2"/>
      <c r="J2453" s="2"/>
      <c r="N2453" s="2"/>
      <c r="O2453">
        <f>IFERROR(VLOOKUP($A2453,Accounts!$A:$G,3,FALSE),"")</f>
        <v>0</v>
      </c>
    </row>
    <row r="2454" spans="1:15" x14ac:dyDescent="0.2">
      <c r="A2454" t="str">
        <f t="shared" si="38"/>
        <v/>
      </c>
      <c r="F2454" s="1"/>
      <c r="H2454" s="1"/>
      <c r="I2454" s="2"/>
      <c r="J2454" s="2"/>
      <c r="N2454" s="2"/>
      <c r="O2454">
        <f>IFERROR(VLOOKUP($A2454,Accounts!$A:$G,3,FALSE),"")</f>
        <v>0</v>
      </c>
    </row>
    <row r="2455" spans="1:15" x14ac:dyDescent="0.2">
      <c r="A2455" t="str">
        <f t="shared" si="38"/>
        <v/>
      </c>
      <c r="F2455" s="1"/>
      <c r="H2455" s="1"/>
      <c r="I2455" s="2"/>
      <c r="J2455" s="2"/>
      <c r="N2455" s="2"/>
      <c r="O2455">
        <f>IFERROR(VLOOKUP($A2455,Accounts!$A:$G,3,FALSE),"")</f>
        <v>0</v>
      </c>
    </row>
    <row r="2456" spans="1:15" x14ac:dyDescent="0.2">
      <c r="A2456" t="str">
        <f t="shared" si="38"/>
        <v/>
      </c>
      <c r="F2456" s="1"/>
      <c r="H2456" s="1"/>
      <c r="I2456" s="2"/>
      <c r="J2456" s="2"/>
      <c r="N2456" s="2"/>
      <c r="O2456">
        <f>IFERROR(VLOOKUP($A2456,Accounts!$A:$G,3,FALSE),"")</f>
        <v>0</v>
      </c>
    </row>
    <row r="2457" spans="1:15" x14ac:dyDescent="0.2">
      <c r="A2457" t="str">
        <f t="shared" si="38"/>
        <v/>
      </c>
      <c r="F2457" s="1"/>
      <c r="H2457" s="1"/>
      <c r="I2457" s="2"/>
      <c r="J2457" s="2"/>
      <c r="N2457" s="2"/>
      <c r="O2457">
        <f>IFERROR(VLOOKUP($A2457,Accounts!$A:$G,3,FALSE),"")</f>
        <v>0</v>
      </c>
    </row>
    <row r="2458" spans="1:15" x14ac:dyDescent="0.2">
      <c r="A2458" t="str">
        <f t="shared" si="38"/>
        <v/>
      </c>
      <c r="F2458" s="1"/>
      <c r="H2458" s="1"/>
      <c r="I2458" s="2"/>
      <c r="J2458" s="2"/>
      <c r="N2458" s="2"/>
      <c r="O2458">
        <f>IFERROR(VLOOKUP($A2458,Accounts!$A:$G,3,FALSE),"")</f>
        <v>0</v>
      </c>
    </row>
    <row r="2459" spans="1:15" x14ac:dyDescent="0.2">
      <c r="A2459" t="str">
        <f t="shared" si="38"/>
        <v/>
      </c>
      <c r="F2459" s="1"/>
      <c r="H2459" s="1"/>
      <c r="I2459" s="2"/>
      <c r="J2459" s="2"/>
      <c r="N2459" s="2"/>
      <c r="O2459">
        <f>IFERROR(VLOOKUP($A2459,Accounts!$A:$G,3,FALSE),"")</f>
        <v>0</v>
      </c>
    </row>
    <row r="2460" spans="1:15" x14ac:dyDescent="0.2">
      <c r="A2460" t="str">
        <f t="shared" si="38"/>
        <v/>
      </c>
      <c r="F2460" s="1"/>
      <c r="H2460" s="1"/>
      <c r="I2460" s="2"/>
      <c r="J2460" s="2"/>
      <c r="N2460" s="2"/>
      <c r="O2460">
        <f>IFERROR(VLOOKUP($A2460,Accounts!$A:$G,3,FALSE),"")</f>
        <v>0</v>
      </c>
    </row>
    <row r="2461" spans="1:15" x14ac:dyDescent="0.2">
      <c r="A2461" t="str">
        <f t="shared" si="38"/>
        <v/>
      </c>
      <c r="F2461" s="1"/>
      <c r="H2461" s="1"/>
      <c r="I2461" s="2"/>
      <c r="J2461" s="2"/>
      <c r="N2461" s="2"/>
      <c r="O2461">
        <f>IFERROR(VLOOKUP($A2461,Accounts!$A:$G,3,FALSE),"")</f>
        <v>0</v>
      </c>
    </row>
    <row r="2462" spans="1:15" x14ac:dyDescent="0.2">
      <c r="A2462" t="str">
        <f t="shared" si="38"/>
        <v/>
      </c>
      <c r="F2462" s="1"/>
      <c r="H2462" s="1"/>
      <c r="I2462" s="2"/>
      <c r="J2462" s="2"/>
      <c r="N2462" s="2"/>
      <c r="O2462">
        <f>IFERROR(VLOOKUP($A2462,Accounts!$A:$G,3,FALSE),"")</f>
        <v>0</v>
      </c>
    </row>
    <row r="2463" spans="1:15" x14ac:dyDescent="0.2">
      <c r="A2463" t="str">
        <f t="shared" si="38"/>
        <v/>
      </c>
      <c r="F2463" s="1"/>
      <c r="H2463" s="1"/>
      <c r="I2463" s="2"/>
      <c r="J2463" s="2"/>
      <c r="N2463" s="2"/>
      <c r="O2463">
        <f>IFERROR(VLOOKUP($A2463,Accounts!$A:$G,3,FALSE),"")</f>
        <v>0</v>
      </c>
    </row>
    <row r="2464" spans="1:15" x14ac:dyDescent="0.2">
      <c r="A2464" t="str">
        <f t="shared" si="38"/>
        <v/>
      </c>
      <c r="F2464" s="1"/>
      <c r="H2464" s="1"/>
      <c r="I2464" s="2"/>
      <c r="J2464" s="2"/>
      <c r="N2464" s="2"/>
      <c r="O2464">
        <f>IFERROR(VLOOKUP($A2464,Accounts!$A:$G,3,FALSE),"")</f>
        <v>0</v>
      </c>
    </row>
    <row r="2465" spans="1:15" x14ac:dyDescent="0.2">
      <c r="A2465" t="str">
        <f t="shared" si="38"/>
        <v/>
      </c>
      <c r="F2465" s="1"/>
      <c r="H2465" s="1"/>
      <c r="I2465" s="2"/>
      <c r="J2465" s="2"/>
      <c r="N2465" s="2"/>
      <c r="O2465">
        <f>IFERROR(VLOOKUP($A2465,Accounts!$A:$G,3,FALSE),"")</f>
        <v>0</v>
      </c>
    </row>
    <row r="2466" spans="1:15" x14ac:dyDescent="0.2">
      <c r="A2466" t="str">
        <f t="shared" si="38"/>
        <v/>
      </c>
      <c r="F2466" s="1"/>
      <c r="H2466" s="1"/>
      <c r="I2466" s="2"/>
      <c r="J2466" s="2"/>
      <c r="N2466" s="2"/>
      <c r="O2466">
        <f>IFERROR(VLOOKUP($A2466,Accounts!$A:$G,3,FALSE),"")</f>
        <v>0</v>
      </c>
    </row>
    <row r="2467" spans="1:15" x14ac:dyDescent="0.2">
      <c r="A2467" t="str">
        <f t="shared" si="38"/>
        <v/>
      </c>
      <c r="F2467" s="1"/>
      <c r="H2467" s="1"/>
      <c r="I2467" s="2"/>
      <c r="J2467" s="2"/>
      <c r="N2467" s="2"/>
      <c r="O2467">
        <f>IFERROR(VLOOKUP($A2467,Accounts!$A:$G,3,FALSE),"")</f>
        <v>0</v>
      </c>
    </row>
    <row r="2468" spans="1:15" x14ac:dyDescent="0.2">
      <c r="A2468" t="str">
        <f t="shared" si="38"/>
        <v/>
      </c>
      <c r="F2468" s="1"/>
      <c r="H2468" s="1"/>
      <c r="I2468" s="2"/>
      <c r="J2468" s="2"/>
      <c r="N2468" s="2"/>
      <c r="O2468">
        <f>IFERROR(VLOOKUP($A2468,Accounts!$A:$G,3,FALSE),"")</f>
        <v>0</v>
      </c>
    </row>
    <row r="2469" spans="1:15" x14ac:dyDescent="0.2">
      <c r="A2469" t="str">
        <f t="shared" si="38"/>
        <v/>
      </c>
      <c r="F2469" s="1"/>
      <c r="H2469" s="1"/>
      <c r="I2469" s="2"/>
      <c r="J2469" s="2"/>
      <c r="N2469" s="2"/>
      <c r="O2469">
        <f>IFERROR(VLOOKUP($A2469,Accounts!$A:$G,3,FALSE),"")</f>
        <v>0</v>
      </c>
    </row>
    <row r="2470" spans="1:15" x14ac:dyDescent="0.2">
      <c r="A2470" t="str">
        <f t="shared" si="38"/>
        <v/>
      </c>
      <c r="F2470" s="1"/>
      <c r="H2470" s="1"/>
      <c r="I2470" s="2"/>
      <c r="J2470" s="2"/>
      <c r="N2470" s="2"/>
      <c r="O2470">
        <f>IFERROR(VLOOKUP($A2470,Accounts!$A:$G,3,FALSE),"")</f>
        <v>0</v>
      </c>
    </row>
    <row r="2471" spans="1:15" x14ac:dyDescent="0.2">
      <c r="A2471" t="str">
        <f t="shared" si="38"/>
        <v/>
      </c>
      <c r="F2471" s="1"/>
      <c r="H2471" s="1"/>
      <c r="I2471" s="2"/>
      <c r="J2471" s="2"/>
      <c r="N2471" s="2"/>
      <c r="O2471">
        <f>IFERROR(VLOOKUP($A2471,Accounts!$A:$G,3,FALSE),"")</f>
        <v>0</v>
      </c>
    </row>
    <row r="2472" spans="1:15" x14ac:dyDescent="0.2">
      <c r="A2472" t="str">
        <f t="shared" si="38"/>
        <v/>
      </c>
      <c r="F2472" s="1"/>
      <c r="H2472" s="1"/>
      <c r="I2472" s="2"/>
      <c r="J2472" s="2"/>
      <c r="N2472" s="2"/>
      <c r="O2472">
        <f>IFERROR(VLOOKUP($A2472,Accounts!$A:$G,3,FALSE),"")</f>
        <v>0</v>
      </c>
    </row>
    <row r="2473" spans="1:15" x14ac:dyDescent="0.2">
      <c r="A2473" t="str">
        <f t="shared" si="38"/>
        <v/>
      </c>
      <c r="F2473" s="1"/>
      <c r="H2473" s="1"/>
      <c r="I2473" s="2"/>
      <c r="J2473" s="2"/>
      <c r="N2473" s="2"/>
      <c r="O2473">
        <f>IFERROR(VLOOKUP($A2473,Accounts!$A:$G,3,FALSE),"")</f>
        <v>0</v>
      </c>
    </row>
    <row r="2474" spans="1:15" x14ac:dyDescent="0.2">
      <c r="A2474" t="str">
        <f t="shared" si="38"/>
        <v/>
      </c>
      <c r="F2474" s="1"/>
      <c r="H2474" s="1"/>
      <c r="I2474" s="2"/>
      <c r="J2474" s="2"/>
      <c r="N2474" s="2"/>
      <c r="O2474">
        <f>IFERROR(VLOOKUP($A2474,Accounts!$A:$G,3,FALSE),"")</f>
        <v>0</v>
      </c>
    </row>
    <row r="2475" spans="1:15" x14ac:dyDescent="0.2">
      <c r="A2475" t="str">
        <f t="shared" si="38"/>
        <v/>
      </c>
      <c r="F2475" s="1"/>
      <c r="H2475" s="1"/>
      <c r="I2475" s="2"/>
      <c r="J2475" s="2"/>
      <c r="N2475" s="2"/>
      <c r="O2475">
        <f>IFERROR(VLOOKUP($A2475,Accounts!$A:$G,3,FALSE),"")</f>
        <v>0</v>
      </c>
    </row>
    <row r="2476" spans="1:15" x14ac:dyDescent="0.2">
      <c r="A2476" t="str">
        <f t="shared" si="38"/>
        <v/>
      </c>
      <c r="F2476" s="1"/>
      <c r="H2476" s="1"/>
      <c r="I2476" s="2"/>
      <c r="J2476" s="2"/>
      <c r="N2476" s="2"/>
      <c r="O2476">
        <f>IFERROR(VLOOKUP($A2476,Accounts!$A:$G,3,FALSE),"")</f>
        <v>0</v>
      </c>
    </row>
    <row r="2477" spans="1:15" x14ac:dyDescent="0.2">
      <c r="A2477" t="str">
        <f t="shared" si="38"/>
        <v/>
      </c>
      <c r="F2477" s="1"/>
      <c r="H2477" s="1"/>
      <c r="I2477" s="2"/>
      <c r="J2477" s="2"/>
      <c r="N2477" s="2"/>
      <c r="O2477">
        <f>IFERROR(VLOOKUP($A2477,Accounts!$A:$G,3,FALSE),"")</f>
        <v>0</v>
      </c>
    </row>
    <row r="2478" spans="1:15" x14ac:dyDescent="0.2">
      <c r="A2478" t="str">
        <f t="shared" si="38"/>
        <v/>
      </c>
      <c r="F2478" s="1"/>
      <c r="H2478" s="1"/>
      <c r="I2478" s="2"/>
      <c r="J2478" s="2"/>
      <c r="N2478" s="2"/>
      <c r="O2478">
        <f>IFERROR(VLOOKUP($A2478,Accounts!$A:$G,3,FALSE),"")</f>
        <v>0</v>
      </c>
    </row>
    <row r="2479" spans="1:15" x14ac:dyDescent="0.2">
      <c r="A2479" t="str">
        <f t="shared" si="38"/>
        <v/>
      </c>
      <c r="F2479" s="1"/>
      <c r="H2479" s="1"/>
      <c r="I2479" s="2"/>
      <c r="J2479" s="2"/>
      <c r="N2479" s="2"/>
      <c r="O2479">
        <f>IFERROR(VLOOKUP($A2479,Accounts!$A:$G,3,FALSE),"")</f>
        <v>0</v>
      </c>
    </row>
    <row r="2480" spans="1:15" x14ac:dyDescent="0.2">
      <c r="A2480" t="str">
        <f t="shared" si="38"/>
        <v/>
      </c>
      <c r="F2480" s="1"/>
      <c r="H2480" s="1"/>
      <c r="I2480" s="2"/>
      <c r="J2480" s="2"/>
      <c r="N2480" s="2"/>
      <c r="O2480">
        <f>IFERROR(VLOOKUP($A2480,Accounts!$A:$G,3,FALSE),"")</f>
        <v>0</v>
      </c>
    </row>
    <row r="2481" spans="1:15" x14ac:dyDescent="0.2">
      <c r="A2481" t="str">
        <f t="shared" si="38"/>
        <v/>
      </c>
      <c r="F2481" s="1"/>
      <c r="H2481" s="1"/>
      <c r="I2481" s="2"/>
      <c r="J2481" s="2"/>
      <c r="N2481" s="2"/>
      <c r="O2481">
        <f>IFERROR(VLOOKUP($A2481,Accounts!$A:$G,3,FALSE),"")</f>
        <v>0</v>
      </c>
    </row>
    <row r="2482" spans="1:15" x14ac:dyDescent="0.2">
      <c r="A2482" t="str">
        <f t="shared" si="38"/>
        <v/>
      </c>
      <c r="F2482" s="1"/>
      <c r="H2482" s="1"/>
      <c r="I2482" s="2"/>
      <c r="J2482" s="2"/>
      <c r="N2482" s="2"/>
      <c r="O2482">
        <f>IFERROR(VLOOKUP($A2482,Accounts!$A:$G,3,FALSE),"")</f>
        <v>0</v>
      </c>
    </row>
    <row r="2483" spans="1:15" x14ac:dyDescent="0.2">
      <c r="A2483" t="str">
        <f t="shared" si="38"/>
        <v/>
      </c>
      <c r="F2483" s="1"/>
      <c r="H2483" s="1"/>
      <c r="I2483" s="2"/>
      <c r="J2483" s="2"/>
      <c r="N2483" s="2"/>
      <c r="O2483">
        <f>IFERROR(VLOOKUP($A2483,Accounts!$A:$G,3,FALSE),"")</f>
        <v>0</v>
      </c>
    </row>
    <row r="2484" spans="1:15" x14ac:dyDescent="0.2">
      <c r="A2484" t="str">
        <f t="shared" si="38"/>
        <v/>
      </c>
      <c r="F2484" s="1"/>
      <c r="H2484" s="1"/>
      <c r="I2484" s="2"/>
      <c r="J2484" s="2"/>
      <c r="N2484" s="2"/>
      <c r="O2484">
        <f>IFERROR(VLOOKUP($A2484,Accounts!$A:$G,3,FALSE),"")</f>
        <v>0</v>
      </c>
    </row>
    <row r="2485" spans="1:15" x14ac:dyDescent="0.2">
      <c r="A2485" t="str">
        <f t="shared" si="38"/>
        <v/>
      </c>
      <c r="F2485" s="1"/>
      <c r="H2485" s="1"/>
      <c r="I2485" s="2"/>
      <c r="J2485" s="2"/>
      <c r="N2485" s="2"/>
      <c r="O2485">
        <f>IFERROR(VLOOKUP($A2485,Accounts!$A:$G,3,FALSE),"")</f>
        <v>0</v>
      </c>
    </row>
    <row r="2486" spans="1:15" x14ac:dyDescent="0.2">
      <c r="A2486" t="str">
        <f t="shared" si="38"/>
        <v/>
      </c>
      <c r="F2486" s="1"/>
      <c r="H2486" s="1"/>
      <c r="I2486" s="2"/>
      <c r="J2486" s="2"/>
      <c r="N2486" s="2"/>
      <c r="O2486">
        <f>IFERROR(VLOOKUP($A2486,Accounts!$A:$G,3,FALSE),"")</f>
        <v>0</v>
      </c>
    </row>
    <row r="2487" spans="1:15" x14ac:dyDescent="0.2">
      <c r="A2487" t="str">
        <f t="shared" si="38"/>
        <v/>
      </c>
      <c r="F2487" s="1"/>
      <c r="H2487" s="1"/>
      <c r="I2487" s="2"/>
      <c r="J2487" s="2"/>
      <c r="N2487" s="2"/>
      <c r="O2487">
        <f>IFERROR(VLOOKUP($A2487,Accounts!$A:$G,3,FALSE),"")</f>
        <v>0</v>
      </c>
    </row>
    <row r="2488" spans="1:15" x14ac:dyDescent="0.2">
      <c r="A2488" t="str">
        <f t="shared" si="38"/>
        <v/>
      </c>
      <c r="F2488" s="1"/>
      <c r="H2488" s="1"/>
      <c r="I2488" s="2"/>
      <c r="J2488" s="2"/>
      <c r="N2488" s="2"/>
      <c r="O2488">
        <f>IFERROR(VLOOKUP($A2488,Accounts!$A:$G,3,FALSE),"")</f>
        <v>0</v>
      </c>
    </row>
    <row r="2489" spans="1:15" x14ac:dyDescent="0.2">
      <c r="A2489" t="str">
        <f t="shared" si="38"/>
        <v/>
      </c>
      <c r="F2489" s="1"/>
      <c r="H2489" s="1"/>
      <c r="I2489" s="2"/>
      <c r="J2489" s="2"/>
      <c r="N2489" s="2"/>
      <c r="O2489">
        <f>IFERROR(VLOOKUP($A2489,Accounts!$A:$G,3,FALSE),"")</f>
        <v>0</v>
      </c>
    </row>
    <row r="2490" spans="1:15" x14ac:dyDescent="0.2">
      <c r="A2490" t="str">
        <f t="shared" si="38"/>
        <v/>
      </c>
      <c r="F2490" s="1"/>
      <c r="H2490" s="1"/>
      <c r="I2490" s="2"/>
      <c r="J2490" s="2"/>
      <c r="N2490" s="2"/>
      <c r="O2490">
        <f>IFERROR(VLOOKUP($A2490,Accounts!$A:$G,3,FALSE),"")</f>
        <v>0</v>
      </c>
    </row>
    <row r="2491" spans="1:15" x14ac:dyDescent="0.2">
      <c r="A2491" t="str">
        <f t="shared" si="38"/>
        <v/>
      </c>
      <c r="F2491" s="1"/>
      <c r="H2491" s="1"/>
      <c r="I2491" s="2"/>
      <c r="J2491" s="2"/>
      <c r="N2491" s="2"/>
      <c r="O2491">
        <f>IFERROR(VLOOKUP($A2491,Accounts!$A:$G,3,FALSE),"")</f>
        <v>0</v>
      </c>
    </row>
    <row r="2492" spans="1:15" x14ac:dyDescent="0.2">
      <c r="A2492" t="str">
        <f t="shared" si="38"/>
        <v/>
      </c>
      <c r="F2492" s="1"/>
      <c r="H2492" s="1"/>
      <c r="I2492" s="2"/>
      <c r="J2492" s="2"/>
      <c r="N2492" s="2"/>
      <c r="O2492">
        <f>IFERROR(VLOOKUP($A2492,Accounts!$A:$G,3,FALSE),"")</f>
        <v>0</v>
      </c>
    </row>
    <row r="2493" spans="1:15" x14ac:dyDescent="0.2">
      <c r="A2493" t="str">
        <f t="shared" si="38"/>
        <v/>
      </c>
      <c r="F2493" s="1"/>
      <c r="H2493" s="1"/>
      <c r="I2493" s="2"/>
      <c r="J2493" s="2"/>
      <c r="N2493" s="2"/>
      <c r="O2493">
        <f>IFERROR(VLOOKUP($A2493,Accounts!$A:$G,3,FALSE),"")</f>
        <v>0</v>
      </c>
    </row>
    <row r="2494" spans="1:15" x14ac:dyDescent="0.2">
      <c r="A2494" t="str">
        <f t="shared" si="38"/>
        <v/>
      </c>
      <c r="F2494" s="1"/>
      <c r="H2494" s="1"/>
      <c r="I2494" s="2"/>
      <c r="J2494" s="2"/>
      <c r="N2494" s="2"/>
      <c r="O2494">
        <f>IFERROR(VLOOKUP($A2494,Accounts!$A:$G,3,FALSE),"")</f>
        <v>0</v>
      </c>
    </row>
    <row r="2495" spans="1:15" x14ac:dyDescent="0.2">
      <c r="A2495" t="str">
        <f t="shared" si="38"/>
        <v/>
      </c>
      <c r="F2495" s="1"/>
      <c r="H2495" s="1"/>
      <c r="I2495" s="2"/>
      <c r="J2495" s="2"/>
      <c r="N2495" s="2"/>
      <c r="O2495">
        <f>IFERROR(VLOOKUP($A2495,Accounts!$A:$G,3,FALSE),"")</f>
        <v>0</v>
      </c>
    </row>
    <row r="2496" spans="1:15" x14ac:dyDescent="0.2">
      <c r="A2496" t="str">
        <f t="shared" si="38"/>
        <v/>
      </c>
      <c r="F2496" s="1"/>
      <c r="H2496" s="1"/>
      <c r="I2496" s="2"/>
      <c r="J2496" s="2"/>
      <c r="N2496" s="2"/>
      <c r="O2496">
        <f>IFERROR(VLOOKUP($A2496,Accounts!$A:$G,3,FALSE),"")</f>
        <v>0</v>
      </c>
    </row>
    <row r="2497" spans="1:15" x14ac:dyDescent="0.2">
      <c r="A2497" t="str">
        <f t="shared" si="38"/>
        <v/>
      </c>
      <c r="F2497" s="1"/>
      <c r="H2497" s="1"/>
      <c r="I2497" s="2"/>
      <c r="J2497" s="2"/>
      <c r="N2497" s="2"/>
      <c r="O2497">
        <f>IFERROR(VLOOKUP($A2497,Accounts!$A:$G,3,FALSE),"")</f>
        <v>0</v>
      </c>
    </row>
    <row r="2498" spans="1:15" x14ac:dyDescent="0.2">
      <c r="A2498" t="str">
        <f t="shared" si="38"/>
        <v/>
      </c>
      <c r="F2498" s="1"/>
      <c r="H2498" s="1"/>
      <c r="I2498" s="2"/>
      <c r="J2498" s="2"/>
      <c r="N2498" s="2"/>
      <c r="O2498">
        <f>IFERROR(VLOOKUP($A2498,Accounts!$A:$G,3,FALSE),"")</f>
        <v>0</v>
      </c>
    </row>
    <row r="2499" spans="1:15" x14ac:dyDescent="0.2">
      <c r="A2499" t="str">
        <f t="shared" si="38"/>
        <v/>
      </c>
      <c r="F2499" s="1"/>
      <c r="H2499" s="1"/>
      <c r="I2499" s="2"/>
      <c r="J2499" s="2"/>
      <c r="N2499" s="2"/>
      <c r="O2499">
        <f>IFERROR(VLOOKUP($A2499,Accounts!$A:$G,3,FALSE),"")</f>
        <v>0</v>
      </c>
    </row>
    <row r="2500" spans="1:15" x14ac:dyDescent="0.2">
      <c r="A2500" t="str">
        <f t="shared" si="38"/>
        <v/>
      </c>
      <c r="F2500" s="1"/>
      <c r="H2500" s="1"/>
      <c r="I2500" s="2"/>
      <c r="J2500" s="2"/>
      <c r="N2500" s="2"/>
      <c r="O2500">
        <f>IFERROR(VLOOKUP($A2500,Accounts!$A:$G,3,FALSE),"")</f>
        <v>0</v>
      </c>
    </row>
    <row r="2501" spans="1:15" x14ac:dyDescent="0.2">
      <c r="A2501" t="str">
        <f t="shared" si="38"/>
        <v/>
      </c>
      <c r="F2501" s="1"/>
      <c r="H2501" s="1"/>
      <c r="I2501" s="2"/>
      <c r="J2501" s="2"/>
      <c r="N2501" s="2"/>
      <c r="O2501">
        <f>IFERROR(VLOOKUP($A2501,Accounts!$A:$G,3,FALSE),"")</f>
        <v>0</v>
      </c>
    </row>
    <row r="2502" spans="1:15" x14ac:dyDescent="0.2">
      <c r="A2502" t="str">
        <f t="shared" si="38"/>
        <v/>
      </c>
      <c r="F2502" s="1"/>
      <c r="H2502" s="1"/>
      <c r="I2502" s="2"/>
      <c r="J2502" s="2"/>
      <c r="N2502" s="2"/>
      <c r="O2502">
        <f>IFERROR(VLOOKUP($A2502,Accounts!$A:$G,3,FALSE),"")</f>
        <v>0</v>
      </c>
    </row>
    <row r="2503" spans="1:15" x14ac:dyDescent="0.2">
      <c r="A2503" t="str">
        <f t="shared" si="38"/>
        <v/>
      </c>
      <c r="F2503" s="1"/>
      <c r="H2503" s="1"/>
      <c r="I2503" s="2"/>
      <c r="J2503" s="2"/>
      <c r="N2503" s="2"/>
      <c r="O2503">
        <f>IFERROR(VLOOKUP($A2503,Accounts!$A:$G,3,FALSE),"")</f>
        <v>0</v>
      </c>
    </row>
    <row r="2504" spans="1:15" x14ac:dyDescent="0.2">
      <c r="A2504" t="str">
        <f t="shared" si="38"/>
        <v/>
      </c>
      <c r="F2504" s="1"/>
      <c r="H2504" s="1"/>
      <c r="I2504" s="2"/>
      <c r="J2504" s="2"/>
      <c r="N2504" s="2"/>
      <c r="O2504">
        <f>IFERROR(VLOOKUP($A2504,Accounts!$A:$G,3,FALSE),"")</f>
        <v>0</v>
      </c>
    </row>
    <row r="2505" spans="1:15" x14ac:dyDescent="0.2">
      <c r="A2505" t="str">
        <f t="shared" si="38"/>
        <v/>
      </c>
      <c r="F2505" s="1"/>
      <c r="H2505" s="1"/>
      <c r="I2505" s="2"/>
      <c r="J2505" s="2"/>
      <c r="N2505" s="2"/>
      <c r="O2505">
        <f>IFERROR(VLOOKUP($A2505,Accounts!$A:$G,3,FALSE),"")</f>
        <v>0</v>
      </c>
    </row>
    <row r="2506" spans="1:15" x14ac:dyDescent="0.2">
      <c r="A2506" t="str">
        <f t="shared" ref="A2506:A2569" si="39">IFERROR(IF(J2506=0,E2506&amp;C2506&amp;I2506,G2506&amp;B2506&amp;J2506),"")</f>
        <v/>
      </c>
      <c r="F2506" s="1"/>
      <c r="H2506" s="1"/>
      <c r="I2506" s="2"/>
      <c r="J2506" s="2"/>
      <c r="N2506" s="2"/>
      <c r="O2506">
        <f>IFERROR(VLOOKUP($A2506,Accounts!$A:$G,3,FALSE),"")</f>
        <v>0</v>
      </c>
    </row>
    <row r="2507" spans="1:15" x14ac:dyDescent="0.2">
      <c r="A2507" t="str">
        <f t="shared" si="39"/>
        <v/>
      </c>
      <c r="F2507" s="1"/>
      <c r="H2507" s="1"/>
      <c r="I2507" s="2"/>
      <c r="J2507" s="2"/>
      <c r="N2507" s="2"/>
      <c r="O2507">
        <f>IFERROR(VLOOKUP($A2507,Accounts!$A:$G,3,FALSE),"")</f>
        <v>0</v>
      </c>
    </row>
    <row r="2508" spans="1:15" x14ac:dyDescent="0.2">
      <c r="A2508" t="str">
        <f t="shared" si="39"/>
        <v/>
      </c>
      <c r="F2508" s="1"/>
      <c r="H2508" s="1"/>
      <c r="I2508" s="2"/>
      <c r="J2508" s="2"/>
      <c r="N2508" s="2"/>
      <c r="O2508">
        <f>IFERROR(VLOOKUP($A2508,Accounts!$A:$G,3,FALSE),"")</f>
        <v>0</v>
      </c>
    </row>
    <row r="2509" spans="1:15" x14ac:dyDescent="0.2">
      <c r="A2509" t="str">
        <f t="shared" si="39"/>
        <v/>
      </c>
      <c r="F2509" s="1"/>
      <c r="H2509" s="1"/>
      <c r="I2509" s="2"/>
      <c r="J2509" s="2"/>
      <c r="N2509" s="2"/>
      <c r="O2509">
        <f>IFERROR(VLOOKUP($A2509,Accounts!$A:$G,3,FALSE),"")</f>
        <v>0</v>
      </c>
    </row>
    <row r="2510" spans="1:15" x14ac:dyDescent="0.2">
      <c r="A2510" t="str">
        <f t="shared" si="39"/>
        <v/>
      </c>
      <c r="F2510" s="1"/>
      <c r="H2510" s="1"/>
      <c r="I2510" s="2"/>
      <c r="J2510" s="2"/>
      <c r="N2510" s="2"/>
      <c r="O2510">
        <f>IFERROR(VLOOKUP($A2510,Accounts!$A:$G,3,FALSE),"")</f>
        <v>0</v>
      </c>
    </row>
    <row r="2511" spans="1:15" x14ac:dyDescent="0.2">
      <c r="A2511" t="str">
        <f t="shared" si="39"/>
        <v/>
      </c>
      <c r="F2511" s="1"/>
      <c r="H2511" s="1"/>
      <c r="I2511" s="2"/>
      <c r="J2511" s="2"/>
      <c r="N2511" s="2"/>
      <c r="O2511">
        <f>IFERROR(VLOOKUP($A2511,Accounts!$A:$G,3,FALSE),"")</f>
        <v>0</v>
      </c>
    </row>
    <row r="2512" spans="1:15" x14ac:dyDescent="0.2">
      <c r="A2512" t="str">
        <f t="shared" si="39"/>
        <v/>
      </c>
      <c r="F2512" s="1"/>
      <c r="H2512" s="1"/>
      <c r="I2512" s="2"/>
      <c r="J2512" s="2"/>
      <c r="N2512" s="2"/>
      <c r="O2512">
        <f>IFERROR(VLOOKUP($A2512,Accounts!$A:$G,3,FALSE),"")</f>
        <v>0</v>
      </c>
    </row>
    <row r="2513" spans="1:15" x14ac:dyDescent="0.2">
      <c r="A2513" t="str">
        <f t="shared" si="39"/>
        <v/>
      </c>
      <c r="F2513" s="1"/>
      <c r="H2513" s="1"/>
      <c r="I2513" s="2"/>
      <c r="J2513" s="2"/>
      <c r="N2513" s="2"/>
      <c r="O2513">
        <f>IFERROR(VLOOKUP($A2513,Accounts!$A:$G,3,FALSE),"")</f>
        <v>0</v>
      </c>
    </row>
    <row r="2514" spans="1:15" x14ac:dyDescent="0.2">
      <c r="A2514" t="str">
        <f t="shared" si="39"/>
        <v/>
      </c>
      <c r="B2514" s="3"/>
      <c r="C2514" s="3"/>
      <c r="D2514" s="3"/>
      <c r="E2514" s="3"/>
      <c r="F2514" s="4"/>
      <c r="G2514" s="3"/>
      <c r="H2514" s="4"/>
      <c r="I2514" s="5"/>
      <c r="J2514" s="5"/>
      <c r="K2514" s="3"/>
      <c r="L2514" s="3"/>
      <c r="M2514" s="3"/>
      <c r="N2514" s="5"/>
      <c r="O2514">
        <f>IFERROR(VLOOKUP($A2514,Accounts!$A:$G,3,FALSE),"")</f>
        <v>0</v>
      </c>
    </row>
    <row r="2515" spans="1:15" x14ac:dyDescent="0.2">
      <c r="A2515" t="str">
        <f t="shared" si="39"/>
        <v/>
      </c>
      <c r="B2515" s="6"/>
      <c r="C2515" s="6"/>
      <c r="D2515" s="6"/>
      <c r="E2515" s="6"/>
      <c r="F2515" s="7"/>
      <c r="G2515" s="6"/>
      <c r="H2515" s="7"/>
      <c r="I2515" s="8"/>
      <c r="J2515" s="8"/>
      <c r="K2515" s="6"/>
      <c r="L2515" s="6"/>
      <c r="M2515" s="6"/>
      <c r="N2515" s="8"/>
      <c r="O2515">
        <f>IFERROR(VLOOKUP($A2515,Accounts!$A:$G,3,FALSE),"")</f>
        <v>0</v>
      </c>
    </row>
    <row r="2516" spans="1:15" x14ac:dyDescent="0.2">
      <c r="A2516" t="str">
        <f t="shared" si="39"/>
        <v/>
      </c>
      <c r="B2516" s="6"/>
      <c r="C2516" s="6"/>
      <c r="D2516" s="6"/>
      <c r="E2516" s="6"/>
      <c r="F2516" s="7"/>
      <c r="G2516" s="6"/>
      <c r="H2516" s="7"/>
      <c r="I2516" s="8"/>
      <c r="J2516" s="8"/>
      <c r="K2516" s="6"/>
      <c r="L2516" s="6"/>
      <c r="M2516" s="6"/>
      <c r="N2516" s="8"/>
      <c r="O2516">
        <f>IFERROR(VLOOKUP($A2516,Accounts!$A:$G,3,FALSE),"")</f>
        <v>0</v>
      </c>
    </row>
    <row r="2517" spans="1:15" x14ac:dyDescent="0.2">
      <c r="A2517" t="str">
        <f t="shared" si="39"/>
        <v/>
      </c>
      <c r="B2517" s="6"/>
      <c r="C2517" s="6"/>
      <c r="D2517" s="6"/>
      <c r="E2517" s="6"/>
      <c r="F2517" s="7"/>
      <c r="G2517" s="6"/>
      <c r="H2517" s="7"/>
      <c r="I2517" s="8"/>
      <c r="J2517" s="8"/>
      <c r="K2517" s="6"/>
      <c r="L2517" s="6"/>
      <c r="M2517" s="6"/>
      <c r="N2517" s="8"/>
      <c r="O2517">
        <f>IFERROR(VLOOKUP($A2517,Accounts!$A:$G,3,FALSE),"")</f>
        <v>0</v>
      </c>
    </row>
    <row r="2518" spans="1:15" x14ac:dyDescent="0.2">
      <c r="A2518" t="str">
        <f t="shared" si="39"/>
        <v/>
      </c>
      <c r="F2518" s="1"/>
      <c r="H2518" s="1"/>
      <c r="I2518" s="2"/>
      <c r="J2518" s="2"/>
      <c r="N2518" s="2"/>
      <c r="O2518">
        <f>IFERROR(VLOOKUP($A2518,Accounts!$A:$G,3,FALSE),"")</f>
        <v>0</v>
      </c>
    </row>
    <row r="2519" spans="1:15" x14ac:dyDescent="0.2">
      <c r="A2519" t="str">
        <f t="shared" si="39"/>
        <v/>
      </c>
      <c r="F2519" s="1"/>
      <c r="H2519" s="1"/>
      <c r="I2519" s="2"/>
      <c r="J2519" s="2"/>
      <c r="N2519" s="2"/>
      <c r="O2519">
        <f>IFERROR(VLOOKUP($A2519,Accounts!$A:$G,3,FALSE),"")</f>
        <v>0</v>
      </c>
    </row>
    <row r="2520" spans="1:15" x14ac:dyDescent="0.2">
      <c r="A2520" t="str">
        <f t="shared" si="39"/>
        <v/>
      </c>
      <c r="F2520" s="1"/>
      <c r="H2520" s="1"/>
      <c r="I2520" s="2"/>
      <c r="J2520" s="2"/>
      <c r="N2520" s="2"/>
      <c r="O2520">
        <f>IFERROR(VLOOKUP($A2520,Accounts!$A:$G,3,FALSE),"")</f>
        <v>0</v>
      </c>
    </row>
    <row r="2521" spans="1:15" x14ac:dyDescent="0.2">
      <c r="A2521" t="str">
        <f t="shared" si="39"/>
        <v/>
      </c>
      <c r="F2521" s="1"/>
      <c r="H2521" s="1"/>
      <c r="I2521" s="2"/>
      <c r="J2521" s="2"/>
      <c r="N2521" s="2"/>
      <c r="O2521">
        <f>IFERROR(VLOOKUP($A2521,Accounts!$A:$G,3,FALSE),"")</f>
        <v>0</v>
      </c>
    </row>
    <row r="2522" spans="1:15" x14ac:dyDescent="0.2">
      <c r="A2522" t="str">
        <f t="shared" si="39"/>
        <v/>
      </c>
      <c r="F2522" s="1"/>
      <c r="H2522" s="1"/>
      <c r="I2522" s="2"/>
      <c r="J2522" s="2"/>
      <c r="N2522" s="2"/>
      <c r="O2522">
        <f>IFERROR(VLOOKUP($A2522,Accounts!$A:$G,3,FALSE),"")</f>
        <v>0</v>
      </c>
    </row>
    <row r="2523" spans="1:15" x14ac:dyDescent="0.2">
      <c r="A2523" t="str">
        <f t="shared" si="39"/>
        <v/>
      </c>
      <c r="F2523" s="1"/>
      <c r="H2523" s="1"/>
      <c r="I2523" s="2"/>
      <c r="J2523" s="2"/>
      <c r="N2523" s="2"/>
      <c r="O2523">
        <f>IFERROR(VLOOKUP($A2523,Accounts!$A:$G,3,FALSE),"")</f>
        <v>0</v>
      </c>
    </row>
    <row r="2524" spans="1:15" x14ac:dyDescent="0.2">
      <c r="A2524" t="str">
        <f t="shared" si="39"/>
        <v/>
      </c>
      <c r="F2524" s="1"/>
      <c r="H2524" s="1"/>
      <c r="I2524" s="2"/>
      <c r="J2524" s="2"/>
      <c r="N2524" s="2"/>
      <c r="O2524">
        <f>IFERROR(VLOOKUP($A2524,Accounts!$A:$G,3,FALSE),"")</f>
        <v>0</v>
      </c>
    </row>
    <row r="2525" spans="1:15" x14ac:dyDescent="0.2">
      <c r="A2525" t="str">
        <f t="shared" si="39"/>
        <v/>
      </c>
      <c r="F2525" s="1"/>
      <c r="H2525" s="1"/>
      <c r="I2525" s="2"/>
      <c r="J2525" s="2"/>
      <c r="N2525" s="2"/>
      <c r="O2525">
        <f>IFERROR(VLOOKUP($A2525,Accounts!$A:$G,3,FALSE),"")</f>
        <v>0</v>
      </c>
    </row>
    <row r="2526" spans="1:15" x14ac:dyDescent="0.2">
      <c r="A2526" t="str">
        <f t="shared" si="39"/>
        <v/>
      </c>
      <c r="F2526" s="1"/>
      <c r="H2526" s="1"/>
      <c r="I2526" s="2"/>
      <c r="J2526" s="2"/>
      <c r="N2526" s="2"/>
      <c r="O2526">
        <f>IFERROR(VLOOKUP($A2526,Accounts!$A:$G,3,FALSE),"")</f>
        <v>0</v>
      </c>
    </row>
    <row r="2527" spans="1:15" x14ac:dyDescent="0.2">
      <c r="A2527" t="str">
        <f t="shared" si="39"/>
        <v/>
      </c>
      <c r="F2527" s="1"/>
      <c r="H2527" s="1"/>
      <c r="I2527" s="2"/>
      <c r="J2527" s="2"/>
      <c r="N2527" s="2"/>
      <c r="O2527">
        <f>IFERROR(VLOOKUP($A2527,Accounts!$A:$G,3,FALSE),"")</f>
        <v>0</v>
      </c>
    </row>
    <row r="2528" spans="1:15" x14ac:dyDescent="0.2">
      <c r="A2528" t="str">
        <f t="shared" si="39"/>
        <v/>
      </c>
      <c r="F2528" s="1"/>
      <c r="H2528" s="1"/>
      <c r="I2528" s="2"/>
      <c r="J2528" s="2"/>
      <c r="N2528" s="2"/>
      <c r="O2528">
        <f>IFERROR(VLOOKUP($A2528,Accounts!$A:$G,3,FALSE),"")</f>
        <v>0</v>
      </c>
    </row>
    <row r="2529" spans="1:15" x14ac:dyDescent="0.2">
      <c r="A2529" t="str">
        <f t="shared" si="39"/>
        <v/>
      </c>
      <c r="F2529" s="1"/>
      <c r="H2529" s="1"/>
      <c r="I2529" s="2"/>
      <c r="J2529" s="2"/>
      <c r="N2529" s="2"/>
      <c r="O2529">
        <f>IFERROR(VLOOKUP($A2529,Accounts!$A:$G,3,FALSE),"")</f>
        <v>0</v>
      </c>
    </row>
    <row r="2530" spans="1:15" x14ac:dyDescent="0.2">
      <c r="A2530" t="str">
        <f t="shared" si="39"/>
        <v/>
      </c>
      <c r="F2530" s="1"/>
      <c r="H2530" s="1"/>
      <c r="I2530" s="2"/>
      <c r="J2530" s="2"/>
      <c r="N2530" s="2"/>
      <c r="O2530">
        <f>IFERROR(VLOOKUP($A2530,Accounts!$A:$G,3,FALSE),"")</f>
        <v>0</v>
      </c>
    </row>
    <row r="2531" spans="1:15" x14ac:dyDescent="0.2">
      <c r="A2531" t="str">
        <f t="shared" si="39"/>
        <v/>
      </c>
      <c r="F2531" s="1"/>
      <c r="H2531" s="1"/>
      <c r="I2531" s="2"/>
      <c r="J2531" s="2"/>
      <c r="N2531" s="2"/>
      <c r="O2531">
        <f>IFERROR(VLOOKUP($A2531,Accounts!$A:$G,3,FALSE),"")</f>
        <v>0</v>
      </c>
    </row>
    <row r="2532" spans="1:15" x14ac:dyDescent="0.2">
      <c r="A2532" t="str">
        <f t="shared" si="39"/>
        <v/>
      </c>
      <c r="F2532" s="1"/>
      <c r="H2532" s="1"/>
      <c r="I2532" s="2"/>
      <c r="J2532" s="2"/>
      <c r="N2532" s="2"/>
      <c r="O2532">
        <f>IFERROR(VLOOKUP($A2532,Accounts!$A:$G,3,FALSE),"")</f>
        <v>0</v>
      </c>
    </row>
    <row r="2533" spans="1:15" x14ac:dyDescent="0.2">
      <c r="A2533" t="str">
        <f t="shared" si="39"/>
        <v/>
      </c>
      <c r="F2533" s="1"/>
      <c r="H2533" s="1"/>
      <c r="I2533" s="2"/>
      <c r="J2533" s="2"/>
      <c r="N2533" s="2"/>
      <c r="O2533">
        <f>IFERROR(VLOOKUP($A2533,Accounts!$A:$G,3,FALSE),"")</f>
        <v>0</v>
      </c>
    </row>
    <row r="2534" spans="1:15" x14ac:dyDescent="0.2">
      <c r="A2534" t="str">
        <f t="shared" si="39"/>
        <v/>
      </c>
      <c r="F2534" s="1"/>
      <c r="H2534" s="1"/>
      <c r="I2534" s="2"/>
      <c r="J2534" s="2"/>
      <c r="N2534" s="2"/>
      <c r="O2534">
        <f>IFERROR(VLOOKUP($A2534,Accounts!$A:$G,3,FALSE),"")</f>
        <v>0</v>
      </c>
    </row>
    <row r="2535" spans="1:15" x14ac:dyDescent="0.2">
      <c r="A2535" t="str">
        <f t="shared" si="39"/>
        <v/>
      </c>
      <c r="F2535" s="1"/>
      <c r="H2535" s="1"/>
      <c r="I2535" s="2"/>
      <c r="J2535" s="2"/>
      <c r="N2535" s="2"/>
      <c r="O2535">
        <f>IFERROR(VLOOKUP($A2535,Accounts!$A:$G,3,FALSE),"")</f>
        <v>0</v>
      </c>
    </row>
    <row r="2536" spans="1:15" x14ac:dyDescent="0.2">
      <c r="A2536" t="str">
        <f t="shared" si="39"/>
        <v/>
      </c>
      <c r="F2536" s="1"/>
      <c r="H2536" s="1"/>
      <c r="I2536" s="2"/>
      <c r="J2536" s="2"/>
      <c r="N2536" s="2"/>
      <c r="O2536">
        <f>IFERROR(VLOOKUP($A2536,Accounts!$A:$G,3,FALSE),"")</f>
        <v>0</v>
      </c>
    </row>
    <row r="2537" spans="1:15" x14ac:dyDescent="0.2">
      <c r="A2537" t="str">
        <f t="shared" si="39"/>
        <v/>
      </c>
      <c r="F2537" s="1"/>
      <c r="H2537" s="1"/>
      <c r="I2537" s="2"/>
      <c r="J2537" s="2"/>
      <c r="N2537" s="2"/>
      <c r="O2537">
        <f>IFERROR(VLOOKUP($A2537,Accounts!$A:$G,3,FALSE),"")</f>
        <v>0</v>
      </c>
    </row>
    <row r="2538" spans="1:15" x14ac:dyDescent="0.2">
      <c r="A2538" t="str">
        <f t="shared" si="39"/>
        <v/>
      </c>
      <c r="F2538" s="1"/>
      <c r="H2538" s="1"/>
      <c r="I2538" s="2"/>
      <c r="J2538" s="2"/>
      <c r="N2538" s="2"/>
      <c r="O2538">
        <f>IFERROR(VLOOKUP($A2538,Accounts!$A:$G,3,FALSE),"")</f>
        <v>0</v>
      </c>
    </row>
    <row r="2539" spans="1:15" x14ac:dyDescent="0.2">
      <c r="A2539" t="str">
        <f t="shared" si="39"/>
        <v/>
      </c>
      <c r="F2539" s="1"/>
      <c r="H2539" s="1"/>
      <c r="I2539" s="2"/>
      <c r="J2539" s="2"/>
      <c r="N2539" s="2"/>
      <c r="O2539">
        <f>IFERROR(VLOOKUP($A2539,Accounts!$A:$G,3,FALSE),"")</f>
        <v>0</v>
      </c>
    </row>
    <row r="2540" spans="1:15" x14ac:dyDescent="0.2">
      <c r="A2540" t="str">
        <f t="shared" si="39"/>
        <v/>
      </c>
      <c r="F2540" s="1"/>
      <c r="H2540" s="1"/>
      <c r="I2540" s="2"/>
      <c r="J2540" s="2"/>
      <c r="N2540" s="2"/>
      <c r="O2540">
        <f>IFERROR(VLOOKUP($A2540,Accounts!$A:$G,3,FALSE),"")</f>
        <v>0</v>
      </c>
    </row>
    <row r="2541" spans="1:15" x14ac:dyDescent="0.2">
      <c r="A2541" t="str">
        <f t="shared" si="39"/>
        <v/>
      </c>
      <c r="F2541" s="1"/>
      <c r="H2541" s="1"/>
      <c r="I2541" s="2"/>
      <c r="J2541" s="2"/>
      <c r="N2541" s="2"/>
      <c r="O2541">
        <f>IFERROR(VLOOKUP($A2541,Accounts!$A:$G,3,FALSE),"")</f>
        <v>0</v>
      </c>
    </row>
    <row r="2542" spans="1:15" x14ac:dyDescent="0.2">
      <c r="A2542" t="str">
        <f t="shared" si="39"/>
        <v/>
      </c>
      <c r="F2542" s="1"/>
      <c r="H2542" s="1"/>
      <c r="I2542" s="2"/>
      <c r="J2542" s="2"/>
      <c r="N2542" s="2"/>
      <c r="O2542">
        <f>IFERROR(VLOOKUP($A2542,Accounts!$A:$G,3,FALSE),"")</f>
        <v>0</v>
      </c>
    </row>
    <row r="2543" spans="1:15" x14ac:dyDescent="0.2">
      <c r="A2543" t="str">
        <f t="shared" si="39"/>
        <v/>
      </c>
      <c r="F2543" s="1"/>
      <c r="H2543" s="1"/>
      <c r="I2543" s="2"/>
      <c r="J2543" s="2"/>
      <c r="N2543" s="2"/>
      <c r="O2543">
        <f>IFERROR(VLOOKUP($A2543,Accounts!$A:$G,3,FALSE),"")</f>
        <v>0</v>
      </c>
    </row>
    <row r="2544" spans="1:15" x14ac:dyDescent="0.2">
      <c r="A2544" t="str">
        <f t="shared" si="39"/>
        <v/>
      </c>
      <c r="F2544" s="1"/>
      <c r="H2544" s="1"/>
      <c r="I2544" s="2"/>
      <c r="J2544" s="2"/>
      <c r="N2544" s="2"/>
      <c r="O2544">
        <f>IFERROR(VLOOKUP($A2544,Accounts!$A:$G,3,FALSE),"")</f>
        <v>0</v>
      </c>
    </row>
    <row r="2545" spans="1:15" x14ac:dyDescent="0.2">
      <c r="A2545" t="str">
        <f t="shared" si="39"/>
        <v/>
      </c>
      <c r="F2545" s="1"/>
      <c r="H2545" s="1"/>
      <c r="I2545" s="2"/>
      <c r="J2545" s="2"/>
      <c r="N2545" s="2"/>
      <c r="O2545">
        <f>IFERROR(VLOOKUP($A2545,Accounts!$A:$G,3,FALSE),"")</f>
        <v>0</v>
      </c>
    </row>
    <row r="2546" spans="1:15" x14ac:dyDescent="0.2">
      <c r="A2546" t="str">
        <f t="shared" si="39"/>
        <v/>
      </c>
      <c r="F2546" s="1"/>
      <c r="H2546" s="1"/>
      <c r="I2546" s="2"/>
      <c r="J2546" s="2"/>
      <c r="N2546" s="2"/>
      <c r="O2546">
        <f>IFERROR(VLOOKUP($A2546,Accounts!$A:$G,3,FALSE),"")</f>
        <v>0</v>
      </c>
    </row>
    <row r="2547" spans="1:15" x14ac:dyDescent="0.2">
      <c r="A2547" t="str">
        <f t="shared" si="39"/>
        <v/>
      </c>
      <c r="B2547" s="3"/>
      <c r="C2547" s="3"/>
      <c r="D2547" s="3"/>
      <c r="E2547" s="3"/>
      <c r="F2547" s="4"/>
      <c r="G2547" s="3"/>
      <c r="H2547" s="4"/>
      <c r="I2547" s="5"/>
      <c r="J2547" s="5"/>
      <c r="K2547" s="3"/>
      <c r="L2547" s="3"/>
      <c r="M2547" s="3"/>
      <c r="N2547" s="5"/>
      <c r="O2547">
        <f>IFERROR(VLOOKUP($A2547,Accounts!$A:$G,3,FALSE),"")</f>
        <v>0</v>
      </c>
    </row>
    <row r="2548" spans="1:15" x14ac:dyDescent="0.2">
      <c r="A2548" t="str">
        <f t="shared" si="39"/>
        <v/>
      </c>
      <c r="F2548" s="1"/>
      <c r="H2548" s="1"/>
      <c r="I2548" s="2"/>
      <c r="J2548" s="2"/>
      <c r="N2548" s="2"/>
      <c r="O2548">
        <f>IFERROR(VLOOKUP($A2548,Accounts!$A:$G,3,FALSE),"")</f>
        <v>0</v>
      </c>
    </row>
    <row r="2549" spans="1:15" x14ac:dyDescent="0.2">
      <c r="A2549" t="str">
        <f t="shared" si="39"/>
        <v/>
      </c>
      <c r="F2549" s="1"/>
      <c r="H2549" s="1"/>
      <c r="I2549" s="2"/>
      <c r="J2549" s="2"/>
      <c r="N2549" s="2"/>
      <c r="O2549">
        <f>IFERROR(VLOOKUP($A2549,Accounts!$A:$G,3,FALSE),"")</f>
        <v>0</v>
      </c>
    </row>
    <row r="2550" spans="1:15" x14ac:dyDescent="0.2">
      <c r="A2550" t="str">
        <f t="shared" si="39"/>
        <v/>
      </c>
      <c r="B2550" s="3"/>
      <c r="C2550" s="3"/>
      <c r="D2550" s="3"/>
      <c r="E2550" s="3"/>
      <c r="F2550" s="4"/>
      <c r="G2550" s="3"/>
      <c r="H2550" s="4"/>
      <c r="I2550" s="5"/>
      <c r="J2550" s="5"/>
      <c r="K2550" s="3"/>
      <c r="L2550" s="3"/>
      <c r="M2550" s="3"/>
      <c r="N2550" s="5"/>
      <c r="O2550">
        <f>IFERROR(VLOOKUP($A2550,Accounts!$A:$G,3,FALSE),"")</f>
        <v>0</v>
      </c>
    </row>
    <row r="2551" spans="1:15" x14ac:dyDescent="0.2">
      <c r="A2551" t="str">
        <f t="shared" si="39"/>
        <v/>
      </c>
      <c r="F2551" s="1"/>
      <c r="H2551" s="1"/>
      <c r="I2551" s="2"/>
      <c r="J2551" s="2"/>
      <c r="N2551" s="2"/>
      <c r="O2551">
        <f>IFERROR(VLOOKUP($A2551,Accounts!$A:$G,3,FALSE),"")</f>
        <v>0</v>
      </c>
    </row>
    <row r="2552" spans="1:15" x14ac:dyDescent="0.2">
      <c r="A2552" t="str">
        <f t="shared" si="39"/>
        <v/>
      </c>
      <c r="F2552" s="1"/>
      <c r="H2552" s="1"/>
      <c r="I2552" s="2"/>
      <c r="J2552" s="2"/>
      <c r="N2552" s="2"/>
      <c r="O2552">
        <f>IFERROR(VLOOKUP($A2552,Accounts!$A:$G,3,FALSE),"")</f>
        <v>0</v>
      </c>
    </row>
    <row r="2553" spans="1:15" x14ac:dyDescent="0.2">
      <c r="A2553" t="str">
        <f t="shared" si="39"/>
        <v/>
      </c>
      <c r="B2553" s="3"/>
      <c r="C2553" s="3"/>
      <c r="D2553" s="3"/>
      <c r="E2553" s="3"/>
      <c r="F2553" s="4"/>
      <c r="G2553" s="3"/>
      <c r="H2553" s="4"/>
      <c r="I2553" s="5"/>
      <c r="J2553" s="5"/>
      <c r="K2553" s="3"/>
      <c r="L2553" s="3"/>
      <c r="M2553" s="3"/>
      <c r="N2553" s="5"/>
      <c r="O2553">
        <f>IFERROR(VLOOKUP($A2553,Accounts!$A:$G,3,FALSE),"")</f>
        <v>0</v>
      </c>
    </row>
    <row r="2554" spans="1:15" x14ac:dyDescent="0.2">
      <c r="A2554" t="str">
        <f t="shared" si="39"/>
        <v/>
      </c>
      <c r="F2554" s="1"/>
      <c r="H2554" s="1"/>
      <c r="I2554" s="2"/>
      <c r="J2554" s="2"/>
      <c r="N2554" s="2"/>
      <c r="O2554">
        <f>IFERROR(VLOOKUP($A2554,Accounts!$A:$G,3,FALSE),"")</f>
        <v>0</v>
      </c>
    </row>
    <row r="2555" spans="1:15" x14ac:dyDescent="0.2">
      <c r="A2555" t="str">
        <f t="shared" si="39"/>
        <v/>
      </c>
      <c r="F2555" s="1"/>
      <c r="H2555" s="1"/>
      <c r="I2555" s="2"/>
      <c r="J2555" s="2"/>
      <c r="N2555" s="2"/>
      <c r="O2555">
        <f>IFERROR(VLOOKUP($A2555,Accounts!$A:$G,3,FALSE),"")</f>
        <v>0</v>
      </c>
    </row>
    <row r="2556" spans="1:15" x14ac:dyDescent="0.2">
      <c r="A2556" t="str">
        <f t="shared" si="39"/>
        <v/>
      </c>
      <c r="F2556" s="1"/>
      <c r="H2556" s="1"/>
      <c r="I2556" s="2"/>
      <c r="J2556" s="2"/>
      <c r="N2556" s="2"/>
      <c r="O2556">
        <f>IFERROR(VLOOKUP($A2556,Accounts!$A:$G,3,FALSE),"")</f>
        <v>0</v>
      </c>
    </row>
    <row r="2557" spans="1:15" x14ac:dyDescent="0.2">
      <c r="A2557" t="str">
        <f t="shared" si="39"/>
        <v/>
      </c>
      <c r="F2557" s="1"/>
      <c r="H2557" s="1"/>
      <c r="I2557" s="2"/>
      <c r="J2557" s="2"/>
      <c r="N2557" s="2"/>
      <c r="O2557">
        <f>IFERROR(VLOOKUP($A2557,Accounts!$A:$G,3,FALSE),"")</f>
        <v>0</v>
      </c>
    </row>
    <row r="2558" spans="1:15" x14ac:dyDescent="0.2">
      <c r="A2558" t="str">
        <f t="shared" si="39"/>
        <v/>
      </c>
      <c r="F2558" s="1"/>
      <c r="H2558" s="1"/>
      <c r="I2558" s="2"/>
      <c r="J2558" s="2"/>
      <c r="N2558" s="2"/>
      <c r="O2558">
        <f>IFERROR(VLOOKUP($A2558,Accounts!$A:$G,3,FALSE),"")</f>
        <v>0</v>
      </c>
    </row>
    <row r="2559" spans="1:15" x14ac:dyDescent="0.2">
      <c r="A2559" t="str">
        <f t="shared" si="39"/>
        <v/>
      </c>
      <c r="F2559" s="1"/>
      <c r="H2559" s="1"/>
      <c r="I2559" s="2"/>
      <c r="J2559" s="2"/>
      <c r="N2559" s="2"/>
      <c r="O2559">
        <f>IFERROR(VLOOKUP($A2559,Accounts!$A:$G,3,FALSE),"")</f>
        <v>0</v>
      </c>
    </row>
    <row r="2560" spans="1:15" x14ac:dyDescent="0.2">
      <c r="A2560" t="str">
        <f t="shared" si="39"/>
        <v/>
      </c>
      <c r="F2560" s="1"/>
      <c r="H2560" s="1"/>
      <c r="I2560" s="2"/>
      <c r="J2560" s="2"/>
      <c r="N2560" s="2"/>
      <c r="O2560">
        <f>IFERROR(VLOOKUP($A2560,Accounts!$A:$G,3,FALSE),"")</f>
        <v>0</v>
      </c>
    </row>
    <row r="2561" spans="1:15" x14ac:dyDescent="0.2">
      <c r="A2561" t="str">
        <f t="shared" si="39"/>
        <v/>
      </c>
      <c r="F2561" s="1"/>
      <c r="H2561" s="1"/>
      <c r="I2561" s="2"/>
      <c r="J2561" s="2"/>
      <c r="N2561" s="2"/>
      <c r="O2561">
        <f>IFERROR(VLOOKUP($A2561,Accounts!$A:$G,3,FALSE),"")</f>
        <v>0</v>
      </c>
    </row>
    <row r="2562" spans="1:15" x14ac:dyDescent="0.2">
      <c r="A2562" t="str">
        <f t="shared" si="39"/>
        <v/>
      </c>
      <c r="F2562" s="1"/>
      <c r="H2562" s="1"/>
      <c r="I2562" s="2"/>
      <c r="J2562" s="2"/>
      <c r="N2562" s="2"/>
      <c r="O2562">
        <f>IFERROR(VLOOKUP($A2562,Accounts!$A:$G,3,FALSE),"")</f>
        <v>0</v>
      </c>
    </row>
    <row r="2563" spans="1:15" x14ac:dyDescent="0.2">
      <c r="A2563" t="str">
        <f t="shared" si="39"/>
        <v/>
      </c>
      <c r="F2563" s="1"/>
      <c r="H2563" s="1"/>
      <c r="I2563" s="2"/>
      <c r="J2563" s="2"/>
      <c r="N2563" s="2"/>
      <c r="O2563">
        <f>IFERROR(VLOOKUP($A2563,Accounts!$A:$G,3,FALSE),"")</f>
        <v>0</v>
      </c>
    </row>
    <row r="2564" spans="1:15" x14ac:dyDescent="0.2">
      <c r="A2564" t="str">
        <f t="shared" si="39"/>
        <v/>
      </c>
      <c r="F2564" s="1"/>
      <c r="H2564" s="1"/>
      <c r="I2564" s="2"/>
      <c r="J2564" s="2"/>
      <c r="N2564" s="2"/>
      <c r="O2564">
        <f>IFERROR(VLOOKUP($A2564,Accounts!$A:$G,3,FALSE),"")</f>
        <v>0</v>
      </c>
    </row>
    <row r="2565" spans="1:15" x14ac:dyDescent="0.2">
      <c r="A2565" t="str">
        <f t="shared" si="39"/>
        <v/>
      </c>
      <c r="F2565" s="1"/>
      <c r="H2565" s="1"/>
      <c r="I2565" s="2"/>
      <c r="J2565" s="2"/>
      <c r="N2565" s="2"/>
      <c r="O2565">
        <f>IFERROR(VLOOKUP($A2565,Accounts!$A:$G,3,FALSE),"")</f>
        <v>0</v>
      </c>
    </row>
    <row r="2566" spans="1:15" x14ac:dyDescent="0.2">
      <c r="A2566" t="str">
        <f t="shared" si="39"/>
        <v/>
      </c>
      <c r="F2566" s="1"/>
      <c r="H2566" s="1"/>
      <c r="I2566" s="2"/>
      <c r="J2566" s="2"/>
      <c r="N2566" s="2"/>
      <c r="O2566">
        <f>IFERROR(VLOOKUP($A2566,Accounts!$A:$G,3,FALSE),"")</f>
        <v>0</v>
      </c>
    </row>
    <row r="2567" spans="1:15" x14ac:dyDescent="0.2">
      <c r="A2567" t="str">
        <f t="shared" si="39"/>
        <v/>
      </c>
      <c r="F2567" s="1"/>
      <c r="H2567" s="1"/>
      <c r="I2567" s="2"/>
      <c r="J2567" s="2"/>
      <c r="N2567" s="2"/>
      <c r="O2567">
        <f>IFERROR(VLOOKUP($A2567,Accounts!$A:$G,3,FALSE),"")</f>
        <v>0</v>
      </c>
    </row>
    <row r="2568" spans="1:15" x14ac:dyDescent="0.2">
      <c r="A2568" t="str">
        <f t="shared" si="39"/>
        <v/>
      </c>
      <c r="F2568" s="1"/>
      <c r="H2568" s="1"/>
      <c r="I2568" s="2"/>
      <c r="J2568" s="2"/>
      <c r="N2568" s="2"/>
      <c r="O2568">
        <f>IFERROR(VLOOKUP($A2568,Accounts!$A:$G,3,FALSE),"")</f>
        <v>0</v>
      </c>
    </row>
    <row r="2569" spans="1:15" x14ac:dyDescent="0.2">
      <c r="A2569" t="str">
        <f t="shared" si="39"/>
        <v/>
      </c>
      <c r="F2569" s="1"/>
      <c r="H2569" s="1"/>
      <c r="I2569" s="2"/>
      <c r="J2569" s="2"/>
      <c r="N2569" s="2"/>
      <c r="O2569">
        <f>IFERROR(VLOOKUP($A2569,Accounts!$A:$G,3,FALSE),"")</f>
        <v>0</v>
      </c>
    </row>
    <row r="2570" spans="1:15" x14ac:dyDescent="0.2">
      <c r="A2570" t="str">
        <f t="shared" ref="A2570:A2633" si="40">IFERROR(IF(J2570=0,E2570&amp;C2570&amp;I2570,G2570&amp;B2570&amp;J2570),"")</f>
        <v/>
      </c>
      <c r="F2570" s="1"/>
      <c r="H2570" s="1"/>
      <c r="I2570" s="2"/>
      <c r="J2570" s="2"/>
      <c r="N2570" s="2"/>
      <c r="O2570">
        <f>IFERROR(VLOOKUP($A2570,Accounts!$A:$G,3,FALSE),"")</f>
        <v>0</v>
      </c>
    </row>
    <row r="2571" spans="1:15" x14ac:dyDescent="0.2">
      <c r="A2571" t="str">
        <f t="shared" si="40"/>
        <v/>
      </c>
      <c r="F2571" s="1"/>
      <c r="H2571" s="1"/>
      <c r="I2571" s="2"/>
      <c r="J2571" s="2"/>
      <c r="N2571" s="2"/>
      <c r="O2571">
        <f>IFERROR(VLOOKUP($A2571,Accounts!$A:$G,3,FALSE),"")</f>
        <v>0</v>
      </c>
    </row>
    <row r="2572" spans="1:15" x14ac:dyDescent="0.2">
      <c r="A2572" t="str">
        <f t="shared" si="40"/>
        <v/>
      </c>
      <c r="F2572" s="1"/>
      <c r="H2572" s="1"/>
      <c r="I2572" s="2"/>
      <c r="J2572" s="2"/>
      <c r="N2572" s="2"/>
      <c r="O2572">
        <f>IFERROR(VLOOKUP($A2572,Accounts!$A:$G,3,FALSE),"")</f>
        <v>0</v>
      </c>
    </row>
    <row r="2573" spans="1:15" x14ac:dyDescent="0.2">
      <c r="A2573" t="str">
        <f t="shared" si="40"/>
        <v/>
      </c>
      <c r="F2573" s="1"/>
      <c r="H2573" s="1"/>
      <c r="I2573" s="2"/>
      <c r="J2573" s="2"/>
      <c r="N2573" s="2"/>
      <c r="O2573">
        <f>IFERROR(VLOOKUP($A2573,Accounts!$A:$G,3,FALSE),"")</f>
        <v>0</v>
      </c>
    </row>
    <row r="2574" spans="1:15" x14ac:dyDescent="0.2">
      <c r="A2574" t="str">
        <f t="shared" si="40"/>
        <v/>
      </c>
      <c r="F2574" s="1"/>
      <c r="H2574" s="1"/>
      <c r="I2574" s="2"/>
      <c r="J2574" s="2"/>
      <c r="N2574" s="2"/>
      <c r="O2574">
        <f>IFERROR(VLOOKUP($A2574,Accounts!$A:$G,3,FALSE),"")</f>
        <v>0</v>
      </c>
    </row>
    <row r="2575" spans="1:15" x14ac:dyDescent="0.2">
      <c r="A2575" t="str">
        <f t="shared" si="40"/>
        <v/>
      </c>
      <c r="F2575" s="1"/>
      <c r="H2575" s="1"/>
      <c r="I2575" s="2"/>
      <c r="J2575" s="2"/>
      <c r="N2575" s="2"/>
      <c r="O2575">
        <f>IFERROR(VLOOKUP($A2575,Accounts!$A:$G,3,FALSE),"")</f>
        <v>0</v>
      </c>
    </row>
    <row r="2576" spans="1:15" x14ac:dyDescent="0.2">
      <c r="A2576" t="str">
        <f t="shared" si="40"/>
        <v/>
      </c>
      <c r="F2576" s="1"/>
      <c r="H2576" s="1"/>
      <c r="I2576" s="2"/>
      <c r="J2576" s="2"/>
      <c r="N2576" s="2"/>
      <c r="O2576">
        <f>IFERROR(VLOOKUP($A2576,Accounts!$A:$G,3,FALSE),"")</f>
        <v>0</v>
      </c>
    </row>
    <row r="2577" spans="1:15" x14ac:dyDescent="0.2">
      <c r="A2577" t="str">
        <f t="shared" si="40"/>
        <v/>
      </c>
      <c r="F2577" s="1"/>
      <c r="H2577" s="1"/>
      <c r="I2577" s="2"/>
      <c r="J2577" s="2"/>
      <c r="N2577" s="2"/>
      <c r="O2577">
        <f>IFERROR(VLOOKUP($A2577,Accounts!$A:$G,3,FALSE),"")</f>
        <v>0</v>
      </c>
    </row>
    <row r="2578" spans="1:15" x14ac:dyDescent="0.2">
      <c r="A2578" t="str">
        <f t="shared" si="40"/>
        <v/>
      </c>
      <c r="F2578" s="1"/>
      <c r="H2578" s="1"/>
      <c r="I2578" s="2"/>
      <c r="J2578" s="2"/>
      <c r="N2578" s="2"/>
      <c r="O2578">
        <f>IFERROR(VLOOKUP($A2578,Accounts!$A:$G,3,FALSE),"")</f>
        <v>0</v>
      </c>
    </row>
    <row r="2579" spans="1:15" x14ac:dyDescent="0.2">
      <c r="A2579" t="str">
        <f t="shared" si="40"/>
        <v/>
      </c>
      <c r="F2579" s="1"/>
      <c r="H2579" s="1"/>
      <c r="I2579" s="2"/>
      <c r="J2579" s="2"/>
      <c r="N2579" s="2"/>
      <c r="O2579">
        <f>IFERROR(VLOOKUP($A2579,Accounts!$A:$G,3,FALSE),"")</f>
        <v>0</v>
      </c>
    </row>
    <row r="2580" spans="1:15" x14ac:dyDescent="0.2">
      <c r="A2580" t="str">
        <f t="shared" si="40"/>
        <v/>
      </c>
      <c r="F2580" s="1"/>
      <c r="H2580" s="1"/>
      <c r="I2580" s="2"/>
      <c r="J2580" s="2"/>
      <c r="N2580" s="2"/>
      <c r="O2580">
        <f>IFERROR(VLOOKUP($A2580,Accounts!$A:$G,3,FALSE),"")</f>
        <v>0</v>
      </c>
    </row>
    <row r="2581" spans="1:15" x14ac:dyDescent="0.2">
      <c r="A2581" t="str">
        <f t="shared" si="40"/>
        <v/>
      </c>
      <c r="F2581" s="1"/>
      <c r="H2581" s="1"/>
      <c r="I2581" s="2"/>
      <c r="J2581" s="2"/>
      <c r="N2581" s="2"/>
      <c r="O2581">
        <f>IFERROR(VLOOKUP($A2581,Accounts!$A:$G,3,FALSE),"")</f>
        <v>0</v>
      </c>
    </row>
    <row r="2582" spans="1:15" x14ac:dyDescent="0.2">
      <c r="A2582" t="str">
        <f t="shared" si="40"/>
        <v/>
      </c>
      <c r="F2582" s="1"/>
      <c r="H2582" s="1"/>
      <c r="I2582" s="2"/>
      <c r="J2582" s="2"/>
      <c r="N2582" s="2"/>
      <c r="O2582">
        <f>IFERROR(VLOOKUP($A2582,Accounts!$A:$G,3,FALSE),"")</f>
        <v>0</v>
      </c>
    </row>
    <row r="2583" spans="1:15" x14ac:dyDescent="0.2">
      <c r="A2583" t="str">
        <f t="shared" si="40"/>
        <v/>
      </c>
      <c r="F2583" s="1"/>
      <c r="H2583" s="1"/>
      <c r="I2583" s="2"/>
      <c r="J2583" s="2"/>
      <c r="N2583" s="2"/>
      <c r="O2583">
        <f>IFERROR(VLOOKUP($A2583,Accounts!$A:$G,3,FALSE),"")</f>
        <v>0</v>
      </c>
    </row>
    <row r="2584" spans="1:15" x14ac:dyDescent="0.2">
      <c r="A2584" t="str">
        <f t="shared" si="40"/>
        <v/>
      </c>
      <c r="F2584" s="1"/>
      <c r="H2584" s="1"/>
      <c r="I2584" s="2"/>
      <c r="J2584" s="2"/>
      <c r="N2584" s="2"/>
      <c r="O2584">
        <f>IFERROR(VLOOKUP($A2584,Accounts!$A:$G,3,FALSE),"")</f>
        <v>0</v>
      </c>
    </row>
    <row r="2585" spans="1:15" x14ac:dyDescent="0.2">
      <c r="A2585" t="str">
        <f t="shared" si="40"/>
        <v/>
      </c>
      <c r="F2585" s="1"/>
      <c r="H2585" s="1"/>
      <c r="I2585" s="2"/>
      <c r="J2585" s="2"/>
      <c r="N2585" s="2"/>
      <c r="O2585">
        <f>IFERROR(VLOOKUP($A2585,Accounts!$A:$G,3,FALSE),"")</f>
        <v>0</v>
      </c>
    </row>
    <row r="2586" spans="1:15" x14ac:dyDescent="0.2">
      <c r="A2586" t="str">
        <f t="shared" si="40"/>
        <v/>
      </c>
      <c r="F2586" s="1"/>
      <c r="H2586" s="1"/>
      <c r="I2586" s="2"/>
      <c r="J2586" s="2"/>
      <c r="N2586" s="2"/>
      <c r="O2586">
        <f>IFERROR(VLOOKUP($A2586,Accounts!$A:$G,3,FALSE),"")</f>
        <v>0</v>
      </c>
    </row>
    <row r="2587" spans="1:15" x14ac:dyDescent="0.2">
      <c r="A2587" t="str">
        <f t="shared" si="40"/>
        <v/>
      </c>
      <c r="F2587" s="1"/>
      <c r="H2587" s="1"/>
      <c r="I2587" s="2"/>
      <c r="J2587" s="2"/>
      <c r="N2587" s="2"/>
      <c r="O2587">
        <f>IFERROR(VLOOKUP($A2587,Accounts!$A:$G,3,FALSE),"")</f>
        <v>0</v>
      </c>
    </row>
    <row r="2588" spans="1:15" x14ac:dyDescent="0.2">
      <c r="A2588" t="str">
        <f t="shared" si="40"/>
        <v/>
      </c>
      <c r="F2588" s="1"/>
      <c r="H2588" s="1"/>
      <c r="I2588" s="2"/>
      <c r="J2588" s="2"/>
      <c r="N2588" s="2"/>
      <c r="O2588">
        <f>IFERROR(VLOOKUP($A2588,Accounts!$A:$G,3,FALSE),"")</f>
        <v>0</v>
      </c>
    </row>
    <row r="2589" spans="1:15" x14ac:dyDescent="0.2">
      <c r="A2589" t="str">
        <f t="shared" si="40"/>
        <v/>
      </c>
      <c r="F2589" s="1"/>
      <c r="H2589" s="1"/>
      <c r="I2589" s="2"/>
      <c r="J2589" s="2"/>
      <c r="N2589" s="2"/>
      <c r="O2589">
        <f>IFERROR(VLOOKUP($A2589,Accounts!$A:$G,3,FALSE),"")</f>
        <v>0</v>
      </c>
    </row>
    <row r="2590" spans="1:15" x14ac:dyDescent="0.2">
      <c r="A2590" t="str">
        <f t="shared" si="40"/>
        <v/>
      </c>
      <c r="F2590" s="1"/>
      <c r="H2590" s="1"/>
      <c r="I2590" s="2"/>
      <c r="J2590" s="2"/>
      <c r="N2590" s="2"/>
      <c r="O2590">
        <f>IFERROR(VLOOKUP($A2590,Accounts!$A:$G,3,FALSE),"")</f>
        <v>0</v>
      </c>
    </row>
    <row r="2591" spans="1:15" x14ac:dyDescent="0.2">
      <c r="A2591" t="str">
        <f t="shared" si="40"/>
        <v/>
      </c>
      <c r="F2591" s="1"/>
      <c r="H2591" s="1"/>
      <c r="I2591" s="2"/>
      <c r="J2591" s="2"/>
      <c r="N2591" s="2"/>
      <c r="O2591">
        <f>IFERROR(VLOOKUP($A2591,Accounts!$A:$G,3,FALSE),"")</f>
        <v>0</v>
      </c>
    </row>
    <row r="2592" spans="1:15" x14ac:dyDescent="0.2">
      <c r="A2592" t="str">
        <f t="shared" si="40"/>
        <v/>
      </c>
      <c r="F2592" s="1"/>
      <c r="H2592" s="1"/>
      <c r="I2592" s="2"/>
      <c r="J2592" s="2"/>
      <c r="N2592" s="2"/>
      <c r="O2592">
        <f>IFERROR(VLOOKUP($A2592,Accounts!$A:$G,3,FALSE),"")</f>
        <v>0</v>
      </c>
    </row>
    <row r="2593" spans="1:15" x14ac:dyDescent="0.2">
      <c r="A2593" t="str">
        <f t="shared" si="40"/>
        <v/>
      </c>
      <c r="F2593" s="1"/>
      <c r="H2593" s="1"/>
      <c r="I2593" s="2"/>
      <c r="J2593" s="2"/>
      <c r="N2593" s="2"/>
      <c r="O2593">
        <f>IFERROR(VLOOKUP($A2593,Accounts!$A:$G,3,FALSE),"")</f>
        <v>0</v>
      </c>
    </row>
    <row r="2594" spans="1:15" x14ac:dyDescent="0.2">
      <c r="A2594" t="str">
        <f t="shared" si="40"/>
        <v/>
      </c>
      <c r="F2594" s="1"/>
      <c r="H2594" s="1"/>
      <c r="I2594" s="2"/>
      <c r="J2594" s="2"/>
      <c r="N2594" s="2"/>
      <c r="O2594">
        <f>IFERROR(VLOOKUP($A2594,Accounts!$A:$G,3,FALSE),"")</f>
        <v>0</v>
      </c>
    </row>
    <row r="2595" spans="1:15" x14ac:dyDescent="0.2">
      <c r="A2595" t="str">
        <f t="shared" si="40"/>
        <v/>
      </c>
      <c r="F2595" s="1"/>
      <c r="H2595" s="1"/>
      <c r="I2595" s="2"/>
      <c r="J2595" s="2"/>
      <c r="N2595" s="2"/>
      <c r="O2595">
        <f>IFERROR(VLOOKUP($A2595,Accounts!$A:$G,3,FALSE),"")</f>
        <v>0</v>
      </c>
    </row>
    <row r="2596" spans="1:15" x14ac:dyDescent="0.2">
      <c r="A2596" t="str">
        <f t="shared" si="40"/>
        <v/>
      </c>
      <c r="F2596" s="1"/>
      <c r="H2596" s="1"/>
      <c r="I2596" s="2"/>
      <c r="J2596" s="2"/>
      <c r="N2596" s="2"/>
      <c r="O2596">
        <f>IFERROR(VLOOKUP($A2596,Accounts!$A:$G,3,FALSE),"")</f>
        <v>0</v>
      </c>
    </row>
    <row r="2597" spans="1:15" x14ac:dyDescent="0.2">
      <c r="A2597" t="str">
        <f t="shared" si="40"/>
        <v/>
      </c>
      <c r="F2597" s="1"/>
      <c r="H2597" s="1"/>
      <c r="I2597" s="2"/>
      <c r="J2597" s="2"/>
      <c r="N2597" s="2"/>
      <c r="O2597">
        <f>IFERROR(VLOOKUP($A2597,Accounts!$A:$G,3,FALSE),"")</f>
        <v>0</v>
      </c>
    </row>
    <row r="2598" spans="1:15" x14ac:dyDescent="0.2">
      <c r="A2598" t="str">
        <f t="shared" si="40"/>
        <v/>
      </c>
      <c r="B2598" s="3"/>
      <c r="C2598" s="3"/>
      <c r="D2598" s="3"/>
      <c r="E2598" s="3"/>
      <c r="F2598" s="4"/>
      <c r="G2598" s="3"/>
      <c r="H2598" s="4"/>
      <c r="I2598" s="5"/>
      <c r="J2598" s="5"/>
      <c r="K2598" s="3"/>
      <c r="L2598" s="3"/>
      <c r="M2598" s="3"/>
      <c r="N2598" s="5"/>
      <c r="O2598">
        <f>IFERROR(VLOOKUP($A2598,Accounts!$A:$G,3,FALSE),"")</f>
        <v>0</v>
      </c>
    </row>
    <row r="2599" spans="1:15" x14ac:dyDescent="0.2">
      <c r="A2599" t="str">
        <f t="shared" si="40"/>
        <v/>
      </c>
      <c r="B2599" s="6"/>
      <c r="C2599" s="6"/>
      <c r="D2599" s="6"/>
      <c r="E2599" s="6"/>
      <c r="F2599" s="7"/>
      <c r="G2599" s="6"/>
      <c r="H2599" s="7"/>
      <c r="I2599" s="8"/>
      <c r="J2599" s="8"/>
      <c r="K2599" s="6"/>
      <c r="L2599" s="6"/>
      <c r="M2599" s="6"/>
      <c r="N2599" s="8"/>
      <c r="O2599">
        <f>IFERROR(VLOOKUP($A2599,Accounts!$A:$G,3,FALSE),"")</f>
        <v>0</v>
      </c>
    </row>
    <row r="2600" spans="1:15" x14ac:dyDescent="0.2">
      <c r="A2600" t="str">
        <f t="shared" si="40"/>
        <v/>
      </c>
      <c r="B2600" s="6"/>
      <c r="C2600" s="6"/>
      <c r="D2600" s="6"/>
      <c r="E2600" s="6"/>
      <c r="F2600" s="7"/>
      <c r="G2600" s="6"/>
      <c r="H2600" s="7"/>
      <c r="I2600" s="8"/>
      <c r="J2600" s="8"/>
      <c r="K2600" s="6"/>
      <c r="L2600" s="6"/>
      <c r="M2600" s="6"/>
      <c r="N2600" s="8"/>
      <c r="O2600">
        <f>IFERROR(VLOOKUP($A2600,Accounts!$A:$G,3,FALSE),"")</f>
        <v>0</v>
      </c>
    </row>
    <row r="2601" spans="1:15" x14ac:dyDescent="0.2">
      <c r="A2601" t="str">
        <f t="shared" si="40"/>
        <v/>
      </c>
      <c r="B2601" s="6"/>
      <c r="C2601" s="6"/>
      <c r="D2601" s="6"/>
      <c r="E2601" s="6"/>
      <c r="F2601" s="7"/>
      <c r="G2601" s="6"/>
      <c r="H2601" s="7"/>
      <c r="I2601" s="8"/>
      <c r="J2601" s="8"/>
      <c r="K2601" s="6"/>
      <c r="L2601" s="6"/>
      <c r="M2601" s="6"/>
      <c r="N2601" s="8"/>
      <c r="O2601">
        <f>IFERROR(VLOOKUP($A2601,Accounts!$A:$G,3,FALSE),"")</f>
        <v>0</v>
      </c>
    </row>
    <row r="2602" spans="1:15" x14ac:dyDescent="0.2">
      <c r="A2602" t="str">
        <f t="shared" si="40"/>
        <v/>
      </c>
      <c r="F2602" s="1"/>
      <c r="H2602" s="1"/>
      <c r="I2602" s="2"/>
      <c r="J2602" s="2"/>
      <c r="N2602" s="2"/>
      <c r="O2602">
        <f>IFERROR(VLOOKUP($A2602,Accounts!$A:$G,3,FALSE),"")</f>
        <v>0</v>
      </c>
    </row>
    <row r="2603" spans="1:15" x14ac:dyDescent="0.2">
      <c r="A2603" t="str">
        <f t="shared" si="40"/>
        <v/>
      </c>
      <c r="F2603" s="1"/>
      <c r="H2603" s="1"/>
      <c r="I2603" s="2"/>
      <c r="J2603" s="2"/>
      <c r="N2603" s="2"/>
      <c r="O2603">
        <f>IFERROR(VLOOKUP($A2603,Accounts!$A:$G,3,FALSE),"")</f>
        <v>0</v>
      </c>
    </row>
    <row r="2604" spans="1:15" x14ac:dyDescent="0.2">
      <c r="A2604" t="str">
        <f t="shared" si="40"/>
        <v/>
      </c>
      <c r="F2604" s="1"/>
      <c r="H2604" s="1"/>
      <c r="I2604" s="2"/>
      <c r="J2604" s="2"/>
      <c r="N2604" s="2"/>
      <c r="O2604">
        <f>IFERROR(VLOOKUP($A2604,Accounts!$A:$G,3,FALSE),"")</f>
        <v>0</v>
      </c>
    </row>
    <row r="2605" spans="1:15" x14ac:dyDescent="0.2">
      <c r="A2605" t="str">
        <f t="shared" si="40"/>
        <v/>
      </c>
      <c r="F2605" s="1"/>
      <c r="H2605" s="1"/>
      <c r="I2605" s="2"/>
      <c r="J2605" s="2"/>
      <c r="N2605" s="2"/>
      <c r="O2605">
        <f>IFERROR(VLOOKUP($A2605,Accounts!$A:$G,3,FALSE),"")</f>
        <v>0</v>
      </c>
    </row>
    <row r="2606" spans="1:15" x14ac:dyDescent="0.2">
      <c r="A2606" t="str">
        <f t="shared" si="40"/>
        <v/>
      </c>
      <c r="F2606" s="1"/>
      <c r="H2606" s="1"/>
      <c r="I2606" s="2"/>
      <c r="J2606" s="2"/>
      <c r="N2606" s="2"/>
      <c r="O2606">
        <f>IFERROR(VLOOKUP($A2606,Accounts!$A:$G,3,FALSE),"")</f>
        <v>0</v>
      </c>
    </row>
    <row r="2607" spans="1:15" x14ac:dyDescent="0.2">
      <c r="A2607" t="str">
        <f t="shared" si="40"/>
        <v/>
      </c>
      <c r="F2607" s="1"/>
      <c r="H2607" s="1"/>
      <c r="I2607" s="2"/>
      <c r="J2607" s="2"/>
      <c r="N2607" s="2"/>
      <c r="O2607">
        <f>IFERROR(VLOOKUP($A2607,Accounts!$A:$G,3,FALSE),"")</f>
        <v>0</v>
      </c>
    </row>
    <row r="2608" spans="1:15" x14ac:dyDescent="0.2">
      <c r="A2608" t="str">
        <f t="shared" si="40"/>
        <v/>
      </c>
      <c r="F2608" s="1"/>
      <c r="H2608" s="1"/>
      <c r="I2608" s="2"/>
      <c r="J2608" s="2"/>
      <c r="N2608" s="2"/>
      <c r="O2608">
        <f>IFERROR(VLOOKUP($A2608,Accounts!$A:$G,3,FALSE),"")</f>
        <v>0</v>
      </c>
    </row>
    <row r="2609" spans="1:15" x14ac:dyDescent="0.2">
      <c r="A2609" t="str">
        <f t="shared" si="40"/>
        <v/>
      </c>
      <c r="F2609" s="1"/>
      <c r="H2609" s="1"/>
      <c r="I2609" s="2"/>
      <c r="J2609" s="2"/>
      <c r="N2609" s="2"/>
      <c r="O2609">
        <f>IFERROR(VLOOKUP($A2609,Accounts!$A:$G,3,FALSE),"")</f>
        <v>0</v>
      </c>
    </row>
    <row r="2610" spans="1:15" x14ac:dyDescent="0.2">
      <c r="A2610" t="str">
        <f t="shared" si="40"/>
        <v/>
      </c>
      <c r="F2610" s="1"/>
      <c r="H2610" s="1"/>
      <c r="I2610" s="2"/>
      <c r="J2610" s="2"/>
      <c r="N2610" s="2"/>
      <c r="O2610">
        <f>IFERROR(VLOOKUP($A2610,Accounts!$A:$G,3,FALSE),"")</f>
        <v>0</v>
      </c>
    </row>
    <row r="2611" spans="1:15" x14ac:dyDescent="0.2">
      <c r="A2611" t="str">
        <f t="shared" si="40"/>
        <v/>
      </c>
      <c r="F2611" s="1"/>
      <c r="H2611" s="1"/>
      <c r="I2611" s="2"/>
      <c r="J2611" s="2"/>
      <c r="N2611" s="2"/>
      <c r="O2611">
        <f>IFERROR(VLOOKUP($A2611,Accounts!$A:$G,3,FALSE),"")</f>
        <v>0</v>
      </c>
    </row>
    <row r="2612" spans="1:15" x14ac:dyDescent="0.2">
      <c r="A2612" t="str">
        <f t="shared" si="40"/>
        <v/>
      </c>
      <c r="F2612" s="1"/>
      <c r="H2612" s="1"/>
      <c r="I2612" s="2"/>
      <c r="J2612" s="2"/>
      <c r="N2612" s="2"/>
      <c r="O2612">
        <f>IFERROR(VLOOKUP($A2612,Accounts!$A:$G,3,FALSE),"")</f>
        <v>0</v>
      </c>
    </row>
    <row r="2613" spans="1:15" x14ac:dyDescent="0.2">
      <c r="A2613" t="str">
        <f t="shared" si="40"/>
        <v/>
      </c>
      <c r="F2613" s="1"/>
      <c r="H2613" s="1"/>
      <c r="I2613" s="2"/>
      <c r="J2613" s="2"/>
      <c r="N2613" s="2"/>
      <c r="O2613">
        <f>IFERROR(VLOOKUP($A2613,Accounts!$A:$G,3,FALSE),"")</f>
        <v>0</v>
      </c>
    </row>
    <row r="2614" spans="1:15" x14ac:dyDescent="0.2">
      <c r="A2614" t="str">
        <f t="shared" si="40"/>
        <v/>
      </c>
      <c r="F2614" s="1"/>
      <c r="H2614" s="1"/>
      <c r="I2614" s="2"/>
      <c r="J2614" s="2"/>
      <c r="N2614" s="2"/>
      <c r="O2614">
        <f>IFERROR(VLOOKUP($A2614,Accounts!$A:$G,3,FALSE),"")</f>
        <v>0</v>
      </c>
    </row>
    <row r="2615" spans="1:15" x14ac:dyDescent="0.2">
      <c r="A2615" t="str">
        <f t="shared" si="40"/>
        <v/>
      </c>
      <c r="F2615" s="1"/>
      <c r="H2615" s="1"/>
      <c r="I2615" s="2"/>
      <c r="J2615" s="2"/>
      <c r="N2615" s="2"/>
      <c r="O2615">
        <f>IFERROR(VLOOKUP($A2615,Accounts!$A:$G,3,FALSE),"")</f>
        <v>0</v>
      </c>
    </row>
    <row r="2616" spans="1:15" x14ac:dyDescent="0.2">
      <c r="A2616" t="str">
        <f t="shared" si="40"/>
        <v/>
      </c>
      <c r="F2616" s="1"/>
      <c r="H2616" s="1"/>
      <c r="I2616" s="2"/>
      <c r="J2616" s="2"/>
      <c r="N2616" s="2"/>
      <c r="O2616">
        <f>IFERROR(VLOOKUP($A2616,Accounts!$A:$G,3,FALSE),"")</f>
        <v>0</v>
      </c>
    </row>
    <row r="2617" spans="1:15" x14ac:dyDescent="0.2">
      <c r="A2617" t="str">
        <f t="shared" si="40"/>
        <v/>
      </c>
      <c r="F2617" s="1"/>
      <c r="H2617" s="1"/>
      <c r="I2617" s="2"/>
      <c r="J2617" s="2"/>
      <c r="N2617" s="2"/>
      <c r="O2617">
        <f>IFERROR(VLOOKUP($A2617,Accounts!$A:$G,3,FALSE),"")</f>
        <v>0</v>
      </c>
    </row>
    <row r="2618" spans="1:15" x14ac:dyDescent="0.2">
      <c r="A2618" t="str">
        <f t="shared" si="40"/>
        <v/>
      </c>
      <c r="F2618" s="1"/>
      <c r="H2618" s="1"/>
      <c r="I2618" s="2"/>
      <c r="J2618" s="2"/>
      <c r="N2618" s="2"/>
      <c r="O2618">
        <f>IFERROR(VLOOKUP($A2618,Accounts!$A:$G,3,FALSE),"")</f>
        <v>0</v>
      </c>
    </row>
    <row r="2619" spans="1:15" x14ac:dyDescent="0.2">
      <c r="A2619" t="str">
        <f t="shared" si="40"/>
        <v/>
      </c>
      <c r="F2619" s="1"/>
      <c r="H2619" s="1"/>
      <c r="I2619" s="2"/>
      <c r="J2619" s="2"/>
      <c r="N2619" s="2"/>
      <c r="O2619">
        <f>IFERROR(VLOOKUP($A2619,Accounts!$A:$G,3,FALSE),"")</f>
        <v>0</v>
      </c>
    </row>
    <row r="2620" spans="1:15" x14ac:dyDescent="0.2">
      <c r="A2620" t="str">
        <f t="shared" si="40"/>
        <v/>
      </c>
      <c r="F2620" s="1"/>
      <c r="H2620" s="1"/>
      <c r="I2620" s="2"/>
      <c r="J2620" s="2"/>
      <c r="N2620" s="2"/>
      <c r="O2620">
        <f>IFERROR(VLOOKUP($A2620,Accounts!$A:$G,3,FALSE),"")</f>
        <v>0</v>
      </c>
    </row>
    <row r="2621" spans="1:15" x14ac:dyDescent="0.2">
      <c r="A2621" t="str">
        <f t="shared" si="40"/>
        <v/>
      </c>
      <c r="F2621" s="1"/>
      <c r="H2621" s="1"/>
      <c r="I2621" s="2"/>
      <c r="J2621" s="2"/>
      <c r="N2621" s="2"/>
      <c r="O2621">
        <f>IFERROR(VLOOKUP($A2621,Accounts!$A:$G,3,FALSE),"")</f>
        <v>0</v>
      </c>
    </row>
    <row r="2622" spans="1:15" x14ac:dyDescent="0.2">
      <c r="A2622" t="str">
        <f t="shared" si="40"/>
        <v/>
      </c>
      <c r="F2622" s="1"/>
      <c r="H2622" s="1"/>
      <c r="I2622" s="2"/>
      <c r="J2622" s="2"/>
      <c r="N2622" s="2"/>
      <c r="O2622">
        <f>IFERROR(VLOOKUP($A2622,Accounts!$A:$G,3,FALSE),"")</f>
        <v>0</v>
      </c>
    </row>
    <row r="2623" spans="1:15" x14ac:dyDescent="0.2">
      <c r="A2623" t="str">
        <f t="shared" si="40"/>
        <v/>
      </c>
      <c r="F2623" s="1"/>
      <c r="H2623" s="1"/>
      <c r="I2623" s="2"/>
      <c r="J2623" s="2"/>
      <c r="N2623" s="2"/>
      <c r="O2623">
        <f>IFERROR(VLOOKUP($A2623,Accounts!$A:$G,3,FALSE),"")</f>
        <v>0</v>
      </c>
    </row>
    <row r="2624" spans="1:15" x14ac:dyDescent="0.2">
      <c r="A2624" t="str">
        <f t="shared" si="40"/>
        <v/>
      </c>
      <c r="F2624" s="1"/>
      <c r="H2624" s="1"/>
      <c r="I2624" s="2"/>
      <c r="J2624" s="2"/>
      <c r="N2624" s="2"/>
      <c r="O2624">
        <f>IFERROR(VLOOKUP($A2624,Accounts!$A:$G,3,FALSE),"")</f>
        <v>0</v>
      </c>
    </row>
    <row r="2625" spans="1:15" x14ac:dyDescent="0.2">
      <c r="A2625" t="str">
        <f t="shared" si="40"/>
        <v/>
      </c>
      <c r="F2625" s="1"/>
      <c r="H2625" s="1"/>
      <c r="I2625" s="2"/>
      <c r="J2625" s="2"/>
      <c r="N2625" s="2"/>
      <c r="O2625">
        <f>IFERROR(VLOOKUP($A2625,Accounts!$A:$G,3,FALSE),"")</f>
        <v>0</v>
      </c>
    </row>
    <row r="2626" spans="1:15" x14ac:dyDescent="0.2">
      <c r="A2626" t="str">
        <f t="shared" si="40"/>
        <v/>
      </c>
      <c r="F2626" s="1"/>
      <c r="H2626" s="1"/>
      <c r="I2626" s="2"/>
      <c r="J2626" s="2"/>
      <c r="N2626" s="2"/>
      <c r="O2626">
        <f>IFERROR(VLOOKUP($A2626,Accounts!$A:$G,3,FALSE),"")</f>
        <v>0</v>
      </c>
    </row>
    <row r="2627" spans="1:15" x14ac:dyDescent="0.2">
      <c r="A2627" t="str">
        <f t="shared" si="40"/>
        <v/>
      </c>
      <c r="F2627" s="1"/>
      <c r="H2627" s="1"/>
      <c r="I2627" s="2"/>
      <c r="J2627" s="2"/>
      <c r="N2627" s="2"/>
      <c r="O2627">
        <f>IFERROR(VLOOKUP($A2627,Accounts!$A:$G,3,FALSE),"")</f>
        <v>0</v>
      </c>
    </row>
    <row r="2628" spans="1:15" x14ac:dyDescent="0.2">
      <c r="A2628" t="str">
        <f t="shared" si="40"/>
        <v/>
      </c>
      <c r="F2628" s="1"/>
      <c r="H2628" s="1"/>
      <c r="I2628" s="2"/>
      <c r="J2628" s="2"/>
      <c r="N2628" s="2"/>
      <c r="O2628">
        <f>IFERROR(VLOOKUP($A2628,Accounts!$A:$G,3,FALSE),"")</f>
        <v>0</v>
      </c>
    </row>
    <row r="2629" spans="1:15" x14ac:dyDescent="0.2">
      <c r="A2629" t="str">
        <f t="shared" si="40"/>
        <v/>
      </c>
      <c r="B2629" s="3"/>
      <c r="C2629" s="3"/>
      <c r="D2629" s="3"/>
      <c r="E2629" s="3"/>
      <c r="F2629" s="4"/>
      <c r="G2629" s="3"/>
      <c r="H2629" s="4"/>
      <c r="I2629" s="5"/>
      <c r="J2629" s="5"/>
      <c r="K2629" s="3"/>
      <c r="L2629" s="3"/>
      <c r="M2629" s="3"/>
      <c r="N2629" s="5"/>
      <c r="O2629">
        <f>IFERROR(VLOOKUP($A2629,Accounts!$A:$G,3,FALSE),"")</f>
        <v>0</v>
      </c>
    </row>
    <row r="2630" spans="1:15" x14ac:dyDescent="0.2">
      <c r="A2630" t="str">
        <f t="shared" si="40"/>
        <v/>
      </c>
      <c r="F2630" s="1"/>
      <c r="H2630" s="1"/>
      <c r="I2630" s="2"/>
      <c r="J2630" s="2"/>
      <c r="N2630" s="2"/>
      <c r="O2630">
        <f>IFERROR(VLOOKUP($A2630,Accounts!$A:$G,3,FALSE),"")</f>
        <v>0</v>
      </c>
    </row>
    <row r="2631" spans="1:15" x14ac:dyDescent="0.2">
      <c r="A2631" t="str">
        <f t="shared" si="40"/>
        <v/>
      </c>
      <c r="F2631" s="1"/>
      <c r="H2631" s="1"/>
      <c r="I2631" s="2"/>
      <c r="J2631" s="2"/>
      <c r="N2631" s="2"/>
      <c r="O2631">
        <f>IFERROR(VLOOKUP($A2631,Accounts!$A:$G,3,FALSE),"")</f>
        <v>0</v>
      </c>
    </row>
    <row r="2632" spans="1:15" x14ac:dyDescent="0.2">
      <c r="A2632" t="str">
        <f t="shared" si="40"/>
        <v/>
      </c>
      <c r="F2632" s="1"/>
      <c r="H2632" s="1"/>
      <c r="I2632" s="2"/>
      <c r="J2632" s="2"/>
      <c r="N2632" s="2"/>
      <c r="O2632">
        <f>IFERROR(VLOOKUP($A2632,Accounts!$A:$G,3,FALSE),"")</f>
        <v>0</v>
      </c>
    </row>
    <row r="2633" spans="1:15" x14ac:dyDescent="0.2">
      <c r="A2633" t="str">
        <f t="shared" si="40"/>
        <v/>
      </c>
      <c r="F2633" s="1"/>
      <c r="H2633" s="1"/>
      <c r="I2633" s="2"/>
      <c r="J2633" s="2"/>
      <c r="N2633" s="2"/>
      <c r="O2633">
        <f>IFERROR(VLOOKUP($A2633,Accounts!$A:$G,3,FALSE),"")</f>
        <v>0</v>
      </c>
    </row>
    <row r="2634" spans="1:15" x14ac:dyDescent="0.2">
      <c r="A2634" t="str">
        <f t="shared" ref="A2634:A2697" si="41">IFERROR(IF(J2634=0,E2634&amp;C2634&amp;I2634,G2634&amp;B2634&amp;J2634),"")</f>
        <v/>
      </c>
      <c r="F2634" s="1"/>
      <c r="H2634" s="1"/>
      <c r="I2634" s="2"/>
      <c r="J2634" s="2"/>
      <c r="N2634" s="2"/>
      <c r="O2634">
        <f>IFERROR(VLOOKUP($A2634,Accounts!$A:$G,3,FALSE),"")</f>
        <v>0</v>
      </c>
    </row>
    <row r="2635" spans="1:15" x14ac:dyDescent="0.2">
      <c r="A2635" t="str">
        <f t="shared" si="41"/>
        <v/>
      </c>
      <c r="F2635" s="1"/>
      <c r="H2635" s="1"/>
      <c r="I2635" s="2"/>
      <c r="J2635" s="2"/>
      <c r="N2635" s="2"/>
      <c r="O2635">
        <f>IFERROR(VLOOKUP($A2635,Accounts!$A:$G,3,FALSE),"")</f>
        <v>0</v>
      </c>
    </row>
    <row r="2636" spans="1:15" x14ac:dyDescent="0.2">
      <c r="A2636" t="str">
        <f t="shared" si="41"/>
        <v/>
      </c>
      <c r="F2636" s="1"/>
      <c r="H2636" s="1"/>
      <c r="I2636" s="2"/>
      <c r="J2636" s="2"/>
      <c r="N2636" s="2"/>
      <c r="O2636">
        <f>IFERROR(VLOOKUP($A2636,Accounts!$A:$G,3,FALSE),"")</f>
        <v>0</v>
      </c>
    </row>
    <row r="2637" spans="1:15" x14ac:dyDescent="0.2">
      <c r="A2637" t="str">
        <f t="shared" si="41"/>
        <v/>
      </c>
      <c r="F2637" s="1"/>
      <c r="H2637" s="1"/>
      <c r="I2637" s="2"/>
      <c r="J2637" s="2"/>
      <c r="N2637" s="2"/>
      <c r="O2637">
        <f>IFERROR(VLOOKUP($A2637,Accounts!$A:$G,3,FALSE),"")</f>
        <v>0</v>
      </c>
    </row>
    <row r="2638" spans="1:15" x14ac:dyDescent="0.2">
      <c r="A2638" t="str">
        <f t="shared" si="41"/>
        <v/>
      </c>
      <c r="F2638" s="1"/>
      <c r="H2638" s="1"/>
      <c r="I2638" s="2"/>
      <c r="J2638" s="2"/>
      <c r="N2638" s="2"/>
      <c r="O2638">
        <f>IFERROR(VLOOKUP($A2638,Accounts!$A:$G,3,FALSE),"")</f>
        <v>0</v>
      </c>
    </row>
    <row r="2639" spans="1:15" x14ac:dyDescent="0.2">
      <c r="A2639" t="str">
        <f t="shared" si="41"/>
        <v/>
      </c>
      <c r="F2639" s="1"/>
      <c r="H2639" s="1"/>
      <c r="I2639" s="2"/>
      <c r="J2639" s="2"/>
      <c r="N2639" s="2"/>
      <c r="O2639">
        <f>IFERROR(VLOOKUP($A2639,Accounts!$A:$G,3,FALSE),"")</f>
        <v>0</v>
      </c>
    </row>
    <row r="2640" spans="1:15" x14ac:dyDescent="0.2">
      <c r="A2640" t="str">
        <f t="shared" si="41"/>
        <v/>
      </c>
      <c r="F2640" s="1"/>
      <c r="H2640" s="1"/>
      <c r="I2640" s="2"/>
      <c r="J2640" s="2"/>
      <c r="N2640" s="2"/>
      <c r="O2640">
        <f>IFERROR(VLOOKUP($A2640,Accounts!$A:$G,3,FALSE),"")</f>
        <v>0</v>
      </c>
    </row>
    <row r="2641" spans="1:15" x14ac:dyDescent="0.2">
      <c r="A2641" t="str">
        <f t="shared" si="41"/>
        <v/>
      </c>
      <c r="F2641" s="1"/>
      <c r="H2641" s="1"/>
      <c r="I2641" s="2"/>
      <c r="J2641" s="2"/>
      <c r="N2641" s="2"/>
      <c r="O2641">
        <f>IFERROR(VLOOKUP($A2641,Accounts!$A:$G,3,FALSE),"")</f>
        <v>0</v>
      </c>
    </row>
    <row r="2642" spans="1:15" x14ac:dyDescent="0.2">
      <c r="A2642" t="str">
        <f t="shared" si="41"/>
        <v/>
      </c>
      <c r="F2642" s="1"/>
      <c r="H2642" s="1"/>
      <c r="I2642" s="2"/>
      <c r="J2642" s="2"/>
      <c r="N2642" s="2"/>
      <c r="O2642">
        <f>IFERROR(VLOOKUP($A2642,Accounts!$A:$G,3,FALSE),"")</f>
        <v>0</v>
      </c>
    </row>
    <row r="2643" spans="1:15" x14ac:dyDescent="0.2">
      <c r="A2643" t="str">
        <f t="shared" si="41"/>
        <v/>
      </c>
      <c r="F2643" s="1"/>
      <c r="H2643" s="1"/>
      <c r="I2643" s="2"/>
      <c r="J2643" s="2"/>
      <c r="N2643" s="2"/>
      <c r="O2643">
        <f>IFERROR(VLOOKUP($A2643,Accounts!$A:$G,3,FALSE),"")</f>
        <v>0</v>
      </c>
    </row>
    <row r="2644" spans="1:15" x14ac:dyDescent="0.2">
      <c r="A2644" t="str">
        <f t="shared" si="41"/>
        <v/>
      </c>
      <c r="F2644" s="1"/>
      <c r="H2644" s="1"/>
      <c r="I2644" s="2"/>
      <c r="J2644" s="2"/>
      <c r="N2644" s="2"/>
      <c r="O2644">
        <f>IFERROR(VLOOKUP($A2644,Accounts!$A:$G,3,FALSE),"")</f>
        <v>0</v>
      </c>
    </row>
    <row r="2645" spans="1:15" x14ac:dyDescent="0.2">
      <c r="A2645" t="str">
        <f t="shared" si="41"/>
        <v/>
      </c>
      <c r="F2645" s="1"/>
      <c r="H2645" s="1"/>
      <c r="I2645" s="2"/>
      <c r="J2645" s="2"/>
      <c r="N2645" s="2"/>
      <c r="O2645">
        <f>IFERROR(VLOOKUP($A2645,Accounts!$A:$G,3,FALSE),"")</f>
        <v>0</v>
      </c>
    </row>
    <row r="2646" spans="1:15" x14ac:dyDescent="0.2">
      <c r="A2646" t="str">
        <f t="shared" si="41"/>
        <v/>
      </c>
      <c r="F2646" s="1"/>
      <c r="H2646" s="1"/>
      <c r="I2646" s="2"/>
      <c r="J2646" s="2"/>
      <c r="N2646" s="2"/>
      <c r="O2646">
        <f>IFERROR(VLOOKUP($A2646,Accounts!$A:$G,3,FALSE),"")</f>
        <v>0</v>
      </c>
    </row>
    <row r="2647" spans="1:15" x14ac:dyDescent="0.2">
      <c r="A2647" t="str">
        <f t="shared" si="41"/>
        <v/>
      </c>
      <c r="F2647" s="1"/>
      <c r="H2647" s="1"/>
      <c r="I2647" s="2"/>
      <c r="J2647" s="2"/>
      <c r="N2647" s="2"/>
      <c r="O2647">
        <f>IFERROR(VLOOKUP($A2647,Accounts!$A:$G,3,FALSE),"")</f>
        <v>0</v>
      </c>
    </row>
    <row r="2648" spans="1:15" x14ac:dyDescent="0.2">
      <c r="A2648" t="str">
        <f t="shared" si="41"/>
        <v/>
      </c>
      <c r="F2648" s="1"/>
      <c r="H2648" s="1"/>
      <c r="I2648" s="2"/>
      <c r="J2648" s="2"/>
      <c r="N2648" s="2"/>
      <c r="O2648">
        <f>IFERROR(VLOOKUP($A2648,Accounts!$A:$G,3,FALSE),"")</f>
        <v>0</v>
      </c>
    </row>
    <row r="2649" spans="1:15" x14ac:dyDescent="0.2">
      <c r="A2649" t="str">
        <f t="shared" si="41"/>
        <v/>
      </c>
      <c r="F2649" s="1"/>
      <c r="H2649" s="1"/>
      <c r="I2649" s="2"/>
      <c r="J2649" s="2"/>
      <c r="N2649" s="2"/>
      <c r="O2649">
        <f>IFERROR(VLOOKUP($A2649,Accounts!$A:$G,3,FALSE),"")</f>
        <v>0</v>
      </c>
    </row>
    <row r="2650" spans="1:15" x14ac:dyDescent="0.2">
      <c r="A2650" t="str">
        <f t="shared" si="41"/>
        <v/>
      </c>
      <c r="F2650" s="1"/>
      <c r="H2650" s="1"/>
      <c r="I2650" s="2"/>
      <c r="J2650" s="2"/>
      <c r="N2650" s="2"/>
      <c r="O2650">
        <f>IFERROR(VLOOKUP($A2650,Accounts!$A:$G,3,FALSE),"")</f>
        <v>0</v>
      </c>
    </row>
    <row r="2651" spans="1:15" x14ac:dyDescent="0.2">
      <c r="A2651" t="str">
        <f t="shared" si="41"/>
        <v/>
      </c>
      <c r="F2651" s="1"/>
      <c r="H2651" s="1"/>
      <c r="I2651" s="2"/>
      <c r="J2651" s="2"/>
      <c r="N2651" s="2"/>
      <c r="O2651">
        <f>IFERROR(VLOOKUP($A2651,Accounts!$A:$G,3,FALSE),"")</f>
        <v>0</v>
      </c>
    </row>
    <row r="2652" spans="1:15" x14ac:dyDescent="0.2">
      <c r="A2652" t="str">
        <f t="shared" si="41"/>
        <v/>
      </c>
      <c r="F2652" s="1"/>
      <c r="H2652" s="1"/>
      <c r="I2652" s="2"/>
      <c r="J2652" s="2"/>
      <c r="N2652" s="2"/>
      <c r="O2652">
        <f>IFERROR(VLOOKUP($A2652,Accounts!$A:$G,3,FALSE),"")</f>
        <v>0</v>
      </c>
    </row>
    <row r="2653" spans="1:15" x14ac:dyDescent="0.2">
      <c r="A2653" t="str">
        <f t="shared" si="41"/>
        <v/>
      </c>
      <c r="F2653" s="1"/>
      <c r="H2653" s="1"/>
      <c r="I2653" s="2"/>
      <c r="J2653" s="2"/>
      <c r="N2653" s="2"/>
      <c r="O2653">
        <f>IFERROR(VLOOKUP($A2653,Accounts!$A:$G,3,FALSE),"")</f>
        <v>0</v>
      </c>
    </row>
    <row r="2654" spans="1:15" x14ac:dyDescent="0.2">
      <c r="A2654" t="str">
        <f t="shared" si="41"/>
        <v/>
      </c>
      <c r="F2654" s="1"/>
      <c r="H2654" s="1"/>
      <c r="I2654" s="2"/>
      <c r="J2654" s="2"/>
      <c r="N2654" s="2"/>
      <c r="O2654">
        <f>IFERROR(VLOOKUP($A2654,Accounts!$A:$G,3,FALSE),"")</f>
        <v>0</v>
      </c>
    </row>
    <row r="2655" spans="1:15" x14ac:dyDescent="0.2">
      <c r="A2655" t="str">
        <f t="shared" si="41"/>
        <v/>
      </c>
      <c r="F2655" s="1"/>
      <c r="H2655" s="1"/>
      <c r="I2655" s="2"/>
      <c r="J2655" s="2"/>
      <c r="N2655" s="2"/>
      <c r="O2655">
        <f>IFERROR(VLOOKUP($A2655,Accounts!$A:$G,3,FALSE),"")</f>
        <v>0</v>
      </c>
    </row>
    <row r="2656" spans="1:15" x14ac:dyDescent="0.2">
      <c r="A2656" t="str">
        <f t="shared" si="41"/>
        <v/>
      </c>
      <c r="F2656" s="1"/>
      <c r="H2656" s="1"/>
      <c r="I2656" s="2"/>
      <c r="J2656" s="2"/>
      <c r="N2656" s="2"/>
      <c r="O2656">
        <f>IFERROR(VLOOKUP($A2656,Accounts!$A:$G,3,FALSE),"")</f>
        <v>0</v>
      </c>
    </row>
    <row r="2657" spans="1:15" x14ac:dyDescent="0.2">
      <c r="A2657" t="str">
        <f t="shared" si="41"/>
        <v/>
      </c>
      <c r="F2657" s="1"/>
      <c r="H2657" s="1"/>
      <c r="I2657" s="2"/>
      <c r="J2657" s="2"/>
      <c r="N2657" s="2"/>
      <c r="O2657">
        <f>IFERROR(VLOOKUP($A2657,Accounts!$A:$G,3,FALSE),"")</f>
        <v>0</v>
      </c>
    </row>
    <row r="2658" spans="1:15" x14ac:dyDescent="0.2">
      <c r="A2658" t="str">
        <f t="shared" si="41"/>
        <v/>
      </c>
      <c r="F2658" s="1"/>
      <c r="H2658" s="1"/>
      <c r="I2658" s="2"/>
      <c r="J2658" s="2"/>
      <c r="N2658" s="2"/>
      <c r="O2658">
        <f>IFERROR(VLOOKUP($A2658,Accounts!$A:$G,3,FALSE),"")</f>
        <v>0</v>
      </c>
    </row>
    <row r="2659" spans="1:15" x14ac:dyDescent="0.2">
      <c r="A2659" t="str">
        <f t="shared" si="41"/>
        <v/>
      </c>
      <c r="F2659" s="1"/>
      <c r="H2659" s="1"/>
      <c r="I2659" s="2"/>
      <c r="J2659" s="2"/>
      <c r="N2659" s="2"/>
      <c r="O2659">
        <f>IFERROR(VLOOKUP($A2659,Accounts!$A:$G,3,FALSE),"")</f>
        <v>0</v>
      </c>
    </row>
    <row r="2660" spans="1:15" x14ac:dyDescent="0.2">
      <c r="A2660" t="str">
        <f t="shared" si="41"/>
        <v/>
      </c>
      <c r="F2660" s="1"/>
      <c r="H2660" s="1"/>
      <c r="I2660" s="2"/>
      <c r="J2660" s="2"/>
      <c r="N2660" s="2"/>
      <c r="O2660">
        <f>IFERROR(VLOOKUP($A2660,Accounts!$A:$G,3,FALSE),"")</f>
        <v>0</v>
      </c>
    </row>
    <row r="2661" spans="1:15" x14ac:dyDescent="0.2">
      <c r="A2661" t="str">
        <f t="shared" si="41"/>
        <v/>
      </c>
      <c r="F2661" s="1"/>
      <c r="H2661" s="1"/>
      <c r="I2661" s="2"/>
      <c r="J2661" s="2"/>
      <c r="N2661" s="2"/>
      <c r="O2661">
        <f>IFERROR(VLOOKUP($A2661,Accounts!$A:$G,3,FALSE),"")</f>
        <v>0</v>
      </c>
    </row>
    <row r="2662" spans="1:15" x14ac:dyDescent="0.2">
      <c r="A2662" t="str">
        <f t="shared" si="41"/>
        <v/>
      </c>
      <c r="F2662" s="1"/>
      <c r="H2662" s="1"/>
      <c r="I2662" s="2"/>
      <c r="J2662" s="2"/>
      <c r="N2662" s="2"/>
      <c r="O2662">
        <f>IFERROR(VLOOKUP($A2662,Accounts!$A:$G,3,FALSE),"")</f>
        <v>0</v>
      </c>
    </row>
    <row r="2663" spans="1:15" x14ac:dyDescent="0.2">
      <c r="A2663" t="str">
        <f t="shared" si="41"/>
        <v/>
      </c>
      <c r="F2663" s="1"/>
      <c r="H2663" s="1"/>
      <c r="I2663" s="2"/>
      <c r="J2663" s="2"/>
      <c r="N2663" s="2"/>
      <c r="O2663">
        <f>IFERROR(VLOOKUP($A2663,Accounts!$A:$G,3,FALSE),"")</f>
        <v>0</v>
      </c>
    </row>
    <row r="2664" spans="1:15" x14ac:dyDescent="0.2">
      <c r="A2664" t="str">
        <f t="shared" si="41"/>
        <v/>
      </c>
      <c r="F2664" s="1"/>
      <c r="H2664" s="1"/>
      <c r="I2664" s="2"/>
      <c r="J2664" s="2"/>
      <c r="N2664" s="2"/>
      <c r="O2664">
        <f>IFERROR(VLOOKUP($A2664,Accounts!$A:$G,3,FALSE),"")</f>
        <v>0</v>
      </c>
    </row>
    <row r="2665" spans="1:15" x14ac:dyDescent="0.2">
      <c r="A2665" t="str">
        <f t="shared" si="41"/>
        <v/>
      </c>
      <c r="F2665" s="1"/>
      <c r="H2665" s="1"/>
      <c r="I2665" s="2"/>
      <c r="J2665" s="2"/>
      <c r="N2665" s="2"/>
      <c r="O2665">
        <f>IFERROR(VLOOKUP($A2665,Accounts!$A:$G,3,FALSE),"")</f>
        <v>0</v>
      </c>
    </row>
    <row r="2666" spans="1:15" x14ac:dyDescent="0.2">
      <c r="A2666" t="str">
        <f t="shared" si="41"/>
        <v/>
      </c>
      <c r="F2666" s="1"/>
      <c r="H2666" s="1"/>
      <c r="I2666" s="2"/>
      <c r="J2666" s="2"/>
      <c r="N2666" s="2"/>
      <c r="O2666">
        <f>IFERROR(VLOOKUP($A2666,Accounts!$A:$G,3,FALSE),"")</f>
        <v>0</v>
      </c>
    </row>
    <row r="2667" spans="1:15" x14ac:dyDescent="0.2">
      <c r="A2667" t="str">
        <f t="shared" si="41"/>
        <v/>
      </c>
      <c r="F2667" s="1"/>
      <c r="H2667" s="1"/>
      <c r="I2667" s="2"/>
      <c r="J2667" s="2"/>
      <c r="N2667" s="2"/>
      <c r="O2667">
        <f>IFERROR(VLOOKUP($A2667,Accounts!$A:$G,3,FALSE),"")</f>
        <v>0</v>
      </c>
    </row>
    <row r="2668" spans="1:15" x14ac:dyDescent="0.2">
      <c r="A2668" t="str">
        <f t="shared" si="41"/>
        <v/>
      </c>
      <c r="F2668" s="1"/>
      <c r="H2668" s="1"/>
      <c r="I2668" s="2"/>
      <c r="J2668" s="2"/>
      <c r="N2668" s="2"/>
      <c r="O2668">
        <f>IFERROR(VLOOKUP($A2668,Accounts!$A:$G,3,FALSE),"")</f>
        <v>0</v>
      </c>
    </row>
    <row r="2669" spans="1:15" x14ac:dyDescent="0.2">
      <c r="A2669" t="str">
        <f t="shared" si="41"/>
        <v/>
      </c>
      <c r="F2669" s="1"/>
      <c r="H2669" s="1"/>
      <c r="I2669" s="2"/>
      <c r="J2669" s="2"/>
      <c r="N2669" s="2"/>
      <c r="O2669">
        <f>IFERROR(VLOOKUP($A2669,Accounts!$A:$G,3,FALSE),"")</f>
        <v>0</v>
      </c>
    </row>
    <row r="2670" spans="1:15" x14ac:dyDescent="0.2">
      <c r="A2670" t="str">
        <f t="shared" si="41"/>
        <v/>
      </c>
      <c r="F2670" s="1"/>
      <c r="H2670" s="1"/>
      <c r="I2670" s="2"/>
      <c r="J2670" s="2"/>
      <c r="N2670" s="2"/>
      <c r="O2670">
        <f>IFERROR(VLOOKUP($A2670,Accounts!$A:$G,3,FALSE),"")</f>
        <v>0</v>
      </c>
    </row>
    <row r="2671" spans="1:15" x14ac:dyDescent="0.2">
      <c r="A2671" t="str">
        <f t="shared" si="41"/>
        <v/>
      </c>
      <c r="F2671" s="1"/>
      <c r="H2671" s="1"/>
      <c r="I2671" s="2"/>
      <c r="J2671" s="2"/>
      <c r="N2671" s="2"/>
      <c r="O2671">
        <f>IFERROR(VLOOKUP($A2671,Accounts!$A:$G,3,FALSE),"")</f>
        <v>0</v>
      </c>
    </row>
    <row r="2672" spans="1:15" x14ac:dyDescent="0.2">
      <c r="A2672" t="str">
        <f t="shared" si="41"/>
        <v/>
      </c>
      <c r="F2672" s="1"/>
      <c r="H2672" s="1"/>
      <c r="I2672" s="2"/>
      <c r="J2672" s="2"/>
      <c r="N2672" s="2"/>
      <c r="O2672">
        <f>IFERROR(VLOOKUP($A2672,Accounts!$A:$G,3,FALSE),"")</f>
        <v>0</v>
      </c>
    </row>
    <row r="2673" spans="1:15" x14ac:dyDescent="0.2">
      <c r="A2673" t="str">
        <f t="shared" si="41"/>
        <v/>
      </c>
      <c r="F2673" s="1"/>
      <c r="H2673" s="1"/>
      <c r="I2673" s="2"/>
      <c r="J2673" s="2"/>
      <c r="N2673" s="2"/>
      <c r="O2673">
        <f>IFERROR(VLOOKUP($A2673,Accounts!$A:$G,3,FALSE),"")</f>
        <v>0</v>
      </c>
    </row>
    <row r="2674" spans="1:15" x14ac:dyDescent="0.2">
      <c r="A2674" t="str">
        <f t="shared" si="41"/>
        <v/>
      </c>
      <c r="F2674" s="1"/>
      <c r="H2674" s="1"/>
      <c r="I2674" s="2"/>
      <c r="J2674" s="2"/>
      <c r="N2674" s="2"/>
      <c r="O2674">
        <f>IFERROR(VLOOKUP($A2674,Accounts!$A:$G,3,FALSE),"")</f>
        <v>0</v>
      </c>
    </row>
    <row r="2675" spans="1:15" x14ac:dyDescent="0.2">
      <c r="A2675" t="str">
        <f t="shared" si="41"/>
        <v/>
      </c>
      <c r="F2675" s="1"/>
      <c r="H2675" s="1"/>
      <c r="I2675" s="2"/>
      <c r="J2675" s="2"/>
      <c r="N2675" s="2"/>
      <c r="O2675">
        <f>IFERROR(VLOOKUP($A2675,Accounts!$A:$G,3,FALSE),"")</f>
        <v>0</v>
      </c>
    </row>
    <row r="2676" spans="1:15" x14ac:dyDescent="0.2">
      <c r="A2676" t="str">
        <f t="shared" si="41"/>
        <v/>
      </c>
      <c r="F2676" s="1"/>
      <c r="H2676" s="1"/>
      <c r="I2676" s="2"/>
      <c r="J2676" s="2"/>
      <c r="N2676" s="2"/>
      <c r="O2676">
        <f>IFERROR(VLOOKUP($A2676,Accounts!$A:$G,3,FALSE),"")</f>
        <v>0</v>
      </c>
    </row>
    <row r="2677" spans="1:15" x14ac:dyDescent="0.2">
      <c r="A2677" t="str">
        <f t="shared" si="41"/>
        <v/>
      </c>
      <c r="F2677" s="1"/>
      <c r="H2677" s="1"/>
      <c r="I2677" s="2"/>
      <c r="J2677" s="2"/>
      <c r="N2677" s="2"/>
      <c r="O2677">
        <f>IFERROR(VLOOKUP($A2677,Accounts!$A:$G,3,FALSE),"")</f>
        <v>0</v>
      </c>
    </row>
    <row r="2678" spans="1:15" x14ac:dyDescent="0.2">
      <c r="A2678" t="str">
        <f t="shared" si="41"/>
        <v/>
      </c>
      <c r="F2678" s="1"/>
      <c r="H2678" s="1"/>
      <c r="I2678" s="2"/>
      <c r="J2678" s="2"/>
      <c r="N2678" s="2"/>
      <c r="O2678">
        <f>IFERROR(VLOOKUP($A2678,Accounts!$A:$G,3,FALSE),"")</f>
        <v>0</v>
      </c>
    </row>
    <row r="2679" spans="1:15" x14ac:dyDescent="0.2">
      <c r="A2679" t="str">
        <f t="shared" si="41"/>
        <v/>
      </c>
      <c r="F2679" s="1"/>
      <c r="H2679" s="1"/>
      <c r="I2679" s="2"/>
      <c r="J2679" s="2"/>
      <c r="N2679" s="2"/>
      <c r="O2679">
        <f>IFERROR(VLOOKUP($A2679,Accounts!$A:$G,3,FALSE),"")</f>
        <v>0</v>
      </c>
    </row>
    <row r="2680" spans="1:15" x14ac:dyDescent="0.2">
      <c r="A2680" t="str">
        <f t="shared" si="41"/>
        <v/>
      </c>
      <c r="F2680" s="1"/>
      <c r="H2680" s="1"/>
      <c r="I2680" s="2"/>
      <c r="J2680" s="2"/>
      <c r="N2680" s="2"/>
      <c r="O2680">
        <f>IFERROR(VLOOKUP($A2680,Accounts!$A:$G,3,FALSE),"")</f>
        <v>0</v>
      </c>
    </row>
    <row r="2681" spans="1:15" x14ac:dyDescent="0.2">
      <c r="A2681" t="str">
        <f t="shared" si="41"/>
        <v/>
      </c>
      <c r="F2681" s="1"/>
      <c r="H2681" s="1"/>
      <c r="I2681" s="2"/>
      <c r="J2681" s="2"/>
      <c r="N2681" s="2"/>
      <c r="O2681">
        <f>IFERROR(VLOOKUP($A2681,Accounts!$A:$G,3,FALSE),"")</f>
        <v>0</v>
      </c>
    </row>
    <row r="2682" spans="1:15" x14ac:dyDescent="0.2">
      <c r="A2682" t="str">
        <f t="shared" si="41"/>
        <v/>
      </c>
      <c r="F2682" s="1"/>
      <c r="H2682" s="1"/>
      <c r="I2682" s="2"/>
      <c r="J2682" s="2"/>
      <c r="N2682" s="2"/>
      <c r="O2682">
        <f>IFERROR(VLOOKUP($A2682,Accounts!$A:$G,3,FALSE),"")</f>
        <v>0</v>
      </c>
    </row>
    <row r="2683" spans="1:15" x14ac:dyDescent="0.2">
      <c r="A2683" t="str">
        <f t="shared" si="41"/>
        <v/>
      </c>
      <c r="F2683" s="1"/>
      <c r="H2683" s="1"/>
      <c r="I2683" s="2"/>
      <c r="J2683" s="2"/>
      <c r="N2683" s="2"/>
      <c r="O2683">
        <f>IFERROR(VLOOKUP($A2683,Accounts!$A:$G,3,FALSE),"")</f>
        <v>0</v>
      </c>
    </row>
    <row r="2684" spans="1:15" x14ac:dyDescent="0.2">
      <c r="A2684" t="str">
        <f t="shared" si="41"/>
        <v/>
      </c>
      <c r="F2684" s="1"/>
      <c r="H2684" s="1"/>
      <c r="I2684" s="2"/>
      <c r="J2684" s="2"/>
      <c r="N2684" s="2"/>
      <c r="O2684">
        <f>IFERROR(VLOOKUP($A2684,Accounts!$A:$G,3,FALSE),"")</f>
        <v>0</v>
      </c>
    </row>
    <row r="2685" spans="1:15" x14ac:dyDescent="0.2">
      <c r="A2685" t="str">
        <f t="shared" si="41"/>
        <v/>
      </c>
      <c r="F2685" s="1"/>
      <c r="H2685" s="1"/>
      <c r="I2685" s="2"/>
      <c r="J2685" s="2"/>
      <c r="N2685" s="2"/>
      <c r="O2685">
        <f>IFERROR(VLOOKUP($A2685,Accounts!$A:$G,3,FALSE),"")</f>
        <v>0</v>
      </c>
    </row>
    <row r="2686" spans="1:15" x14ac:dyDescent="0.2">
      <c r="A2686" t="str">
        <f t="shared" si="41"/>
        <v/>
      </c>
      <c r="F2686" s="1"/>
      <c r="H2686" s="1"/>
      <c r="I2686" s="2"/>
      <c r="J2686" s="2"/>
      <c r="N2686" s="2"/>
      <c r="O2686">
        <f>IFERROR(VLOOKUP($A2686,Accounts!$A:$G,3,FALSE),"")</f>
        <v>0</v>
      </c>
    </row>
    <row r="2687" spans="1:15" x14ac:dyDescent="0.2">
      <c r="A2687" t="str">
        <f t="shared" si="41"/>
        <v/>
      </c>
      <c r="F2687" s="1"/>
      <c r="H2687" s="1"/>
      <c r="I2687" s="2"/>
      <c r="J2687" s="2"/>
      <c r="N2687" s="2"/>
      <c r="O2687">
        <f>IFERROR(VLOOKUP($A2687,Accounts!$A:$G,3,FALSE),"")</f>
        <v>0</v>
      </c>
    </row>
    <row r="2688" spans="1:15" x14ac:dyDescent="0.2">
      <c r="A2688" t="str">
        <f t="shared" si="41"/>
        <v/>
      </c>
      <c r="F2688" s="1"/>
      <c r="H2688" s="1"/>
      <c r="I2688" s="2"/>
      <c r="J2688" s="2"/>
      <c r="N2688" s="2"/>
      <c r="O2688">
        <f>IFERROR(VLOOKUP($A2688,Accounts!$A:$G,3,FALSE),"")</f>
        <v>0</v>
      </c>
    </row>
    <row r="2689" spans="1:15" x14ac:dyDescent="0.2">
      <c r="A2689" t="str">
        <f t="shared" si="41"/>
        <v/>
      </c>
      <c r="F2689" s="1"/>
      <c r="H2689" s="1"/>
      <c r="I2689" s="2"/>
      <c r="J2689" s="2"/>
      <c r="N2689" s="2"/>
      <c r="O2689">
        <f>IFERROR(VLOOKUP($A2689,Accounts!$A:$G,3,FALSE),"")</f>
        <v>0</v>
      </c>
    </row>
    <row r="2690" spans="1:15" x14ac:dyDescent="0.2">
      <c r="A2690" t="str">
        <f t="shared" si="41"/>
        <v/>
      </c>
      <c r="F2690" s="1"/>
      <c r="H2690" s="1"/>
      <c r="I2690" s="2"/>
      <c r="J2690" s="2"/>
      <c r="N2690" s="2"/>
      <c r="O2690">
        <f>IFERROR(VLOOKUP($A2690,Accounts!$A:$G,3,FALSE),"")</f>
        <v>0</v>
      </c>
    </row>
    <row r="2691" spans="1:15" x14ac:dyDescent="0.2">
      <c r="A2691" t="str">
        <f t="shared" si="41"/>
        <v/>
      </c>
      <c r="F2691" s="1"/>
      <c r="H2691" s="1"/>
      <c r="I2691" s="2"/>
      <c r="J2691" s="2"/>
      <c r="N2691" s="2"/>
      <c r="O2691">
        <f>IFERROR(VLOOKUP($A2691,Accounts!$A:$G,3,FALSE),"")</f>
        <v>0</v>
      </c>
    </row>
    <row r="2692" spans="1:15" x14ac:dyDescent="0.2">
      <c r="A2692" t="str">
        <f t="shared" si="41"/>
        <v/>
      </c>
      <c r="F2692" s="1"/>
      <c r="H2692" s="1"/>
      <c r="I2692" s="2"/>
      <c r="J2692" s="2"/>
      <c r="N2692" s="2"/>
      <c r="O2692">
        <f>IFERROR(VLOOKUP($A2692,Accounts!$A:$G,3,FALSE),"")</f>
        <v>0</v>
      </c>
    </row>
    <row r="2693" spans="1:15" x14ac:dyDescent="0.2">
      <c r="A2693" t="str">
        <f t="shared" si="41"/>
        <v/>
      </c>
      <c r="F2693" s="1"/>
      <c r="H2693" s="1"/>
      <c r="I2693" s="2"/>
      <c r="J2693" s="2"/>
      <c r="N2693" s="2"/>
      <c r="O2693">
        <f>IFERROR(VLOOKUP($A2693,Accounts!$A:$G,3,FALSE),"")</f>
        <v>0</v>
      </c>
    </row>
    <row r="2694" spans="1:15" x14ac:dyDescent="0.2">
      <c r="A2694" t="str">
        <f t="shared" si="41"/>
        <v/>
      </c>
      <c r="F2694" s="1"/>
      <c r="H2694" s="1"/>
      <c r="I2694" s="2"/>
      <c r="J2694" s="2"/>
      <c r="N2694" s="2"/>
      <c r="O2694">
        <f>IFERROR(VLOOKUP($A2694,Accounts!$A:$G,3,FALSE),"")</f>
        <v>0</v>
      </c>
    </row>
    <row r="2695" spans="1:15" x14ac:dyDescent="0.2">
      <c r="A2695" t="str">
        <f t="shared" si="41"/>
        <v/>
      </c>
      <c r="F2695" s="1"/>
      <c r="H2695" s="1"/>
      <c r="I2695" s="2"/>
      <c r="J2695" s="2"/>
      <c r="N2695" s="2"/>
      <c r="O2695">
        <f>IFERROR(VLOOKUP($A2695,Accounts!$A:$G,3,FALSE),"")</f>
        <v>0</v>
      </c>
    </row>
    <row r="2696" spans="1:15" x14ac:dyDescent="0.2">
      <c r="A2696" t="str">
        <f t="shared" si="41"/>
        <v/>
      </c>
      <c r="F2696" s="1"/>
      <c r="H2696" s="1"/>
      <c r="I2696" s="2"/>
      <c r="J2696" s="2"/>
      <c r="N2696" s="2"/>
      <c r="O2696">
        <f>IFERROR(VLOOKUP($A2696,Accounts!$A:$G,3,FALSE),"")</f>
        <v>0</v>
      </c>
    </row>
    <row r="2697" spans="1:15" x14ac:dyDescent="0.2">
      <c r="A2697" t="str">
        <f t="shared" si="41"/>
        <v/>
      </c>
      <c r="F2697" s="1"/>
      <c r="H2697" s="1"/>
      <c r="I2697" s="2"/>
      <c r="J2697" s="2"/>
      <c r="N2697" s="2"/>
      <c r="O2697">
        <f>IFERROR(VLOOKUP($A2697,Accounts!$A:$G,3,FALSE),"")</f>
        <v>0</v>
      </c>
    </row>
    <row r="2698" spans="1:15" x14ac:dyDescent="0.2">
      <c r="A2698" t="str">
        <f t="shared" ref="A2698:A2761" si="42">IFERROR(IF(J2698=0,E2698&amp;C2698&amp;I2698,G2698&amp;B2698&amp;J2698),"")</f>
        <v/>
      </c>
      <c r="F2698" s="1"/>
      <c r="H2698" s="1"/>
      <c r="I2698" s="2"/>
      <c r="J2698" s="2"/>
      <c r="N2698" s="2"/>
      <c r="O2698">
        <f>IFERROR(VLOOKUP($A2698,Accounts!$A:$G,3,FALSE),"")</f>
        <v>0</v>
      </c>
    </row>
    <row r="2699" spans="1:15" x14ac:dyDescent="0.2">
      <c r="A2699" t="str">
        <f t="shared" si="42"/>
        <v/>
      </c>
      <c r="F2699" s="1"/>
      <c r="H2699" s="1"/>
      <c r="I2699" s="2"/>
      <c r="J2699" s="2"/>
      <c r="N2699" s="2"/>
      <c r="O2699">
        <f>IFERROR(VLOOKUP($A2699,Accounts!$A:$G,3,FALSE),"")</f>
        <v>0</v>
      </c>
    </row>
    <row r="2700" spans="1:15" x14ac:dyDescent="0.2">
      <c r="A2700" t="str">
        <f t="shared" si="42"/>
        <v/>
      </c>
      <c r="F2700" s="1"/>
      <c r="H2700" s="1"/>
      <c r="I2700" s="2"/>
      <c r="J2700" s="2"/>
      <c r="N2700" s="2"/>
      <c r="O2700">
        <f>IFERROR(VLOOKUP($A2700,Accounts!$A:$G,3,FALSE),"")</f>
        <v>0</v>
      </c>
    </row>
    <row r="2701" spans="1:15" x14ac:dyDescent="0.2">
      <c r="A2701" t="str">
        <f t="shared" si="42"/>
        <v/>
      </c>
      <c r="F2701" s="1"/>
      <c r="H2701" s="1"/>
      <c r="I2701" s="2"/>
      <c r="J2701" s="2"/>
      <c r="N2701" s="2"/>
      <c r="O2701">
        <f>IFERROR(VLOOKUP($A2701,Accounts!$A:$G,3,FALSE),"")</f>
        <v>0</v>
      </c>
    </row>
    <row r="2702" spans="1:15" x14ac:dyDescent="0.2">
      <c r="A2702" t="str">
        <f t="shared" si="42"/>
        <v/>
      </c>
      <c r="F2702" s="1"/>
      <c r="H2702" s="1"/>
      <c r="I2702" s="2"/>
      <c r="J2702" s="2"/>
      <c r="N2702" s="2"/>
      <c r="O2702">
        <f>IFERROR(VLOOKUP($A2702,Accounts!$A:$G,3,FALSE),"")</f>
        <v>0</v>
      </c>
    </row>
    <row r="2703" spans="1:15" x14ac:dyDescent="0.2">
      <c r="A2703" t="str">
        <f t="shared" si="42"/>
        <v/>
      </c>
      <c r="F2703" s="1"/>
      <c r="H2703" s="1"/>
      <c r="I2703" s="2"/>
      <c r="J2703" s="2"/>
      <c r="N2703" s="2"/>
      <c r="O2703">
        <f>IFERROR(VLOOKUP($A2703,Accounts!$A:$G,3,FALSE),"")</f>
        <v>0</v>
      </c>
    </row>
    <row r="2704" spans="1:15" x14ac:dyDescent="0.2">
      <c r="A2704" t="str">
        <f t="shared" si="42"/>
        <v/>
      </c>
      <c r="F2704" s="1"/>
      <c r="H2704" s="1"/>
      <c r="I2704" s="2"/>
      <c r="J2704" s="2"/>
      <c r="N2704" s="2"/>
      <c r="O2704">
        <f>IFERROR(VLOOKUP($A2704,Accounts!$A:$G,3,FALSE),"")</f>
        <v>0</v>
      </c>
    </row>
    <row r="2705" spans="1:15" x14ac:dyDescent="0.2">
      <c r="A2705" t="str">
        <f t="shared" si="42"/>
        <v/>
      </c>
      <c r="F2705" s="1"/>
      <c r="H2705" s="1"/>
      <c r="I2705" s="2"/>
      <c r="J2705" s="2"/>
      <c r="N2705" s="2"/>
      <c r="O2705">
        <f>IFERROR(VLOOKUP($A2705,Accounts!$A:$G,3,FALSE),"")</f>
        <v>0</v>
      </c>
    </row>
    <row r="2706" spans="1:15" x14ac:dyDescent="0.2">
      <c r="A2706" t="str">
        <f t="shared" si="42"/>
        <v/>
      </c>
      <c r="F2706" s="1"/>
      <c r="H2706" s="1"/>
      <c r="I2706" s="2"/>
      <c r="J2706" s="2"/>
      <c r="N2706" s="2"/>
      <c r="O2706">
        <f>IFERROR(VLOOKUP($A2706,Accounts!$A:$G,3,FALSE),"")</f>
        <v>0</v>
      </c>
    </row>
    <row r="2707" spans="1:15" x14ac:dyDescent="0.2">
      <c r="A2707" t="str">
        <f t="shared" si="42"/>
        <v/>
      </c>
      <c r="F2707" s="1"/>
      <c r="H2707" s="1"/>
      <c r="I2707" s="2"/>
      <c r="J2707" s="2"/>
      <c r="N2707" s="2"/>
      <c r="O2707">
        <f>IFERROR(VLOOKUP($A2707,Accounts!$A:$G,3,FALSE),"")</f>
        <v>0</v>
      </c>
    </row>
    <row r="2708" spans="1:15" x14ac:dyDescent="0.2">
      <c r="A2708" t="str">
        <f t="shared" si="42"/>
        <v/>
      </c>
      <c r="F2708" s="1"/>
      <c r="H2708" s="1"/>
      <c r="I2708" s="2"/>
      <c r="J2708" s="2"/>
      <c r="N2708" s="2"/>
      <c r="O2708">
        <f>IFERROR(VLOOKUP($A2708,Accounts!$A:$G,3,FALSE),"")</f>
        <v>0</v>
      </c>
    </row>
    <row r="2709" spans="1:15" x14ac:dyDescent="0.2">
      <c r="A2709" t="str">
        <f t="shared" si="42"/>
        <v/>
      </c>
      <c r="F2709" s="1"/>
      <c r="H2709" s="1"/>
      <c r="I2709" s="2"/>
      <c r="J2709" s="2"/>
      <c r="N2709" s="2"/>
      <c r="O2709">
        <f>IFERROR(VLOOKUP($A2709,Accounts!$A:$G,3,FALSE),"")</f>
        <v>0</v>
      </c>
    </row>
    <row r="2710" spans="1:15" x14ac:dyDescent="0.2">
      <c r="A2710" t="str">
        <f t="shared" si="42"/>
        <v/>
      </c>
      <c r="F2710" s="1"/>
      <c r="H2710" s="1"/>
      <c r="I2710" s="2"/>
      <c r="J2710" s="2"/>
      <c r="N2710" s="2"/>
      <c r="O2710">
        <f>IFERROR(VLOOKUP($A2710,Accounts!$A:$G,3,FALSE),"")</f>
        <v>0</v>
      </c>
    </row>
    <row r="2711" spans="1:15" x14ac:dyDescent="0.2">
      <c r="A2711" t="str">
        <f t="shared" si="42"/>
        <v/>
      </c>
      <c r="F2711" s="1"/>
      <c r="H2711" s="1"/>
      <c r="I2711" s="2"/>
      <c r="J2711" s="2"/>
      <c r="N2711" s="2"/>
      <c r="O2711">
        <f>IFERROR(VLOOKUP($A2711,Accounts!$A:$G,3,FALSE),"")</f>
        <v>0</v>
      </c>
    </row>
    <row r="2712" spans="1:15" x14ac:dyDescent="0.2">
      <c r="A2712" t="str">
        <f t="shared" si="42"/>
        <v/>
      </c>
      <c r="F2712" s="1"/>
      <c r="H2712" s="1"/>
      <c r="I2712" s="2"/>
      <c r="J2712" s="2"/>
      <c r="N2712" s="2"/>
      <c r="O2712">
        <f>IFERROR(VLOOKUP($A2712,Accounts!$A:$G,3,FALSE),"")</f>
        <v>0</v>
      </c>
    </row>
    <row r="2713" spans="1:15" x14ac:dyDescent="0.2">
      <c r="A2713" t="str">
        <f t="shared" si="42"/>
        <v/>
      </c>
      <c r="F2713" s="1"/>
      <c r="H2713" s="1"/>
      <c r="I2713" s="2"/>
      <c r="J2713" s="2"/>
      <c r="N2713" s="2"/>
      <c r="O2713">
        <f>IFERROR(VLOOKUP($A2713,Accounts!$A:$G,3,FALSE),"")</f>
        <v>0</v>
      </c>
    </row>
    <row r="2714" spans="1:15" x14ac:dyDescent="0.2">
      <c r="A2714" t="str">
        <f t="shared" si="42"/>
        <v/>
      </c>
      <c r="F2714" s="1"/>
      <c r="H2714" s="1"/>
      <c r="I2714" s="2"/>
      <c r="J2714" s="2"/>
      <c r="N2714" s="2"/>
      <c r="O2714">
        <f>IFERROR(VLOOKUP($A2714,Accounts!$A:$G,3,FALSE),"")</f>
        <v>0</v>
      </c>
    </row>
    <row r="2715" spans="1:15" x14ac:dyDescent="0.2">
      <c r="A2715" t="str">
        <f t="shared" si="42"/>
        <v/>
      </c>
      <c r="F2715" s="1"/>
      <c r="H2715" s="1"/>
      <c r="I2715" s="2"/>
      <c r="J2715" s="2"/>
      <c r="N2715" s="2"/>
      <c r="O2715">
        <f>IFERROR(VLOOKUP($A2715,Accounts!$A:$G,3,FALSE),"")</f>
        <v>0</v>
      </c>
    </row>
    <row r="2716" spans="1:15" x14ac:dyDescent="0.2">
      <c r="A2716" t="str">
        <f t="shared" si="42"/>
        <v/>
      </c>
      <c r="F2716" s="1"/>
      <c r="H2716" s="1"/>
      <c r="I2716" s="2"/>
      <c r="J2716" s="2"/>
      <c r="N2716" s="2"/>
      <c r="O2716">
        <f>IFERROR(VLOOKUP($A2716,Accounts!$A:$G,3,FALSE),"")</f>
        <v>0</v>
      </c>
    </row>
    <row r="2717" spans="1:15" x14ac:dyDescent="0.2">
      <c r="A2717" t="str">
        <f t="shared" si="42"/>
        <v/>
      </c>
      <c r="F2717" s="1"/>
      <c r="H2717" s="1"/>
      <c r="I2717" s="2"/>
      <c r="J2717" s="2"/>
      <c r="N2717" s="2"/>
      <c r="O2717">
        <f>IFERROR(VLOOKUP($A2717,Accounts!$A:$G,3,FALSE),"")</f>
        <v>0</v>
      </c>
    </row>
    <row r="2718" spans="1:15" x14ac:dyDescent="0.2">
      <c r="A2718" t="str">
        <f t="shared" si="42"/>
        <v/>
      </c>
      <c r="F2718" s="1"/>
      <c r="H2718" s="1"/>
      <c r="I2718" s="2"/>
      <c r="J2718" s="2"/>
      <c r="N2718" s="2"/>
      <c r="O2718">
        <f>IFERROR(VLOOKUP($A2718,Accounts!$A:$G,3,FALSE),"")</f>
        <v>0</v>
      </c>
    </row>
    <row r="2719" spans="1:15" x14ac:dyDescent="0.2">
      <c r="A2719" t="str">
        <f t="shared" si="42"/>
        <v/>
      </c>
      <c r="F2719" s="1"/>
      <c r="H2719" s="1"/>
      <c r="I2719" s="2"/>
      <c r="J2719" s="2"/>
      <c r="N2719" s="2"/>
      <c r="O2719">
        <f>IFERROR(VLOOKUP($A2719,Accounts!$A:$G,3,FALSE),"")</f>
        <v>0</v>
      </c>
    </row>
    <row r="2720" spans="1:15" x14ac:dyDescent="0.2">
      <c r="A2720" t="str">
        <f t="shared" si="42"/>
        <v/>
      </c>
      <c r="F2720" s="1"/>
      <c r="H2720" s="1"/>
      <c r="I2720" s="2"/>
      <c r="J2720" s="2"/>
      <c r="N2720" s="2"/>
      <c r="O2720">
        <f>IFERROR(VLOOKUP($A2720,Accounts!$A:$G,3,FALSE),"")</f>
        <v>0</v>
      </c>
    </row>
    <row r="2721" spans="1:15" x14ac:dyDescent="0.2">
      <c r="A2721" t="str">
        <f t="shared" si="42"/>
        <v/>
      </c>
      <c r="F2721" s="1"/>
      <c r="H2721" s="1"/>
      <c r="I2721" s="2"/>
      <c r="J2721" s="2"/>
      <c r="N2721" s="2"/>
      <c r="O2721">
        <f>IFERROR(VLOOKUP($A2721,Accounts!$A:$G,3,FALSE),"")</f>
        <v>0</v>
      </c>
    </row>
    <row r="2722" spans="1:15" x14ac:dyDescent="0.2">
      <c r="A2722" t="str">
        <f t="shared" si="42"/>
        <v/>
      </c>
      <c r="F2722" s="1"/>
      <c r="H2722" s="1"/>
      <c r="I2722" s="2"/>
      <c r="J2722" s="2"/>
      <c r="N2722" s="2"/>
      <c r="O2722">
        <f>IFERROR(VLOOKUP($A2722,Accounts!$A:$G,3,FALSE),"")</f>
        <v>0</v>
      </c>
    </row>
    <row r="2723" spans="1:15" x14ac:dyDescent="0.2">
      <c r="A2723" t="str">
        <f t="shared" si="42"/>
        <v/>
      </c>
      <c r="F2723" s="1"/>
      <c r="H2723" s="1"/>
      <c r="I2723" s="2"/>
      <c r="J2723" s="2"/>
      <c r="N2723" s="2"/>
      <c r="O2723">
        <f>IFERROR(VLOOKUP($A2723,Accounts!$A:$G,3,FALSE),"")</f>
        <v>0</v>
      </c>
    </row>
    <row r="2724" spans="1:15" x14ac:dyDescent="0.2">
      <c r="A2724" t="str">
        <f t="shared" si="42"/>
        <v/>
      </c>
      <c r="F2724" s="1"/>
      <c r="H2724" s="1"/>
      <c r="I2724" s="2"/>
      <c r="J2724" s="2"/>
      <c r="N2724" s="2"/>
      <c r="O2724">
        <f>IFERROR(VLOOKUP($A2724,Accounts!$A:$G,3,FALSE),"")</f>
        <v>0</v>
      </c>
    </row>
    <row r="2725" spans="1:15" x14ac:dyDescent="0.2">
      <c r="A2725" t="str">
        <f t="shared" si="42"/>
        <v/>
      </c>
      <c r="F2725" s="1"/>
      <c r="H2725" s="1"/>
      <c r="I2725" s="2"/>
      <c r="J2725" s="2"/>
      <c r="N2725" s="2"/>
      <c r="O2725">
        <f>IFERROR(VLOOKUP($A2725,Accounts!$A:$G,3,FALSE),"")</f>
        <v>0</v>
      </c>
    </row>
    <row r="2726" spans="1:15" x14ac:dyDescent="0.2">
      <c r="A2726" t="str">
        <f t="shared" si="42"/>
        <v/>
      </c>
      <c r="F2726" s="1"/>
      <c r="H2726" s="1"/>
      <c r="I2726" s="2"/>
      <c r="J2726" s="2"/>
      <c r="N2726" s="2"/>
      <c r="O2726">
        <f>IFERROR(VLOOKUP($A2726,Accounts!$A:$G,3,FALSE),"")</f>
        <v>0</v>
      </c>
    </row>
    <row r="2727" spans="1:15" x14ac:dyDescent="0.2">
      <c r="A2727" t="str">
        <f t="shared" si="42"/>
        <v/>
      </c>
      <c r="F2727" s="1"/>
      <c r="H2727" s="1"/>
      <c r="I2727" s="2"/>
      <c r="J2727" s="2"/>
      <c r="N2727" s="2"/>
      <c r="O2727">
        <f>IFERROR(VLOOKUP($A2727,Accounts!$A:$G,3,FALSE),"")</f>
        <v>0</v>
      </c>
    </row>
    <row r="2728" spans="1:15" x14ac:dyDescent="0.2">
      <c r="A2728" t="str">
        <f t="shared" si="42"/>
        <v/>
      </c>
      <c r="F2728" s="1"/>
      <c r="H2728" s="1"/>
      <c r="I2728" s="2"/>
      <c r="J2728" s="2"/>
      <c r="N2728" s="2"/>
      <c r="O2728">
        <f>IFERROR(VLOOKUP($A2728,Accounts!$A:$G,3,FALSE),"")</f>
        <v>0</v>
      </c>
    </row>
    <row r="2729" spans="1:15" x14ac:dyDescent="0.2">
      <c r="A2729" t="str">
        <f t="shared" si="42"/>
        <v/>
      </c>
      <c r="F2729" s="1"/>
      <c r="H2729" s="1"/>
      <c r="I2729" s="2"/>
      <c r="J2729" s="2"/>
      <c r="N2729" s="2"/>
      <c r="O2729">
        <f>IFERROR(VLOOKUP($A2729,Accounts!$A:$G,3,FALSE),"")</f>
        <v>0</v>
      </c>
    </row>
    <row r="2730" spans="1:15" x14ac:dyDescent="0.2">
      <c r="A2730" t="str">
        <f t="shared" si="42"/>
        <v/>
      </c>
      <c r="F2730" s="1"/>
      <c r="H2730" s="1"/>
      <c r="I2730" s="2"/>
      <c r="J2730" s="2"/>
      <c r="N2730" s="2"/>
      <c r="O2730">
        <f>IFERROR(VLOOKUP($A2730,Accounts!$A:$G,3,FALSE),"")</f>
        <v>0</v>
      </c>
    </row>
    <row r="2731" spans="1:15" x14ac:dyDescent="0.2">
      <c r="A2731" t="str">
        <f t="shared" si="42"/>
        <v/>
      </c>
      <c r="F2731" s="1"/>
      <c r="H2731" s="1"/>
      <c r="I2731" s="2"/>
      <c r="J2731" s="2"/>
      <c r="N2731" s="2"/>
      <c r="O2731">
        <f>IFERROR(VLOOKUP($A2731,Accounts!$A:$G,3,FALSE),"")</f>
        <v>0</v>
      </c>
    </row>
    <row r="2732" spans="1:15" x14ac:dyDescent="0.2">
      <c r="A2732" t="str">
        <f t="shared" si="42"/>
        <v/>
      </c>
      <c r="F2732" s="1"/>
      <c r="H2732" s="1"/>
      <c r="I2732" s="2"/>
      <c r="J2732" s="2"/>
      <c r="N2732" s="2"/>
      <c r="O2732">
        <f>IFERROR(VLOOKUP($A2732,Accounts!$A:$G,3,FALSE),"")</f>
        <v>0</v>
      </c>
    </row>
    <row r="2733" spans="1:15" x14ac:dyDescent="0.2">
      <c r="A2733" t="str">
        <f t="shared" si="42"/>
        <v/>
      </c>
      <c r="F2733" s="1"/>
      <c r="H2733" s="1"/>
      <c r="I2733" s="2"/>
      <c r="J2733" s="2"/>
      <c r="N2733" s="2"/>
      <c r="O2733">
        <f>IFERROR(VLOOKUP($A2733,Accounts!$A:$G,3,FALSE),"")</f>
        <v>0</v>
      </c>
    </row>
    <row r="2734" spans="1:15" x14ac:dyDescent="0.2">
      <c r="A2734" t="str">
        <f t="shared" si="42"/>
        <v/>
      </c>
      <c r="F2734" s="1"/>
      <c r="H2734" s="1"/>
      <c r="I2734" s="2"/>
      <c r="J2734" s="2"/>
      <c r="N2734" s="2"/>
      <c r="O2734">
        <f>IFERROR(VLOOKUP($A2734,Accounts!$A:$G,3,FALSE),"")</f>
        <v>0</v>
      </c>
    </row>
    <row r="2735" spans="1:15" x14ac:dyDescent="0.2">
      <c r="A2735" t="str">
        <f t="shared" si="42"/>
        <v/>
      </c>
      <c r="F2735" s="1"/>
      <c r="H2735" s="1"/>
      <c r="I2735" s="2"/>
      <c r="J2735" s="2"/>
      <c r="N2735" s="2"/>
      <c r="O2735">
        <f>IFERROR(VLOOKUP($A2735,Accounts!$A:$G,3,FALSE),"")</f>
        <v>0</v>
      </c>
    </row>
    <row r="2736" spans="1:15" x14ac:dyDescent="0.2">
      <c r="A2736" t="str">
        <f t="shared" si="42"/>
        <v/>
      </c>
      <c r="F2736" s="1"/>
      <c r="H2736" s="1"/>
      <c r="I2736" s="2"/>
      <c r="J2736" s="2"/>
      <c r="N2736" s="2"/>
      <c r="O2736">
        <f>IFERROR(VLOOKUP($A2736,Accounts!$A:$G,3,FALSE),"")</f>
        <v>0</v>
      </c>
    </row>
    <row r="2737" spans="1:15" x14ac:dyDescent="0.2">
      <c r="A2737" t="str">
        <f t="shared" si="42"/>
        <v/>
      </c>
      <c r="F2737" s="1"/>
      <c r="H2737" s="1"/>
      <c r="I2737" s="2"/>
      <c r="J2737" s="2"/>
      <c r="N2737" s="2"/>
      <c r="O2737">
        <f>IFERROR(VLOOKUP($A2737,Accounts!$A:$G,3,FALSE),"")</f>
        <v>0</v>
      </c>
    </row>
    <row r="2738" spans="1:15" x14ac:dyDescent="0.2">
      <c r="A2738" t="str">
        <f t="shared" si="42"/>
        <v/>
      </c>
      <c r="F2738" s="1"/>
      <c r="H2738" s="1"/>
      <c r="I2738" s="2"/>
      <c r="J2738" s="2"/>
      <c r="N2738" s="2"/>
      <c r="O2738">
        <f>IFERROR(VLOOKUP($A2738,Accounts!$A:$G,3,FALSE),"")</f>
        <v>0</v>
      </c>
    </row>
    <row r="2739" spans="1:15" x14ac:dyDescent="0.2">
      <c r="A2739" t="str">
        <f t="shared" si="42"/>
        <v/>
      </c>
      <c r="F2739" s="1"/>
      <c r="H2739" s="1"/>
      <c r="I2739" s="2"/>
      <c r="J2739" s="2"/>
      <c r="N2739" s="2"/>
      <c r="O2739">
        <f>IFERROR(VLOOKUP($A2739,Accounts!$A:$G,3,FALSE),"")</f>
        <v>0</v>
      </c>
    </row>
    <row r="2740" spans="1:15" x14ac:dyDescent="0.2">
      <c r="A2740" t="str">
        <f t="shared" si="42"/>
        <v/>
      </c>
      <c r="F2740" s="1"/>
      <c r="H2740" s="1"/>
      <c r="I2740" s="2"/>
      <c r="J2740" s="2"/>
      <c r="N2740" s="2"/>
      <c r="O2740">
        <f>IFERROR(VLOOKUP($A2740,Accounts!$A:$G,3,FALSE),"")</f>
        <v>0</v>
      </c>
    </row>
    <row r="2741" spans="1:15" x14ac:dyDescent="0.2">
      <c r="A2741" t="str">
        <f t="shared" si="42"/>
        <v/>
      </c>
      <c r="F2741" s="1"/>
      <c r="H2741" s="1"/>
      <c r="I2741" s="2"/>
      <c r="J2741" s="2"/>
      <c r="N2741" s="2"/>
      <c r="O2741">
        <f>IFERROR(VLOOKUP($A2741,Accounts!$A:$G,3,FALSE),"")</f>
        <v>0</v>
      </c>
    </row>
    <row r="2742" spans="1:15" x14ac:dyDescent="0.2">
      <c r="A2742" t="str">
        <f t="shared" si="42"/>
        <v/>
      </c>
      <c r="F2742" s="1"/>
      <c r="H2742" s="1"/>
      <c r="I2742" s="2"/>
      <c r="J2742" s="2"/>
      <c r="N2742" s="2"/>
      <c r="O2742">
        <f>IFERROR(VLOOKUP($A2742,Accounts!$A:$G,3,FALSE),"")</f>
        <v>0</v>
      </c>
    </row>
    <row r="2743" spans="1:15" x14ac:dyDescent="0.2">
      <c r="A2743" t="str">
        <f t="shared" si="42"/>
        <v/>
      </c>
      <c r="F2743" s="1"/>
      <c r="H2743" s="1"/>
      <c r="I2743" s="2"/>
      <c r="J2743" s="2"/>
      <c r="N2743" s="2"/>
      <c r="O2743">
        <f>IFERROR(VLOOKUP($A2743,Accounts!$A:$G,3,FALSE),"")</f>
        <v>0</v>
      </c>
    </row>
    <row r="2744" spans="1:15" x14ac:dyDescent="0.2">
      <c r="A2744" t="str">
        <f t="shared" si="42"/>
        <v/>
      </c>
      <c r="F2744" s="1"/>
      <c r="H2744" s="1"/>
      <c r="I2744" s="2"/>
      <c r="J2744" s="2"/>
      <c r="N2744" s="2"/>
      <c r="O2744">
        <f>IFERROR(VLOOKUP($A2744,Accounts!$A:$G,3,FALSE),"")</f>
        <v>0</v>
      </c>
    </row>
    <row r="2745" spans="1:15" x14ac:dyDescent="0.2">
      <c r="A2745" t="str">
        <f t="shared" si="42"/>
        <v/>
      </c>
      <c r="F2745" s="1"/>
      <c r="H2745" s="1"/>
      <c r="I2745" s="2"/>
      <c r="J2745" s="2"/>
      <c r="N2745" s="2"/>
      <c r="O2745">
        <f>IFERROR(VLOOKUP($A2745,Accounts!$A:$G,3,FALSE),"")</f>
        <v>0</v>
      </c>
    </row>
    <row r="2746" spans="1:15" x14ac:dyDescent="0.2">
      <c r="A2746" t="str">
        <f t="shared" si="42"/>
        <v/>
      </c>
      <c r="F2746" s="1"/>
      <c r="H2746" s="1"/>
      <c r="I2746" s="2"/>
      <c r="J2746" s="2"/>
      <c r="N2746" s="2"/>
      <c r="O2746">
        <f>IFERROR(VLOOKUP($A2746,Accounts!$A:$G,3,FALSE),"")</f>
        <v>0</v>
      </c>
    </row>
    <row r="2747" spans="1:15" x14ac:dyDescent="0.2">
      <c r="A2747" t="str">
        <f t="shared" si="42"/>
        <v/>
      </c>
      <c r="F2747" s="1"/>
      <c r="H2747" s="1"/>
      <c r="I2747" s="2"/>
      <c r="J2747" s="2"/>
      <c r="N2747" s="2"/>
      <c r="O2747">
        <f>IFERROR(VLOOKUP($A2747,Accounts!$A:$G,3,FALSE),"")</f>
        <v>0</v>
      </c>
    </row>
    <row r="2748" spans="1:15" x14ac:dyDescent="0.2">
      <c r="A2748" t="str">
        <f t="shared" si="42"/>
        <v/>
      </c>
      <c r="F2748" s="1"/>
      <c r="H2748" s="1"/>
      <c r="I2748" s="2"/>
      <c r="J2748" s="2"/>
      <c r="N2748" s="2"/>
      <c r="O2748">
        <f>IFERROR(VLOOKUP($A2748,Accounts!$A:$G,3,FALSE),"")</f>
        <v>0</v>
      </c>
    </row>
    <row r="2749" spans="1:15" x14ac:dyDescent="0.2">
      <c r="A2749" t="str">
        <f t="shared" si="42"/>
        <v/>
      </c>
      <c r="B2749" s="3"/>
      <c r="C2749" s="3"/>
      <c r="D2749" s="3"/>
      <c r="E2749" s="3"/>
      <c r="F2749" s="4"/>
      <c r="G2749" s="3"/>
      <c r="H2749" s="4"/>
      <c r="I2749" s="5"/>
      <c r="J2749" s="5"/>
      <c r="K2749" s="3"/>
      <c r="L2749" s="3"/>
      <c r="M2749" s="3"/>
      <c r="N2749" s="5"/>
      <c r="O2749">
        <f>IFERROR(VLOOKUP($A2749,Accounts!$A:$G,3,FALSE),"")</f>
        <v>0</v>
      </c>
    </row>
    <row r="2750" spans="1:15" x14ac:dyDescent="0.2">
      <c r="A2750" t="str">
        <f t="shared" si="42"/>
        <v/>
      </c>
      <c r="F2750" s="1"/>
      <c r="H2750" s="1"/>
      <c r="I2750" s="2"/>
      <c r="J2750" s="2"/>
      <c r="N2750" s="2"/>
      <c r="O2750">
        <f>IFERROR(VLOOKUP($A2750,Accounts!$A:$G,3,FALSE),"")</f>
        <v>0</v>
      </c>
    </row>
    <row r="2751" spans="1:15" x14ac:dyDescent="0.2">
      <c r="A2751" t="str">
        <f t="shared" si="42"/>
        <v/>
      </c>
      <c r="B2751" s="3"/>
      <c r="C2751" s="3"/>
      <c r="D2751" s="3"/>
      <c r="E2751" s="3"/>
      <c r="F2751" s="4"/>
      <c r="G2751" s="3"/>
      <c r="H2751" s="4"/>
      <c r="I2751" s="5"/>
      <c r="J2751" s="5"/>
      <c r="K2751" s="3"/>
      <c r="L2751" s="3"/>
      <c r="M2751" s="3"/>
      <c r="N2751" s="5"/>
      <c r="O2751">
        <f>IFERROR(VLOOKUP($A2751,Accounts!$A:$G,3,FALSE),"")</f>
        <v>0</v>
      </c>
    </row>
    <row r="2752" spans="1:15" x14ac:dyDescent="0.2">
      <c r="A2752" t="str">
        <f t="shared" si="42"/>
        <v/>
      </c>
      <c r="F2752" s="1"/>
      <c r="H2752" s="1"/>
      <c r="I2752" s="2"/>
      <c r="J2752" s="2"/>
      <c r="N2752" s="2"/>
      <c r="O2752">
        <f>IFERROR(VLOOKUP($A2752,Accounts!$A:$G,3,FALSE),"")</f>
        <v>0</v>
      </c>
    </row>
    <row r="2753" spans="1:15" x14ac:dyDescent="0.2">
      <c r="A2753" t="str">
        <f t="shared" si="42"/>
        <v/>
      </c>
      <c r="F2753" s="1"/>
      <c r="H2753" s="1"/>
      <c r="I2753" s="2"/>
      <c r="J2753" s="2"/>
      <c r="N2753" s="2"/>
      <c r="O2753">
        <f>IFERROR(VLOOKUP($A2753,Accounts!$A:$G,3,FALSE),"")</f>
        <v>0</v>
      </c>
    </row>
    <row r="2754" spans="1:15" x14ac:dyDescent="0.2">
      <c r="A2754" t="str">
        <f t="shared" si="42"/>
        <v/>
      </c>
      <c r="F2754" s="1"/>
      <c r="H2754" s="1"/>
      <c r="I2754" s="2"/>
      <c r="J2754" s="2"/>
      <c r="N2754" s="2"/>
      <c r="O2754">
        <f>IFERROR(VLOOKUP($A2754,Accounts!$A:$G,3,FALSE),"")</f>
        <v>0</v>
      </c>
    </row>
    <row r="2755" spans="1:15" x14ac:dyDescent="0.2">
      <c r="A2755" t="str">
        <f t="shared" si="42"/>
        <v/>
      </c>
      <c r="F2755" s="1"/>
      <c r="H2755" s="1"/>
      <c r="I2755" s="2"/>
      <c r="J2755" s="2"/>
      <c r="N2755" s="2"/>
      <c r="O2755">
        <f>IFERROR(VLOOKUP($A2755,Accounts!$A:$G,3,FALSE),"")</f>
        <v>0</v>
      </c>
    </row>
    <row r="2756" spans="1:15" x14ac:dyDescent="0.2">
      <c r="A2756" t="str">
        <f t="shared" si="42"/>
        <v/>
      </c>
      <c r="F2756" s="1"/>
      <c r="H2756" s="1"/>
      <c r="I2756" s="2"/>
      <c r="J2756" s="2"/>
      <c r="N2756" s="2"/>
      <c r="O2756">
        <f>IFERROR(VLOOKUP($A2756,Accounts!$A:$G,3,FALSE),"")</f>
        <v>0</v>
      </c>
    </row>
    <row r="2757" spans="1:15" x14ac:dyDescent="0.2">
      <c r="A2757" t="str">
        <f t="shared" si="42"/>
        <v/>
      </c>
      <c r="F2757" s="1"/>
      <c r="H2757" s="1"/>
      <c r="I2757" s="2"/>
      <c r="J2757" s="2"/>
      <c r="N2757" s="2"/>
      <c r="O2757">
        <f>IFERROR(VLOOKUP($A2757,Accounts!$A:$G,3,FALSE),"")</f>
        <v>0</v>
      </c>
    </row>
    <row r="2758" spans="1:15" x14ac:dyDescent="0.2">
      <c r="A2758" t="str">
        <f t="shared" si="42"/>
        <v/>
      </c>
      <c r="F2758" s="1"/>
      <c r="H2758" s="1"/>
      <c r="I2758" s="2"/>
      <c r="J2758" s="2"/>
      <c r="N2758" s="2"/>
      <c r="O2758">
        <f>IFERROR(VLOOKUP($A2758,Accounts!$A:$G,3,FALSE),"")</f>
        <v>0</v>
      </c>
    </row>
    <row r="2759" spans="1:15" x14ac:dyDescent="0.2">
      <c r="A2759" t="str">
        <f t="shared" si="42"/>
        <v/>
      </c>
      <c r="F2759" s="1"/>
      <c r="H2759" s="1"/>
      <c r="I2759" s="2"/>
      <c r="J2759" s="2"/>
      <c r="N2759" s="2"/>
      <c r="O2759">
        <f>IFERROR(VLOOKUP($A2759,Accounts!$A:$G,3,FALSE),"")</f>
        <v>0</v>
      </c>
    </row>
    <row r="2760" spans="1:15" x14ac:dyDescent="0.2">
      <c r="A2760" t="str">
        <f t="shared" si="42"/>
        <v/>
      </c>
      <c r="F2760" s="1"/>
      <c r="H2760" s="1"/>
      <c r="I2760" s="2"/>
      <c r="J2760" s="2"/>
      <c r="N2760" s="2"/>
      <c r="O2760">
        <f>IFERROR(VLOOKUP($A2760,Accounts!$A:$G,3,FALSE),"")</f>
        <v>0</v>
      </c>
    </row>
    <row r="2761" spans="1:15" x14ac:dyDescent="0.2">
      <c r="A2761" t="str">
        <f t="shared" si="42"/>
        <v/>
      </c>
      <c r="F2761" s="1"/>
      <c r="H2761" s="1"/>
      <c r="I2761" s="2"/>
      <c r="J2761" s="2"/>
      <c r="N2761" s="2"/>
      <c r="O2761">
        <f>IFERROR(VLOOKUP($A2761,Accounts!$A:$G,3,FALSE),"")</f>
        <v>0</v>
      </c>
    </row>
    <row r="2762" spans="1:15" x14ac:dyDescent="0.2">
      <c r="A2762" t="str">
        <f t="shared" ref="A2762:A2825" si="43">IFERROR(IF(J2762=0,E2762&amp;C2762&amp;I2762,G2762&amp;B2762&amp;J2762),"")</f>
        <v/>
      </c>
      <c r="F2762" s="1"/>
      <c r="H2762" s="1"/>
      <c r="I2762" s="2"/>
      <c r="J2762" s="2"/>
      <c r="N2762" s="2"/>
      <c r="O2762">
        <f>IFERROR(VLOOKUP($A2762,Accounts!$A:$G,3,FALSE),"")</f>
        <v>0</v>
      </c>
    </row>
    <row r="2763" spans="1:15" x14ac:dyDescent="0.2">
      <c r="A2763" t="str">
        <f t="shared" si="43"/>
        <v/>
      </c>
      <c r="F2763" s="1"/>
      <c r="H2763" s="1"/>
      <c r="I2763" s="2"/>
      <c r="J2763" s="2"/>
      <c r="N2763" s="2"/>
      <c r="O2763">
        <f>IFERROR(VLOOKUP($A2763,Accounts!$A:$G,3,FALSE),"")</f>
        <v>0</v>
      </c>
    </row>
    <row r="2764" spans="1:15" x14ac:dyDescent="0.2">
      <c r="A2764" t="str">
        <f t="shared" si="43"/>
        <v/>
      </c>
      <c r="F2764" s="1"/>
      <c r="H2764" s="1"/>
      <c r="I2764" s="2"/>
      <c r="J2764" s="2"/>
      <c r="N2764" s="2"/>
      <c r="O2764">
        <f>IFERROR(VLOOKUP($A2764,Accounts!$A:$G,3,FALSE),"")</f>
        <v>0</v>
      </c>
    </row>
    <row r="2765" spans="1:15" x14ac:dyDescent="0.2">
      <c r="A2765" t="str">
        <f t="shared" si="43"/>
        <v/>
      </c>
      <c r="F2765" s="1"/>
      <c r="H2765" s="1"/>
      <c r="I2765" s="2"/>
      <c r="J2765" s="2"/>
      <c r="N2765" s="2"/>
      <c r="O2765">
        <f>IFERROR(VLOOKUP($A2765,Accounts!$A:$G,3,FALSE),"")</f>
        <v>0</v>
      </c>
    </row>
    <row r="2766" spans="1:15" x14ac:dyDescent="0.2">
      <c r="A2766" t="str">
        <f t="shared" si="43"/>
        <v/>
      </c>
      <c r="F2766" s="1"/>
      <c r="H2766" s="1"/>
      <c r="I2766" s="2"/>
      <c r="J2766" s="2"/>
      <c r="N2766" s="2"/>
      <c r="O2766">
        <f>IFERROR(VLOOKUP($A2766,Accounts!$A:$G,3,FALSE),"")</f>
        <v>0</v>
      </c>
    </row>
    <row r="2767" spans="1:15" x14ac:dyDescent="0.2">
      <c r="A2767" t="str">
        <f t="shared" si="43"/>
        <v/>
      </c>
      <c r="F2767" s="1"/>
      <c r="H2767" s="1"/>
      <c r="I2767" s="2"/>
      <c r="J2767" s="2"/>
      <c r="N2767" s="2"/>
      <c r="O2767">
        <f>IFERROR(VLOOKUP($A2767,Accounts!$A:$G,3,FALSE),"")</f>
        <v>0</v>
      </c>
    </row>
    <row r="2768" spans="1:15" x14ac:dyDescent="0.2">
      <c r="A2768" t="str">
        <f t="shared" si="43"/>
        <v/>
      </c>
      <c r="F2768" s="1"/>
      <c r="H2768" s="1"/>
      <c r="I2768" s="2"/>
      <c r="J2768" s="2"/>
      <c r="N2768" s="2"/>
      <c r="O2768">
        <f>IFERROR(VLOOKUP($A2768,Accounts!$A:$G,3,FALSE),"")</f>
        <v>0</v>
      </c>
    </row>
    <row r="2769" spans="1:15" x14ac:dyDescent="0.2">
      <c r="A2769" t="str">
        <f t="shared" si="43"/>
        <v/>
      </c>
      <c r="F2769" s="1"/>
      <c r="H2769" s="1"/>
      <c r="I2769" s="2"/>
      <c r="J2769" s="2"/>
      <c r="N2769" s="2"/>
      <c r="O2769">
        <f>IFERROR(VLOOKUP($A2769,Accounts!$A:$G,3,FALSE),"")</f>
        <v>0</v>
      </c>
    </row>
    <row r="2770" spans="1:15" x14ac:dyDescent="0.2">
      <c r="A2770" t="str">
        <f t="shared" si="43"/>
        <v/>
      </c>
      <c r="F2770" s="1"/>
      <c r="H2770" s="1"/>
      <c r="I2770" s="2"/>
      <c r="J2770" s="2"/>
      <c r="N2770" s="2"/>
      <c r="O2770">
        <f>IFERROR(VLOOKUP($A2770,Accounts!$A:$G,3,FALSE),"")</f>
        <v>0</v>
      </c>
    </row>
    <row r="2771" spans="1:15" x14ac:dyDescent="0.2">
      <c r="A2771" t="str">
        <f t="shared" si="43"/>
        <v/>
      </c>
      <c r="B2771" s="3"/>
      <c r="C2771" s="3"/>
      <c r="D2771" s="3"/>
      <c r="E2771" s="3"/>
      <c r="F2771" s="4"/>
      <c r="G2771" s="3"/>
      <c r="H2771" s="4"/>
      <c r="I2771" s="5"/>
      <c r="J2771" s="5"/>
      <c r="K2771" s="3"/>
      <c r="L2771" s="3"/>
      <c r="M2771" s="3"/>
      <c r="N2771" s="5"/>
      <c r="O2771">
        <f>IFERROR(VLOOKUP($A2771,Accounts!$A:$G,3,FALSE),"")</f>
        <v>0</v>
      </c>
    </row>
    <row r="2772" spans="1:15" x14ac:dyDescent="0.2">
      <c r="A2772" t="str">
        <f t="shared" si="43"/>
        <v/>
      </c>
      <c r="F2772" s="1"/>
      <c r="H2772" s="1"/>
      <c r="I2772" s="2"/>
      <c r="J2772" s="2"/>
      <c r="N2772" s="2"/>
      <c r="O2772">
        <f>IFERROR(VLOOKUP($A2772,Accounts!$A:$G,3,FALSE),"")</f>
        <v>0</v>
      </c>
    </row>
    <row r="2773" spans="1:15" x14ac:dyDescent="0.2">
      <c r="A2773" t="str">
        <f t="shared" si="43"/>
        <v/>
      </c>
      <c r="F2773" s="1"/>
      <c r="H2773" s="1"/>
      <c r="I2773" s="2"/>
      <c r="J2773" s="2"/>
      <c r="N2773" s="2"/>
      <c r="O2773">
        <f>IFERROR(VLOOKUP($A2773,Accounts!$A:$G,3,FALSE),"")</f>
        <v>0</v>
      </c>
    </row>
    <row r="2774" spans="1:15" x14ac:dyDescent="0.2">
      <c r="A2774" t="str">
        <f t="shared" si="43"/>
        <v/>
      </c>
      <c r="B2774" s="3"/>
      <c r="C2774" s="3"/>
      <c r="D2774" s="3"/>
      <c r="E2774" s="3"/>
      <c r="F2774" s="4"/>
      <c r="G2774" s="3"/>
      <c r="H2774" s="4"/>
      <c r="I2774" s="5"/>
      <c r="J2774" s="5"/>
      <c r="K2774" s="3"/>
      <c r="L2774" s="3"/>
      <c r="M2774" s="3"/>
      <c r="N2774" s="5"/>
      <c r="O2774">
        <f>IFERROR(VLOOKUP($A2774,Accounts!$A:$G,3,FALSE),"")</f>
        <v>0</v>
      </c>
    </row>
    <row r="2775" spans="1:15" x14ac:dyDescent="0.2">
      <c r="A2775" t="str">
        <f t="shared" si="43"/>
        <v/>
      </c>
      <c r="F2775" s="1"/>
      <c r="H2775" s="1"/>
      <c r="I2775" s="2"/>
      <c r="J2775" s="2"/>
      <c r="N2775" s="2"/>
      <c r="O2775">
        <f>IFERROR(VLOOKUP($A2775,Accounts!$A:$G,3,FALSE),"")</f>
        <v>0</v>
      </c>
    </row>
    <row r="2776" spans="1:15" x14ac:dyDescent="0.2">
      <c r="A2776" t="str">
        <f t="shared" si="43"/>
        <v/>
      </c>
      <c r="F2776" s="1"/>
      <c r="H2776" s="1"/>
      <c r="I2776" s="2"/>
      <c r="J2776" s="2"/>
      <c r="N2776" s="2"/>
      <c r="O2776">
        <f>IFERROR(VLOOKUP($A2776,Accounts!$A:$G,3,FALSE),"")</f>
        <v>0</v>
      </c>
    </row>
    <row r="2777" spans="1:15" x14ac:dyDescent="0.2">
      <c r="A2777" t="str">
        <f t="shared" si="43"/>
        <v/>
      </c>
      <c r="F2777" s="1"/>
      <c r="H2777" s="1"/>
      <c r="I2777" s="2"/>
      <c r="J2777" s="2"/>
      <c r="N2777" s="2"/>
      <c r="O2777">
        <f>IFERROR(VLOOKUP($A2777,Accounts!$A:$G,3,FALSE),"")</f>
        <v>0</v>
      </c>
    </row>
    <row r="2778" spans="1:15" x14ac:dyDescent="0.2">
      <c r="A2778" t="str">
        <f t="shared" si="43"/>
        <v/>
      </c>
      <c r="F2778" s="1"/>
      <c r="H2778" s="1"/>
      <c r="I2778" s="2"/>
      <c r="J2778" s="2"/>
      <c r="N2778" s="2"/>
      <c r="O2778">
        <f>IFERROR(VLOOKUP($A2778,Accounts!$A:$G,3,FALSE),"")</f>
        <v>0</v>
      </c>
    </row>
    <row r="2779" spans="1:15" x14ac:dyDescent="0.2">
      <c r="A2779" t="str">
        <f t="shared" si="43"/>
        <v/>
      </c>
      <c r="F2779" s="1"/>
      <c r="H2779" s="1"/>
      <c r="I2779" s="2"/>
      <c r="J2779" s="2"/>
      <c r="N2779" s="2"/>
      <c r="O2779">
        <f>IFERROR(VLOOKUP($A2779,Accounts!$A:$G,3,FALSE),"")</f>
        <v>0</v>
      </c>
    </row>
    <row r="2780" spans="1:15" x14ac:dyDescent="0.2">
      <c r="A2780" t="str">
        <f t="shared" si="43"/>
        <v/>
      </c>
      <c r="F2780" s="1"/>
      <c r="H2780" s="1"/>
      <c r="I2780" s="2"/>
      <c r="J2780" s="2"/>
      <c r="N2780" s="2"/>
      <c r="O2780">
        <f>IFERROR(VLOOKUP($A2780,Accounts!$A:$G,3,FALSE),"")</f>
        <v>0</v>
      </c>
    </row>
    <row r="2781" spans="1:15" x14ac:dyDescent="0.2">
      <c r="A2781" t="str">
        <f t="shared" si="43"/>
        <v/>
      </c>
      <c r="F2781" s="1"/>
      <c r="H2781" s="1"/>
      <c r="I2781" s="2"/>
      <c r="J2781" s="2"/>
      <c r="N2781" s="2"/>
      <c r="O2781">
        <f>IFERROR(VLOOKUP($A2781,Accounts!$A:$G,3,FALSE),"")</f>
        <v>0</v>
      </c>
    </row>
    <row r="2782" spans="1:15" x14ac:dyDescent="0.2">
      <c r="A2782" t="str">
        <f t="shared" si="43"/>
        <v/>
      </c>
      <c r="F2782" s="1"/>
      <c r="H2782" s="1"/>
      <c r="I2782" s="2"/>
      <c r="J2782" s="2"/>
      <c r="N2782" s="2"/>
      <c r="O2782">
        <f>IFERROR(VLOOKUP($A2782,Accounts!$A:$G,3,FALSE),"")</f>
        <v>0</v>
      </c>
    </row>
    <row r="2783" spans="1:15" x14ac:dyDescent="0.2">
      <c r="A2783" t="str">
        <f t="shared" si="43"/>
        <v/>
      </c>
      <c r="F2783" s="1"/>
      <c r="H2783" s="1"/>
      <c r="I2783" s="2"/>
      <c r="J2783" s="2"/>
      <c r="N2783" s="2"/>
      <c r="O2783">
        <f>IFERROR(VLOOKUP($A2783,Accounts!$A:$G,3,FALSE),"")</f>
        <v>0</v>
      </c>
    </row>
    <row r="2784" spans="1:15" x14ac:dyDescent="0.2">
      <c r="A2784" t="str">
        <f t="shared" si="43"/>
        <v/>
      </c>
      <c r="F2784" s="1"/>
      <c r="H2784" s="1"/>
      <c r="I2784" s="2"/>
      <c r="J2784" s="2"/>
      <c r="N2784" s="2"/>
      <c r="O2784">
        <f>IFERROR(VLOOKUP($A2784,Accounts!$A:$G,3,FALSE),"")</f>
        <v>0</v>
      </c>
    </row>
    <row r="2785" spans="1:15" x14ac:dyDescent="0.2">
      <c r="A2785" t="str">
        <f t="shared" si="43"/>
        <v/>
      </c>
      <c r="F2785" s="1"/>
      <c r="H2785" s="1"/>
      <c r="I2785" s="2"/>
      <c r="J2785" s="2"/>
      <c r="N2785" s="2"/>
      <c r="O2785">
        <f>IFERROR(VLOOKUP($A2785,Accounts!$A:$G,3,FALSE),"")</f>
        <v>0</v>
      </c>
    </row>
    <row r="2786" spans="1:15" x14ac:dyDescent="0.2">
      <c r="A2786" t="str">
        <f t="shared" si="43"/>
        <v/>
      </c>
      <c r="B2786" s="3"/>
      <c r="C2786" s="3"/>
      <c r="D2786" s="3"/>
      <c r="E2786" s="3"/>
      <c r="F2786" s="4"/>
      <c r="G2786" s="3"/>
      <c r="H2786" s="4"/>
      <c r="I2786" s="5"/>
      <c r="J2786" s="5"/>
      <c r="K2786" s="3"/>
      <c r="L2786" s="3"/>
      <c r="M2786" s="3"/>
      <c r="N2786" s="5"/>
      <c r="O2786">
        <f>IFERROR(VLOOKUP($A2786,Accounts!$A:$G,3,FALSE),"")</f>
        <v>0</v>
      </c>
    </row>
    <row r="2787" spans="1:15" x14ac:dyDescent="0.2">
      <c r="A2787" t="str">
        <f t="shared" si="43"/>
        <v/>
      </c>
      <c r="F2787" s="1"/>
      <c r="H2787" s="1"/>
      <c r="I2787" s="2"/>
      <c r="J2787" s="2"/>
      <c r="N2787" s="2"/>
      <c r="O2787">
        <f>IFERROR(VLOOKUP($A2787,Accounts!$A:$G,3,FALSE),"")</f>
        <v>0</v>
      </c>
    </row>
    <row r="2788" spans="1:15" x14ac:dyDescent="0.2">
      <c r="A2788" t="str">
        <f t="shared" si="43"/>
        <v/>
      </c>
      <c r="B2788" s="3"/>
      <c r="C2788" s="3"/>
      <c r="D2788" s="3"/>
      <c r="E2788" s="3"/>
      <c r="F2788" s="4"/>
      <c r="G2788" s="3"/>
      <c r="H2788" s="4"/>
      <c r="I2788" s="5"/>
      <c r="J2788" s="5"/>
      <c r="K2788" s="3"/>
      <c r="L2788" s="3"/>
      <c r="M2788" s="3"/>
      <c r="N2788" s="5"/>
      <c r="O2788">
        <f>IFERROR(VLOOKUP($A2788,Accounts!$A:$G,3,FALSE),"")</f>
        <v>0</v>
      </c>
    </row>
    <row r="2789" spans="1:15" x14ac:dyDescent="0.2">
      <c r="A2789" t="str">
        <f t="shared" si="43"/>
        <v/>
      </c>
      <c r="F2789" s="1"/>
      <c r="H2789" s="1"/>
      <c r="I2789" s="2"/>
      <c r="J2789" s="2"/>
      <c r="N2789" s="2"/>
      <c r="O2789">
        <f>IFERROR(VLOOKUP($A2789,Accounts!$A:$G,3,FALSE),"")</f>
        <v>0</v>
      </c>
    </row>
    <row r="2790" spans="1:15" x14ac:dyDescent="0.2">
      <c r="A2790" t="str">
        <f t="shared" si="43"/>
        <v/>
      </c>
      <c r="F2790" s="1"/>
      <c r="H2790" s="1"/>
      <c r="I2790" s="2"/>
      <c r="J2790" s="2"/>
      <c r="N2790" s="2"/>
      <c r="O2790">
        <f>IFERROR(VLOOKUP($A2790,Accounts!$A:$G,3,FALSE),"")</f>
        <v>0</v>
      </c>
    </row>
    <row r="2791" spans="1:15" x14ac:dyDescent="0.2">
      <c r="A2791" t="str">
        <f t="shared" si="43"/>
        <v/>
      </c>
      <c r="F2791" s="1"/>
      <c r="H2791" s="1"/>
      <c r="I2791" s="2"/>
      <c r="J2791" s="2"/>
      <c r="N2791" s="2"/>
      <c r="O2791">
        <f>IFERROR(VLOOKUP($A2791,Accounts!$A:$G,3,FALSE),"")</f>
        <v>0</v>
      </c>
    </row>
    <row r="2792" spans="1:15" x14ac:dyDescent="0.2">
      <c r="A2792" t="str">
        <f t="shared" si="43"/>
        <v/>
      </c>
      <c r="F2792" s="1"/>
      <c r="H2792" s="1"/>
      <c r="I2792" s="2"/>
      <c r="J2792" s="2"/>
      <c r="N2792" s="2"/>
      <c r="O2792">
        <f>IFERROR(VLOOKUP($A2792,Accounts!$A:$G,3,FALSE),"")</f>
        <v>0</v>
      </c>
    </row>
    <row r="2793" spans="1:15" x14ac:dyDescent="0.2">
      <c r="A2793" t="str">
        <f t="shared" si="43"/>
        <v/>
      </c>
      <c r="F2793" s="1"/>
      <c r="H2793" s="1"/>
      <c r="I2793" s="2"/>
      <c r="J2793" s="2"/>
      <c r="N2793" s="2"/>
      <c r="O2793">
        <f>IFERROR(VLOOKUP($A2793,Accounts!$A:$G,3,FALSE),"")</f>
        <v>0</v>
      </c>
    </row>
    <row r="2794" spans="1:15" x14ac:dyDescent="0.2">
      <c r="A2794" t="str">
        <f t="shared" si="43"/>
        <v/>
      </c>
      <c r="F2794" s="1"/>
      <c r="H2794" s="1"/>
      <c r="I2794" s="2"/>
      <c r="J2794" s="2"/>
      <c r="N2794" s="2"/>
      <c r="O2794">
        <f>IFERROR(VLOOKUP($A2794,Accounts!$A:$G,3,FALSE),"")</f>
        <v>0</v>
      </c>
    </row>
    <row r="2795" spans="1:15" x14ac:dyDescent="0.2">
      <c r="A2795" t="str">
        <f t="shared" si="43"/>
        <v/>
      </c>
      <c r="F2795" s="1"/>
      <c r="H2795" s="1"/>
      <c r="I2795" s="2"/>
      <c r="J2795" s="2"/>
      <c r="N2795" s="2"/>
      <c r="O2795">
        <f>IFERROR(VLOOKUP($A2795,Accounts!$A:$G,3,FALSE),"")</f>
        <v>0</v>
      </c>
    </row>
    <row r="2796" spans="1:15" x14ac:dyDescent="0.2">
      <c r="A2796" t="str">
        <f t="shared" si="43"/>
        <v/>
      </c>
      <c r="F2796" s="1"/>
      <c r="H2796" s="1"/>
      <c r="I2796" s="2"/>
      <c r="J2796" s="2"/>
      <c r="N2796" s="2"/>
      <c r="O2796">
        <f>IFERROR(VLOOKUP($A2796,Accounts!$A:$G,3,FALSE),"")</f>
        <v>0</v>
      </c>
    </row>
    <row r="2797" spans="1:15" x14ac:dyDescent="0.2">
      <c r="A2797" t="str">
        <f t="shared" si="43"/>
        <v/>
      </c>
      <c r="F2797" s="1"/>
      <c r="H2797" s="1"/>
      <c r="I2797" s="2"/>
      <c r="J2797" s="2"/>
      <c r="N2797" s="2"/>
      <c r="O2797">
        <f>IFERROR(VLOOKUP($A2797,Accounts!$A:$G,3,FALSE),"")</f>
        <v>0</v>
      </c>
    </row>
    <row r="2798" spans="1:15" x14ac:dyDescent="0.2">
      <c r="A2798" t="str">
        <f t="shared" si="43"/>
        <v/>
      </c>
      <c r="F2798" s="1"/>
      <c r="H2798" s="1"/>
      <c r="I2798" s="2"/>
      <c r="J2798" s="2"/>
      <c r="N2798" s="2"/>
      <c r="O2798">
        <f>IFERROR(VLOOKUP($A2798,Accounts!$A:$G,3,FALSE),"")</f>
        <v>0</v>
      </c>
    </row>
    <row r="2799" spans="1:15" x14ac:dyDescent="0.2">
      <c r="A2799" t="str">
        <f t="shared" si="43"/>
        <v/>
      </c>
      <c r="F2799" s="1"/>
      <c r="H2799" s="1"/>
      <c r="I2799" s="2"/>
      <c r="J2799" s="2"/>
      <c r="N2799" s="2"/>
      <c r="O2799">
        <f>IFERROR(VLOOKUP($A2799,Accounts!$A:$G,3,FALSE),"")</f>
        <v>0</v>
      </c>
    </row>
    <row r="2800" spans="1:15" x14ac:dyDescent="0.2">
      <c r="A2800" t="str">
        <f t="shared" si="43"/>
        <v/>
      </c>
      <c r="F2800" s="1"/>
      <c r="H2800" s="1"/>
      <c r="I2800" s="2"/>
      <c r="J2800" s="2"/>
      <c r="N2800" s="2"/>
      <c r="O2800">
        <f>IFERROR(VLOOKUP($A2800,Accounts!$A:$G,3,FALSE),"")</f>
        <v>0</v>
      </c>
    </row>
    <row r="2801" spans="1:15" x14ac:dyDescent="0.2">
      <c r="A2801" t="str">
        <f t="shared" si="43"/>
        <v/>
      </c>
      <c r="F2801" s="1"/>
      <c r="H2801" s="1"/>
      <c r="I2801" s="2"/>
      <c r="J2801" s="2"/>
      <c r="N2801" s="2"/>
      <c r="O2801">
        <f>IFERROR(VLOOKUP($A2801,Accounts!$A:$G,3,FALSE),"")</f>
        <v>0</v>
      </c>
    </row>
    <row r="2802" spans="1:15" x14ac:dyDescent="0.2">
      <c r="A2802" t="str">
        <f t="shared" si="43"/>
        <v/>
      </c>
      <c r="F2802" s="1"/>
      <c r="H2802" s="1"/>
      <c r="I2802" s="2"/>
      <c r="J2802" s="2"/>
      <c r="N2802" s="2"/>
      <c r="O2802">
        <f>IFERROR(VLOOKUP($A2802,Accounts!$A:$G,3,FALSE),"")</f>
        <v>0</v>
      </c>
    </row>
    <row r="2803" spans="1:15" x14ac:dyDescent="0.2">
      <c r="A2803" t="str">
        <f t="shared" si="43"/>
        <v/>
      </c>
      <c r="F2803" s="1"/>
      <c r="H2803" s="1"/>
      <c r="I2803" s="2"/>
      <c r="J2803" s="2"/>
      <c r="N2803" s="2"/>
      <c r="O2803">
        <f>IFERROR(VLOOKUP($A2803,Accounts!$A:$G,3,FALSE),"")</f>
        <v>0</v>
      </c>
    </row>
    <row r="2804" spans="1:15" x14ac:dyDescent="0.2">
      <c r="A2804" t="str">
        <f t="shared" si="43"/>
        <v/>
      </c>
      <c r="F2804" s="1"/>
      <c r="H2804" s="1"/>
      <c r="I2804" s="2"/>
      <c r="J2804" s="2"/>
      <c r="N2804" s="2"/>
      <c r="O2804">
        <f>IFERROR(VLOOKUP($A2804,Accounts!$A:$G,3,FALSE),"")</f>
        <v>0</v>
      </c>
    </row>
    <row r="2805" spans="1:15" x14ac:dyDescent="0.2">
      <c r="A2805" t="str">
        <f t="shared" si="43"/>
        <v/>
      </c>
      <c r="F2805" s="1"/>
      <c r="H2805" s="1"/>
      <c r="I2805" s="2"/>
      <c r="J2805" s="2"/>
      <c r="N2805" s="2"/>
      <c r="O2805">
        <f>IFERROR(VLOOKUP($A2805,Accounts!$A:$G,3,FALSE),"")</f>
        <v>0</v>
      </c>
    </row>
    <row r="2806" spans="1:15" x14ac:dyDescent="0.2">
      <c r="A2806" t="str">
        <f t="shared" si="43"/>
        <v/>
      </c>
      <c r="F2806" s="1"/>
      <c r="H2806" s="1"/>
      <c r="I2806" s="2"/>
      <c r="J2806" s="2"/>
      <c r="N2806" s="2"/>
      <c r="O2806">
        <f>IFERROR(VLOOKUP($A2806,Accounts!$A:$G,3,FALSE),"")</f>
        <v>0</v>
      </c>
    </row>
    <row r="2807" spans="1:15" x14ac:dyDescent="0.2">
      <c r="A2807" t="str">
        <f t="shared" si="43"/>
        <v/>
      </c>
      <c r="F2807" s="1"/>
      <c r="H2807" s="1"/>
      <c r="I2807" s="2"/>
      <c r="J2807" s="2"/>
      <c r="N2807" s="2"/>
      <c r="O2807">
        <f>IFERROR(VLOOKUP($A2807,Accounts!$A:$G,3,FALSE),"")</f>
        <v>0</v>
      </c>
    </row>
    <row r="2808" spans="1:15" x14ac:dyDescent="0.2">
      <c r="A2808" t="str">
        <f t="shared" si="43"/>
        <v/>
      </c>
      <c r="F2808" s="1"/>
      <c r="H2808" s="1"/>
      <c r="I2808" s="2"/>
      <c r="J2808" s="2"/>
      <c r="N2808" s="2"/>
      <c r="O2808">
        <f>IFERROR(VLOOKUP($A2808,Accounts!$A:$G,3,FALSE),"")</f>
        <v>0</v>
      </c>
    </row>
    <row r="2809" spans="1:15" x14ac:dyDescent="0.2">
      <c r="A2809" t="str">
        <f t="shared" si="43"/>
        <v/>
      </c>
      <c r="F2809" s="1"/>
      <c r="H2809" s="1"/>
      <c r="I2809" s="2"/>
      <c r="J2809" s="2"/>
      <c r="N2809" s="2"/>
      <c r="O2809">
        <f>IFERROR(VLOOKUP($A2809,Accounts!$A:$G,3,FALSE),"")</f>
        <v>0</v>
      </c>
    </row>
    <row r="2810" spans="1:15" x14ac:dyDescent="0.2">
      <c r="A2810" t="str">
        <f t="shared" si="43"/>
        <v/>
      </c>
      <c r="F2810" s="1"/>
      <c r="H2810" s="1"/>
      <c r="I2810" s="2"/>
      <c r="J2810" s="2"/>
      <c r="N2810" s="2"/>
      <c r="O2810">
        <f>IFERROR(VLOOKUP($A2810,Accounts!$A:$G,3,FALSE),"")</f>
        <v>0</v>
      </c>
    </row>
    <row r="2811" spans="1:15" x14ac:dyDescent="0.2">
      <c r="A2811" t="str">
        <f t="shared" si="43"/>
        <v/>
      </c>
      <c r="F2811" s="1"/>
      <c r="H2811" s="1"/>
      <c r="I2811" s="2"/>
      <c r="J2811" s="2"/>
      <c r="N2811" s="2"/>
      <c r="O2811">
        <f>IFERROR(VLOOKUP($A2811,Accounts!$A:$G,3,FALSE),"")</f>
        <v>0</v>
      </c>
    </row>
    <row r="2812" spans="1:15" x14ac:dyDescent="0.2">
      <c r="A2812" t="str">
        <f t="shared" si="43"/>
        <v/>
      </c>
      <c r="F2812" s="1"/>
      <c r="H2812" s="1"/>
      <c r="I2812" s="2"/>
      <c r="J2812" s="2"/>
      <c r="N2812" s="2"/>
      <c r="O2812">
        <f>IFERROR(VLOOKUP($A2812,Accounts!$A:$G,3,FALSE),"")</f>
        <v>0</v>
      </c>
    </row>
    <row r="2813" spans="1:15" x14ac:dyDescent="0.2">
      <c r="A2813" t="str">
        <f t="shared" si="43"/>
        <v/>
      </c>
      <c r="F2813" s="1"/>
      <c r="H2813" s="1"/>
      <c r="I2813" s="2"/>
      <c r="J2813" s="2"/>
      <c r="N2813" s="2"/>
      <c r="O2813">
        <f>IFERROR(VLOOKUP($A2813,Accounts!$A:$G,3,FALSE),"")</f>
        <v>0</v>
      </c>
    </row>
    <row r="2814" spans="1:15" x14ac:dyDescent="0.2">
      <c r="A2814" t="str">
        <f t="shared" si="43"/>
        <v/>
      </c>
      <c r="F2814" s="1"/>
      <c r="H2814" s="1"/>
      <c r="I2814" s="2"/>
      <c r="J2814" s="2"/>
      <c r="N2814" s="2"/>
      <c r="O2814">
        <f>IFERROR(VLOOKUP($A2814,Accounts!$A:$G,3,FALSE),"")</f>
        <v>0</v>
      </c>
    </row>
    <row r="2815" spans="1:15" x14ac:dyDescent="0.2">
      <c r="A2815" t="str">
        <f t="shared" si="43"/>
        <v/>
      </c>
      <c r="F2815" s="1"/>
      <c r="H2815" s="1"/>
      <c r="I2815" s="2"/>
      <c r="J2815" s="2"/>
      <c r="N2815" s="2"/>
      <c r="O2815">
        <f>IFERROR(VLOOKUP($A2815,Accounts!$A:$G,3,FALSE),"")</f>
        <v>0</v>
      </c>
    </row>
    <row r="2816" spans="1:15" x14ac:dyDescent="0.2">
      <c r="A2816" t="str">
        <f t="shared" si="43"/>
        <v/>
      </c>
      <c r="F2816" s="1"/>
      <c r="H2816" s="1"/>
      <c r="I2816" s="2"/>
      <c r="J2816" s="2"/>
      <c r="N2816" s="2"/>
      <c r="O2816">
        <f>IFERROR(VLOOKUP($A2816,Accounts!$A:$G,3,FALSE),"")</f>
        <v>0</v>
      </c>
    </row>
    <row r="2817" spans="1:15" x14ac:dyDescent="0.2">
      <c r="A2817" t="str">
        <f t="shared" si="43"/>
        <v/>
      </c>
      <c r="F2817" s="1"/>
      <c r="H2817" s="1"/>
      <c r="I2817" s="2"/>
      <c r="J2817" s="2"/>
      <c r="N2817" s="2"/>
      <c r="O2817">
        <f>IFERROR(VLOOKUP($A2817,Accounts!$A:$G,3,FALSE),"")</f>
        <v>0</v>
      </c>
    </row>
    <row r="2818" spans="1:15" x14ac:dyDescent="0.2">
      <c r="A2818" t="str">
        <f t="shared" si="43"/>
        <v/>
      </c>
      <c r="F2818" s="1"/>
      <c r="H2818" s="1"/>
      <c r="I2818" s="2"/>
      <c r="J2818" s="2"/>
      <c r="N2818" s="2"/>
      <c r="O2818">
        <f>IFERROR(VLOOKUP($A2818,Accounts!$A:$G,3,FALSE),"")</f>
        <v>0</v>
      </c>
    </row>
    <row r="2819" spans="1:15" x14ac:dyDescent="0.2">
      <c r="A2819" t="str">
        <f t="shared" si="43"/>
        <v/>
      </c>
      <c r="B2819" s="3"/>
      <c r="C2819" s="3"/>
      <c r="D2819" s="3"/>
      <c r="E2819" s="3"/>
      <c r="F2819" s="4"/>
      <c r="G2819" s="3"/>
      <c r="H2819" s="4"/>
      <c r="I2819" s="5"/>
      <c r="J2819" s="5"/>
      <c r="K2819" s="3"/>
      <c r="L2819" s="3"/>
      <c r="M2819" s="3"/>
      <c r="N2819" s="5"/>
      <c r="O2819">
        <f>IFERROR(VLOOKUP($A2819,Accounts!$A:$G,3,FALSE),"")</f>
        <v>0</v>
      </c>
    </row>
    <row r="2820" spans="1:15" x14ac:dyDescent="0.2">
      <c r="A2820" t="str">
        <f t="shared" si="43"/>
        <v/>
      </c>
      <c r="F2820" s="1"/>
      <c r="H2820" s="1"/>
      <c r="I2820" s="2"/>
      <c r="J2820" s="2"/>
      <c r="N2820" s="2"/>
      <c r="O2820">
        <f>IFERROR(VLOOKUP($A2820,Accounts!$A:$G,3,FALSE),"")</f>
        <v>0</v>
      </c>
    </row>
    <row r="2821" spans="1:15" x14ac:dyDescent="0.2">
      <c r="A2821" t="str">
        <f t="shared" si="43"/>
        <v/>
      </c>
      <c r="F2821" s="1"/>
      <c r="H2821" s="1"/>
      <c r="I2821" s="2"/>
      <c r="J2821" s="2"/>
      <c r="N2821" s="2"/>
      <c r="O2821">
        <f>IFERROR(VLOOKUP($A2821,Accounts!$A:$G,3,FALSE),"")</f>
        <v>0</v>
      </c>
    </row>
    <row r="2822" spans="1:15" x14ac:dyDescent="0.2">
      <c r="A2822" t="str">
        <f t="shared" si="43"/>
        <v/>
      </c>
      <c r="F2822" s="1"/>
      <c r="H2822" s="1"/>
      <c r="I2822" s="2"/>
      <c r="J2822" s="2"/>
      <c r="N2822" s="2"/>
      <c r="O2822">
        <f>IFERROR(VLOOKUP($A2822,Accounts!$A:$G,3,FALSE),"")</f>
        <v>0</v>
      </c>
    </row>
    <row r="2823" spans="1:15" x14ac:dyDescent="0.2">
      <c r="A2823" t="str">
        <f t="shared" si="43"/>
        <v/>
      </c>
      <c r="F2823" s="1"/>
      <c r="H2823" s="1"/>
      <c r="I2823" s="2"/>
      <c r="J2823" s="2"/>
      <c r="N2823" s="2"/>
      <c r="O2823">
        <f>IFERROR(VLOOKUP($A2823,Accounts!$A:$G,3,FALSE),"")</f>
        <v>0</v>
      </c>
    </row>
    <row r="2824" spans="1:15" x14ac:dyDescent="0.2">
      <c r="A2824" t="str">
        <f t="shared" si="43"/>
        <v/>
      </c>
      <c r="F2824" s="1"/>
      <c r="H2824" s="1"/>
      <c r="I2824" s="2"/>
      <c r="J2824" s="2"/>
      <c r="N2824" s="2"/>
      <c r="O2824">
        <f>IFERROR(VLOOKUP($A2824,Accounts!$A:$G,3,FALSE),"")</f>
        <v>0</v>
      </c>
    </row>
    <row r="2825" spans="1:15" x14ac:dyDescent="0.2">
      <c r="A2825" t="str">
        <f t="shared" si="43"/>
        <v/>
      </c>
      <c r="F2825" s="1"/>
      <c r="H2825" s="1"/>
      <c r="I2825" s="2"/>
      <c r="J2825" s="2"/>
      <c r="N2825" s="2"/>
      <c r="O2825">
        <f>IFERROR(VLOOKUP($A2825,Accounts!$A:$G,3,FALSE),"")</f>
        <v>0</v>
      </c>
    </row>
    <row r="2826" spans="1:15" x14ac:dyDescent="0.2">
      <c r="A2826" t="str">
        <f t="shared" ref="A2826:A2889" si="44">IFERROR(IF(J2826=0,E2826&amp;C2826&amp;I2826,G2826&amp;B2826&amp;J2826),"")</f>
        <v/>
      </c>
      <c r="F2826" s="1"/>
      <c r="H2826" s="1"/>
      <c r="I2826" s="2"/>
      <c r="J2826" s="2"/>
      <c r="N2826" s="2"/>
      <c r="O2826">
        <f>IFERROR(VLOOKUP($A2826,Accounts!$A:$G,3,FALSE),"")</f>
        <v>0</v>
      </c>
    </row>
    <row r="2827" spans="1:15" x14ac:dyDescent="0.2">
      <c r="A2827" t="str">
        <f t="shared" si="44"/>
        <v/>
      </c>
      <c r="F2827" s="1"/>
      <c r="H2827" s="1"/>
      <c r="I2827" s="2"/>
      <c r="J2827" s="2"/>
      <c r="N2827" s="2"/>
      <c r="O2827">
        <f>IFERROR(VLOOKUP($A2827,Accounts!$A:$G,3,FALSE),"")</f>
        <v>0</v>
      </c>
    </row>
    <row r="2828" spans="1:15" x14ac:dyDescent="0.2">
      <c r="A2828" t="str">
        <f t="shared" si="44"/>
        <v/>
      </c>
      <c r="F2828" s="1"/>
      <c r="H2828" s="1"/>
      <c r="I2828" s="2"/>
      <c r="J2828" s="2"/>
      <c r="N2828" s="2"/>
      <c r="O2828">
        <f>IFERROR(VLOOKUP($A2828,Accounts!$A:$G,3,FALSE),"")</f>
        <v>0</v>
      </c>
    </row>
    <row r="2829" spans="1:15" x14ac:dyDescent="0.2">
      <c r="A2829" t="str">
        <f t="shared" si="44"/>
        <v/>
      </c>
      <c r="F2829" s="1"/>
      <c r="H2829" s="1"/>
      <c r="I2829" s="2"/>
      <c r="J2829" s="2"/>
      <c r="N2829" s="2"/>
      <c r="O2829">
        <f>IFERROR(VLOOKUP($A2829,Accounts!$A:$G,3,FALSE),"")</f>
        <v>0</v>
      </c>
    </row>
    <row r="2830" spans="1:15" x14ac:dyDescent="0.2">
      <c r="A2830" t="str">
        <f t="shared" si="44"/>
        <v/>
      </c>
      <c r="F2830" s="1"/>
      <c r="H2830" s="1"/>
      <c r="I2830" s="2"/>
      <c r="J2830" s="2"/>
      <c r="N2830" s="2"/>
      <c r="O2830">
        <f>IFERROR(VLOOKUP($A2830,Accounts!$A:$G,3,FALSE),"")</f>
        <v>0</v>
      </c>
    </row>
    <row r="2831" spans="1:15" x14ac:dyDescent="0.2">
      <c r="A2831" t="str">
        <f t="shared" si="44"/>
        <v/>
      </c>
      <c r="F2831" s="1"/>
      <c r="H2831" s="1"/>
      <c r="I2831" s="2"/>
      <c r="J2831" s="2"/>
      <c r="N2831" s="2"/>
      <c r="O2831">
        <f>IFERROR(VLOOKUP($A2831,Accounts!$A:$G,3,FALSE),"")</f>
        <v>0</v>
      </c>
    </row>
    <row r="2832" spans="1:15" x14ac:dyDescent="0.2">
      <c r="A2832" t="str">
        <f t="shared" si="44"/>
        <v/>
      </c>
      <c r="B2832" s="3"/>
      <c r="C2832" s="3"/>
      <c r="D2832" s="3"/>
      <c r="E2832" s="3"/>
      <c r="F2832" s="4"/>
      <c r="G2832" s="3"/>
      <c r="H2832" s="4"/>
      <c r="I2832" s="5"/>
      <c r="J2832" s="5"/>
      <c r="K2832" s="3"/>
      <c r="L2832" s="3"/>
      <c r="M2832" s="3"/>
      <c r="N2832" s="5"/>
      <c r="O2832">
        <f>IFERROR(VLOOKUP($A2832,Accounts!$A:$G,3,FALSE),"")</f>
        <v>0</v>
      </c>
    </row>
    <row r="2833" spans="1:15" x14ac:dyDescent="0.2">
      <c r="A2833" t="str">
        <f t="shared" si="44"/>
        <v/>
      </c>
      <c r="F2833" s="1"/>
      <c r="H2833" s="1"/>
      <c r="I2833" s="2"/>
      <c r="J2833" s="2"/>
      <c r="N2833" s="2"/>
      <c r="O2833">
        <f>IFERROR(VLOOKUP($A2833,Accounts!$A:$G,3,FALSE),"")</f>
        <v>0</v>
      </c>
    </row>
    <row r="2834" spans="1:15" x14ac:dyDescent="0.2">
      <c r="A2834" t="str">
        <f t="shared" si="44"/>
        <v/>
      </c>
      <c r="F2834" s="1"/>
      <c r="H2834" s="1"/>
      <c r="I2834" s="2"/>
      <c r="J2834" s="2"/>
      <c r="N2834" s="2"/>
      <c r="O2834">
        <f>IFERROR(VLOOKUP($A2834,Accounts!$A:$G,3,FALSE),"")</f>
        <v>0</v>
      </c>
    </row>
    <row r="2835" spans="1:15" x14ac:dyDescent="0.2">
      <c r="A2835" t="str">
        <f t="shared" si="44"/>
        <v/>
      </c>
      <c r="F2835" s="1"/>
      <c r="H2835" s="1"/>
      <c r="I2835" s="2"/>
      <c r="J2835" s="2"/>
      <c r="N2835" s="2"/>
      <c r="O2835">
        <f>IFERROR(VLOOKUP($A2835,Accounts!$A:$G,3,FALSE),"")</f>
        <v>0</v>
      </c>
    </row>
    <row r="2836" spans="1:15" x14ac:dyDescent="0.2">
      <c r="A2836" t="str">
        <f t="shared" si="44"/>
        <v/>
      </c>
      <c r="B2836" s="3"/>
      <c r="C2836" s="3"/>
      <c r="D2836" s="3"/>
      <c r="E2836" s="3"/>
      <c r="F2836" s="4"/>
      <c r="G2836" s="3"/>
      <c r="H2836" s="4"/>
      <c r="I2836" s="5"/>
      <c r="J2836" s="5"/>
      <c r="K2836" s="3"/>
      <c r="L2836" s="3"/>
      <c r="M2836" s="3"/>
      <c r="N2836" s="5"/>
      <c r="O2836">
        <f>IFERROR(VLOOKUP($A2836,Accounts!$A:$G,3,FALSE),"")</f>
        <v>0</v>
      </c>
    </row>
    <row r="2837" spans="1:15" x14ac:dyDescent="0.2">
      <c r="A2837" t="str">
        <f t="shared" si="44"/>
        <v/>
      </c>
      <c r="F2837" s="1"/>
      <c r="H2837" s="1"/>
      <c r="I2837" s="2"/>
      <c r="J2837" s="2"/>
      <c r="N2837" s="2"/>
      <c r="O2837">
        <f>IFERROR(VLOOKUP($A2837,Accounts!$A:$G,3,FALSE),"")</f>
        <v>0</v>
      </c>
    </row>
    <row r="2838" spans="1:15" x14ac:dyDescent="0.2">
      <c r="A2838" t="str">
        <f t="shared" si="44"/>
        <v/>
      </c>
      <c r="F2838" s="1"/>
      <c r="H2838" s="1"/>
      <c r="I2838" s="2"/>
      <c r="J2838" s="2"/>
      <c r="N2838" s="2"/>
      <c r="O2838">
        <f>IFERROR(VLOOKUP($A2838,Accounts!$A:$G,3,FALSE),"")</f>
        <v>0</v>
      </c>
    </row>
    <row r="2839" spans="1:15" x14ac:dyDescent="0.2">
      <c r="A2839" t="str">
        <f t="shared" si="44"/>
        <v/>
      </c>
      <c r="B2839" s="3"/>
      <c r="C2839" s="3"/>
      <c r="D2839" s="3"/>
      <c r="E2839" s="3"/>
      <c r="F2839" s="4"/>
      <c r="G2839" s="3"/>
      <c r="H2839" s="4"/>
      <c r="I2839" s="5"/>
      <c r="J2839" s="5"/>
      <c r="K2839" s="3"/>
      <c r="L2839" s="3"/>
      <c r="M2839" s="3"/>
      <c r="N2839" s="5"/>
      <c r="O2839">
        <f>IFERROR(VLOOKUP($A2839,Accounts!$A:$G,3,FALSE),"")</f>
        <v>0</v>
      </c>
    </row>
    <row r="2840" spans="1:15" x14ac:dyDescent="0.2">
      <c r="A2840" t="str">
        <f t="shared" si="44"/>
        <v/>
      </c>
      <c r="F2840" s="1"/>
      <c r="H2840" s="1"/>
      <c r="I2840" s="2"/>
      <c r="J2840" s="2"/>
      <c r="N2840" s="2"/>
      <c r="O2840">
        <f>IFERROR(VLOOKUP($A2840,Accounts!$A:$G,3,FALSE),"")</f>
        <v>0</v>
      </c>
    </row>
    <row r="2841" spans="1:15" x14ac:dyDescent="0.2">
      <c r="A2841" t="str">
        <f t="shared" si="44"/>
        <v/>
      </c>
      <c r="F2841" s="1"/>
      <c r="H2841" s="1"/>
      <c r="I2841" s="2"/>
      <c r="J2841" s="2"/>
      <c r="N2841" s="2"/>
      <c r="O2841">
        <f>IFERROR(VLOOKUP($A2841,Accounts!$A:$G,3,FALSE),"")</f>
        <v>0</v>
      </c>
    </row>
    <row r="2842" spans="1:15" x14ac:dyDescent="0.2">
      <c r="A2842" t="str">
        <f t="shared" si="44"/>
        <v/>
      </c>
      <c r="B2842" s="3"/>
      <c r="C2842" s="3"/>
      <c r="D2842" s="3"/>
      <c r="E2842" s="3"/>
      <c r="F2842" s="4"/>
      <c r="G2842" s="3"/>
      <c r="H2842" s="4"/>
      <c r="I2842" s="5"/>
      <c r="J2842" s="5"/>
      <c r="K2842" s="3"/>
      <c r="L2842" s="3"/>
      <c r="M2842" s="3"/>
      <c r="N2842" s="5"/>
      <c r="O2842">
        <f>IFERROR(VLOOKUP($A2842,Accounts!$A:$G,3,FALSE),"")</f>
        <v>0</v>
      </c>
    </row>
    <row r="2843" spans="1:15" x14ac:dyDescent="0.2">
      <c r="A2843" t="str">
        <f t="shared" si="44"/>
        <v/>
      </c>
      <c r="F2843" s="1"/>
      <c r="H2843" s="1"/>
      <c r="I2843" s="2"/>
      <c r="J2843" s="2"/>
      <c r="N2843" s="2"/>
      <c r="O2843">
        <f>IFERROR(VLOOKUP($A2843,Accounts!$A:$G,3,FALSE),"")</f>
        <v>0</v>
      </c>
    </row>
    <row r="2844" spans="1:15" x14ac:dyDescent="0.2">
      <c r="A2844" t="str">
        <f t="shared" si="44"/>
        <v/>
      </c>
      <c r="F2844" s="1"/>
      <c r="H2844" s="1"/>
      <c r="I2844" s="2"/>
      <c r="J2844" s="2"/>
      <c r="N2844" s="2"/>
      <c r="O2844">
        <f>IFERROR(VLOOKUP($A2844,Accounts!$A:$G,3,FALSE),"")</f>
        <v>0</v>
      </c>
    </row>
    <row r="2845" spans="1:15" x14ac:dyDescent="0.2">
      <c r="A2845" t="str">
        <f t="shared" si="44"/>
        <v/>
      </c>
      <c r="F2845" s="1"/>
      <c r="H2845" s="1"/>
      <c r="I2845" s="2"/>
      <c r="J2845" s="2"/>
      <c r="N2845" s="2"/>
      <c r="O2845">
        <f>IFERROR(VLOOKUP($A2845,Accounts!$A:$G,3,FALSE),"")</f>
        <v>0</v>
      </c>
    </row>
    <row r="2846" spans="1:15" x14ac:dyDescent="0.2">
      <c r="A2846" t="str">
        <f t="shared" si="44"/>
        <v/>
      </c>
      <c r="F2846" s="1"/>
      <c r="H2846" s="1"/>
      <c r="I2846" s="2"/>
      <c r="J2846" s="2"/>
      <c r="N2846" s="2"/>
      <c r="O2846">
        <f>IFERROR(VLOOKUP($A2846,Accounts!$A:$G,3,FALSE),"")</f>
        <v>0</v>
      </c>
    </row>
    <row r="2847" spans="1:15" x14ac:dyDescent="0.2">
      <c r="A2847" t="str">
        <f t="shared" si="44"/>
        <v/>
      </c>
      <c r="F2847" s="1"/>
      <c r="H2847" s="1"/>
      <c r="I2847" s="2"/>
      <c r="J2847" s="2"/>
      <c r="N2847" s="2"/>
      <c r="O2847">
        <f>IFERROR(VLOOKUP($A2847,Accounts!$A:$G,3,FALSE),"")</f>
        <v>0</v>
      </c>
    </row>
    <row r="2848" spans="1:15" x14ac:dyDescent="0.2">
      <c r="A2848" t="str">
        <f t="shared" si="44"/>
        <v/>
      </c>
      <c r="F2848" s="1"/>
      <c r="H2848" s="1"/>
      <c r="I2848" s="2"/>
      <c r="J2848" s="2"/>
      <c r="N2848" s="2"/>
      <c r="O2848">
        <f>IFERROR(VLOOKUP($A2848,Accounts!$A:$G,3,FALSE),"")</f>
        <v>0</v>
      </c>
    </row>
    <row r="2849" spans="1:15" x14ac:dyDescent="0.2">
      <c r="A2849" t="str">
        <f t="shared" si="44"/>
        <v/>
      </c>
      <c r="F2849" s="1"/>
      <c r="H2849" s="1"/>
      <c r="I2849" s="2"/>
      <c r="J2849" s="2"/>
      <c r="N2849" s="2"/>
      <c r="O2849">
        <f>IFERROR(VLOOKUP($A2849,Accounts!$A:$G,3,FALSE),"")</f>
        <v>0</v>
      </c>
    </row>
    <row r="2850" spans="1:15" x14ac:dyDescent="0.2">
      <c r="A2850" t="str">
        <f t="shared" si="44"/>
        <v/>
      </c>
      <c r="F2850" s="1"/>
      <c r="H2850" s="1"/>
      <c r="I2850" s="2"/>
      <c r="J2850" s="2"/>
      <c r="N2850" s="2"/>
      <c r="O2850">
        <f>IFERROR(VLOOKUP($A2850,Accounts!$A:$G,3,FALSE),"")</f>
        <v>0</v>
      </c>
    </row>
    <row r="2851" spans="1:15" x14ac:dyDescent="0.2">
      <c r="A2851" t="str">
        <f t="shared" si="44"/>
        <v/>
      </c>
      <c r="F2851" s="1"/>
      <c r="H2851" s="1"/>
      <c r="I2851" s="2"/>
      <c r="J2851" s="2"/>
      <c r="N2851" s="2"/>
      <c r="O2851">
        <f>IFERROR(VLOOKUP($A2851,Accounts!$A:$G,3,FALSE),"")</f>
        <v>0</v>
      </c>
    </row>
    <row r="2852" spans="1:15" x14ac:dyDescent="0.2">
      <c r="A2852" t="str">
        <f t="shared" si="44"/>
        <v/>
      </c>
      <c r="F2852" s="1"/>
      <c r="H2852" s="1"/>
      <c r="I2852" s="2"/>
      <c r="J2852" s="2"/>
      <c r="N2852" s="2"/>
      <c r="O2852">
        <f>IFERROR(VLOOKUP($A2852,Accounts!$A:$G,3,FALSE),"")</f>
        <v>0</v>
      </c>
    </row>
    <row r="2853" spans="1:15" x14ac:dyDescent="0.2">
      <c r="A2853" t="str">
        <f t="shared" si="44"/>
        <v/>
      </c>
      <c r="F2853" s="1"/>
      <c r="H2853" s="1"/>
      <c r="I2853" s="2"/>
      <c r="J2853" s="2"/>
      <c r="N2853" s="2"/>
      <c r="O2853">
        <f>IFERROR(VLOOKUP($A2853,Accounts!$A:$G,3,FALSE),"")</f>
        <v>0</v>
      </c>
    </row>
    <row r="2854" spans="1:15" x14ac:dyDescent="0.2">
      <c r="A2854" t="str">
        <f t="shared" si="44"/>
        <v/>
      </c>
      <c r="F2854" s="1"/>
      <c r="H2854" s="1"/>
      <c r="I2854" s="2"/>
      <c r="J2854" s="2"/>
      <c r="N2854" s="2"/>
      <c r="O2854">
        <f>IFERROR(VLOOKUP($A2854,Accounts!$A:$G,3,FALSE),"")</f>
        <v>0</v>
      </c>
    </row>
    <row r="2855" spans="1:15" x14ac:dyDescent="0.2">
      <c r="A2855" t="str">
        <f t="shared" si="44"/>
        <v/>
      </c>
      <c r="F2855" s="1"/>
      <c r="H2855" s="1"/>
      <c r="I2855" s="2"/>
      <c r="J2855" s="2"/>
      <c r="N2855" s="2"/>
      <c r="O2855">
        <f>IFERROR(VLOOKUP($A2855,Accounts!$A:$G,3,FALSE),"")</f>
        <v>0</v>
      </c>
    </row>
    <row r="2856" spans="1:15" x14ac:dyDescent="0.2">
      <c r="A2856" t="str">
        <f t="shared" si="44"/>
        <v/>
      </c>
      <c r="F2856" s="1"/>
      <c r="H2856" s="1"/>
      <c r="I2856" s="2"/>
      <c r="J2856" s="2"/>
      <c r="N2856" s="2"/>
      <c r="O2856">
        <f>IFERROR(VLOOKUP($A2856,Accounts!$A:$G,3,FALSE),"")</f>
        <v>0</v>
      </c>
    </row>
    <row r="2857" spans="1:15" x14ac:dyDescent="0.2">
      <c r="A2857" t="str">
        <f t="shared" si="44"/>
        <v/>
      </c>
      <c r="F2857" s="1"/>
      <c r="H2857" s="1"/>
      <c r="I2857" s="2"/>
      <c r="J2857" s="2"/>
      <c r="N2857" s="2"/>
      <c r="O2857">
        <f>IFERROR(VLOOKUP($A2857,Accounts!$A:$G,3,FALSE),"")</f>
        <v>0</v>
      </c>
    </row>
    <row r="2858" spans="1:15" x14ac:dyDescent="0.2">
      <c r="A2858" t="str">
        <f t="shared" si="44"/>
        <v/>
      </c>
      <c r="F2858" s="1"/>
      <c r="H2858" s="1"/>
      <c r="I2858" s="2"/>
      <c r="J2858" s="2"/>
      <c r="N2858" s="2"/>
      <c r="O2858">
        <f>IFERROR(VLOOKUP($A2858,Accounts!$A:$G,3,FALSE),"")</f>
        <v>0</v>
      </c>
    </row>
    <row r="2859" spans="1:15" x14ac:dyDescent="0.2">
      <c r="A2859" t="str">
        <f t="shared" si="44"/>
        <v/>
      </c>
      <c r="F2859" s="1"/>
      <c r="H2859" s="1"/>
      <c r="I2859" s="2"/>
      <c r="J2859" s="2"/>
      <c r="N2859" s="2"/>
      <c r="O2859">
        <f>IFERROR(VLOOKUP($A2859,Accounts!$A:$G,3,FALSE),"")</f>
        <v>0</v>
      </c>
    </row>
    <row r="2860" spans="1:15" x14ac:dyDescent="0.2">
      <c r="A2860" t="str">
        <f t="shared" si="44"/>
        <v/>
      </c>
      <c r="F2860" s="1"/>
      <c r="H2860" s="1"/>
      <c r="I2860" s="2"/>
      <c r="J2860" s="2"/>
      <c r="N2860" s="2"/>
      <c r="O2860">
        <f>IFERROR(VLOOKUP($A2860,Accounts!$A:$G,3,FALSE),"")</f>
        <v>0</v>
      </c>
    </row>
    <row r="2861" spans="1:15" x14ac:dyDescent="0.2">
      <c r="A2861" t="str">
        <f t="shared" si="44"/>
        <v/>
      </c>
      <c r="B2861" s="3"/>
      <c r="C2861" s="3"/>
      <c r="D2861" s="3"/>
      <c r="E2861" s="3"/>
      <c r="F2861" s="4"/>
      <c r="G2861" s="3"/>
      <c r="H2861" s="4"/>
      <c r="I2861" s="5"/>
      <c r="J2861" s="5"/>
      <c r="K2861" s="3"/>
      <c r="L2861" s="3"/>
      <c r="M2861" s="3"/>
      <c r="N2861" s="5"/>
      <c r="O2861">
        <f>IFERROR(VLOOKUP($A2861,Accounts!$A:$G,3,FALSE),"")</f>
        <v>0</v>
      </c>
    </row>
    <row r="2862" spans="1:15" x14ac:dyDescent="0.2">
      <c r="A2862" t="str">
        <f t="shared" si="44"/>
        <v/>
      </c>
      <c r="F2862" s="1"/>
      <c r="H2862" s="1"/>
      <c r="I2862" s="2"/>
      <c r="J2862" s="2"/>
      <c r="N2862" s="2"/>
      <c r="O2862">
        <f>IFERROR(VLOOKUP($A2862,Accounts!$A:$G,3,FALSE),"")</f>
        <v>0</v>
      </c>
    </row>
    <row r="2863" spans="1:15" x14ac:dyDescent="0.2">
      <c r="A2863" t="str">
        <f t="shared" si="44"/>
        <v/>
      </c>
      <c r="F2863" s="1"/>
      <c r="H2863" s="1"/>
      <c r="I2863" s="2"/>
      <c r="J2863" s="2"/>
      <c r="N2863" s="2"/>
      <c r="O2863">
        <f>IFERROR(VLOOKUP($A2863,Accounts!$A:$G,3,FALSE),"")</f>
        <v>0</v>
      </c>
    </row>
    <row r="2864" spans="1:15" x14ac:dyDescent="0.2">
      <c r="A2864" t="str">
        <f t="shared" si="44"/>
        <v/>
      </c>
      <c r="B2864" s="3"/>
      <c r="C2864" s="3"/>
      <c r="D2864" s="3"/>
      <c r="E2864" s="3"/>
      <c r="F2864" s="4"/>
      <c r="G2864" s="3"/>
      <c r="H2864" s="4"/>
      <c r="I2864" s="5"/>
      <c r="J2864" s="5"/>
      <c r="K2864" s="3"/>
      <c r="L2864" s="3"/>
      <c r="M2864" s="3"/>
      <c r="N2864" s="5"/>
      <c r="O2864">
        <f>IFERROR(VLOOKUP($A2864,Accounts!$A:$G,3,FALSE),"")</f>
        <v>0</v>
      </c>
    </row>
    <row r="2865" spans="1:15" x14ac:dyDescent="0.2">
      <c r="A2865" t="str">
        <f t="shared" si="44"/>
        <v/>
      </c>
      <c r="F2865" s="1"/>
      <c r="H2865" s="1"/>
      <c r="I2865" s="2"/>
      <c r="J2865" s="2"/>
      <c r="N2865" s="2"/>
      <c r="O2865">
        <f>IFERROR(VLOOKUP($A2865,Accounts!$A:$G,3,FALSE),"")</f>
        <v>0</v>
      </c>
    </row>
    <row r="2866" spans="1:15" x14ac:dyDescent="0.2">
      <c r="A2866" t="str">
        <f t="shared" si="44"/>
        <v/>
      </c>
      <c r="F2866" s="1"/>
      <c r="H2866" s="1"/>
      <c r="I2866" s="2"/>
      <c r="J2866" s="2"/>
      <c r="N2866" s="2"/>
      <c r="O2866">
        <f>IFERROR(VLOOKUP($A2866,Accounts!$A:$G,3,FALSE),"")</f>
        <v>0</v>
      </c>
    </row>
    <row r="2867" spans="1:15" x14ac:dyDescent="0.2">
      <c r="A2867" t="str">
        <f t="shared" si="44"/>
        <v/>
      </c>
      <c r="F2867" s="1"/>
      <c r="H2867" s="1"/>
      <c r="I2867" s="2"/>
      <c r="J2867" s="2"/>
      <c r="N2867" s="2"/>
      <c r="O2867">
        <f>IFERROR(VLOOKUP($A2867,Accounts!$A:$G,3,FALSE),"")</f>
        <v>0</v>
      </c>
    </row>
    <row r="2868" spans="1:15" x14ac:dyDescent="0.2">
      <c r="A2868" t="str">
        <f t="shared" si="44"/>
        <v/>
      </c>
      <c r="F2868" s="1"/>
      <c r="H2868" s="1"/>
      <c r="I2868" s="2"/>
      <c r="J2868" s="2"/>
      <c r="N2868" s="2"/>
      <c r="O2868">
        <f>IFERROR(VLOOKUP($A2868,Accounts!$A:$G,3,FALSE),"")</f>
        <v>0</v>
      </c>
    </row>
    <row r="2869" spans="1:15" x14ac:dyDescent="0.2">
      <c r="A2869" t="str">
        <f t="shared" si="44"/>
        <v/>
      </c>
      <c r="F2869" s="1"/>
      <c r="H2869" s="1"/>
      <c r="I2869" s="2"/>
      <c r="J2869" s="2"/>
      <c r="N2869" s="2"/>
      <c r="O2869">
        <f>IFERROR(VLOOKUP($A2869,Accounts!$A:$G,3,FALSE),"")</f>
        <v>0</v>
      </c>
    </row>
    <row r="2870" spans="1:15" x14ac:dyDescent="0.2">
      <c r="A2870" t="str">
        <f t="shared" si="44"/>
        <v/>
      </c>
      <c r="F2870" s="1"/>
      <c r="H2870" s="1"/>
      <c r="I2870" s="2"/>
      <c r="J2870" s="2"/>
      <c r="N2870" s="2"/>
      <c r="O2870">
        <f>IFERROR(VLOOKUP($A2870,Accounts!$A:$G,3,FALSE),"")</f>
        <v>0</v>
      </c>
    </row>
    <row r="2871" spans="1:15" x14ac:dyDescent="0.2">
      <c r="A2871" t="str">
        <f t="shared" si="44"/>
        <v/>
      </c>
      <c r="F2871" s="1"/>
      <c r="H2871" s="1"/>
      <c r="I2871" s="2"/>
      <c r="J2871" s="2"/>
      <c r="N2871" s="2"/>
      <c r="O2871">
        <f>IFERROR(VLOOKUP($A2871,Accounts!$A:$G,3,FALSE),"")</f>
        <v>0</v>
      </c>
    </row>
    <row r="2872" spans="1:15" x14ac:dyDescent="0.2">
      <c r="A2872" t="str">
        <f t="shared" si="44"/>
        <v/>
      </c>
      <c r="F2872" s="1"/>
      <c r="H2872" s="1"/>
      <c r="I2872" s="2"/>
      <c r="J2872" s="2"/>
      <c r="N2872" s="2"/>
      <c r="O2872">
        <f>IFERROR(VLOOKUP($A2872,Accounts!$A:$G,3,FALSE),"")</f>
        <v>0</v>
      </c>
    </row>
    <row r="2873" spans="1:15" x14ac:dyDescent="0.2">
      <c r="A2873" t="str">
        <f t="shared" si="44"/>
        <v/>
      </c>
      <c r="F2873" s="1"/>
      <c r="H2873" s="1"/>
      <c r="I2873" s="2"/>
      <c r="J2873" s="2"/>
      <c r="N2873" s="2"/>
      <c r="O2873">
        <f>IFERROR(VLOOKUP($A2873,Accounts!$A:$G,3,FALSE),"")</f>
        <v>0</v>
      </c>
    </row>
    <row r="2874" spans="1:15" x14ac:dyDescent="0.2">
      <c r="A2874" t="str">
        <f t="shared" si="44"/>
        <v/>
      </c>
      <c r="B2874" s="3"/>
      <c r="C2874" s="3"/>
      <c r="D2874" s="3"/>
      <c r="E2874" s="3"/>
      <c r="F2874" s="4"/>
      <c r="G2874" s="3"/>
      <c r="H2874" s="4"/>
      <c r="I2874" s="5"/>
      <c r="J2874" s="5"/>
      <c r="K2874" s="3"/>
      <c r="L2874" s="3"/>
      <c r="M2874" s="3"/>
      <c r="N2874" s="5"/>
      <c r="O2874">
        <f>IFERROR(VLOOKUP($A2874,Accounts!$A:$G,3,FALSE),"")</f>
        <v>0</v>
      </c>
    </row>
    <row r="2875" spans="1:15" x14ac:dyDescent="0.2">
      <c r="A2875" t="str">
        <f t="shared" si="44"/>
        <v/>
      </c>
      <c r="F2875" s="1"/>
      <c r="H2875" s="1"/>
      <c r="I2875" s="2"/>
      <c r="J2875" s="2"/>
      <c r="N2875" s="2"/>
      <c r="O2875">
        <f>IFERROR(VLOOKUP($A2875,Accounts!$A:$G,3,FALSE),"")</f>
        <v>0</v>
      </c>
    </row>
    <row r="2876" spans="1:15" x14ac:dyDescent="0.2">
      <c r="A2876" t="str">
        <f t="shared" si="44"/>
        <v/>
      </c>
      <c r="F2876" s="1"/>
      <c r="H2876" s="1"/>
      <c r="I2876" s="2"/>
      <c r="J2876" s="2"/>
      <c r="N2876" s="2"/>
      <c r="O2876">
        <f>IFERROR(VLOOKUP($A2876,Accounts!$A:$G,3,FALSE),"")</f>
        <v>0</v>
      </c>
    </row>
    <row r="2877" spans="1:15" x14ac:dyDescent="0.2">
      <c r="A2877" t="str">
        <f t="shared" si="44"/>
        <v/>
      </c>
      <c r="F2877" s="1"/>
      <c r="H2877" s="1"/>
      <c r="I2877" s="2"/>
      <c r="J2877" s="2"/>
      <c r="N2877" s="2"/>
      <c r="O2877">
        <f>IFERROR(VLOOKUP($A2877,Accounts!$A:$G,3,FALSE),"")</f>
        <v>0</v>
      </c>
    </row>
    <row r="2878" spans="1:15" x14ac:dyDescent="0.2">
      <c r="A2878" t="str">
        <f t="shared" si="44"/>
        <v/>
      </c>
      <c r="F2878" s="1"/>
      <c r="H2878" s="1"/>
      <c r="I2878" s="2"/>
      <c r="J2878" s="2"/>
      <c r="N2878" s="2"/>
      <c r="O2878">
        <f>IFERROR(VLOOKUP($A2878,Accounts!$A:$G,3,FALSE),"")</f>
        <v>0</v>
      </c>
    </row>
    <row r="2879" spans="1:15" x14ac:dyDescent="0.2">
      <c r="A2879" t="str">
        <f t="shared" si="44"/>
        <v/>
      </c>
      <c r="F2879" s="1"/>
      <c r="H2879" s="1"/>
      <c r="I2879" s="2"/>
      <c r="J2879" s="2"/>
      <c r="N2879" s="2"/>
      <c r="O2879">
        <f>IFERROR(VLOOKUP($A2879,Accounts!$A:$G,3,FALSE),"")</f>
        <v>0</v>
      </c>
    </row>
    <row r="2880" spans="1:15" x14ac:dyDescent="0.2">
      <c r="A2880" t="str">
        <f t="shared" si="44"/>
        <v/>
      </c>
      <c r="F2880" s="1"/>
      <c r="H2880" s="1"/>
      <c r="I2880" s="2"/>
      <c r="J2880" s="2"/>
      <c r="N2880" s="2"/>
      <c r="O2880">
        <f>IFERROR(VLOOKUP($A2880,Accounts!$A:$G,3,FALSE),"")</f>
        <v>0</v>
      </c>
    </row>
    <row r="2881" spans="1:15" x14ac:dyDescent="0.2">
      <c r="A2881" t="str">
        <f t="shared" si="44"/>
        <v/>
      </c>
      <c r="F2881" s="1"/>
      <c r="H2881" s="1"/>
      <c r="I2881" s="2"/>
      <c r="J2881" s="2"/>
      <c r="N2881" s="2"/>
      <c r="O2881">
        <f>IFERROR(VLOOKUP($A2881,Accounts!$A:$G,3,FALSE),"")</f>
        <v>0</v>
      </c>
    </row>
    <row r="2882" spans="1:15" x14ac:dyDescent="0.2">
      <c r="A2882" t="str">
        <f t="shared" si="44"/>
        <v/>
      </c>
      <c r="F2882" s="1"/>
      <c r="H2882" s="1"/>
      <c r="I2882" s="2"/>
      <c r="J2882" s="2"/>
      <c r="N2882" s="2"/>
      <c r="O2882">
        <f>IFERROR(VLOOKUP($A2882,Accounts!$A:$G,3,FALSE),"")</f>
        <v>0</v>
      </c>
    </row>
    <row r="2883" spans="1:15" x14ac:dyDescent="0.2">
      <c r="A2883" t="str">
        <f t="shared" si="44"/>
        <v/>
      </c>
      <c r="F2883" s="1"/>
      <c r="H2883" s="1"/>
      <c r="I2883" s="2"/>
      <c r="J2883" s="2"/>
      <c r="N2883" s="2"/>
      <c r="O2883">
        <f>IFERROR(VLOOKUP($A2883,Accounts!$A:$G,3,FALSE),"")</f>
        <v>0</v>
      </c>
    </row>
    <row r="2884" spans="1:15" x14ac:dyDescent="0.2">
      <c r="A2884" t="str">
        <f t="shared" si="44"/>
        <v/>
      </c>
      <c r="F2884" s="1"/>
      <c r="H2884" s="1"/>
      <c r="I2884" s="2"/>
      <c r="J2884" s="2"/>
      <c r="N2884" s="2"/>
      <c r="O2884">
        <f>IFERROR(VLOOKUP($A2884,Accounts!$A:$G,3,FALSE),"")</f>
        <v>0</v>
      </c>
    </row>
    <row r="2885" spans="1:15" x14ac:dyDescent="0.2">
      <c r="A2885" t="str">
        <f t="shared" si="44"/>
        <v/>
      </c>
      <c r="F2885" s="1"/>
      <c r="H2885" s="1"/>
      <c r="I2885" s="2"/>
      <c r="J2885" s="2"/>
      <c r="N2885" s="2"/>
      <c r="O2885">
        <f>IFERROR(VLOOKUP($A2885,Accounts!$A:$G,3,FALSE),"")</f>
        <v>0</v>
      </c>
    </row>
    <row r="2886" spans="1:15" x14ac:dyDescent="0.2">
      <c r="A2886" t="str">
        <f t="shared" si="44"/>
        <v/>
      </c>
      <c r="F2886" s="1"/>
      <c r="H2886" s="1"/>
      <c r="I2886" s="2"/>
      <c r="J2886" s="2"/>
      <c r="N2886" s="2"/>
      <c r="O2886">
        <f>IFERROR(VLOOKUP($A2886,Accounts!$A:$G,3,FALSE),"")</f>
        <v>0</v>
      </c>
    </row>
    <row r="2887" spans="1:15" x14ac:dyDescent="0.2">
      <c r="A2887" t="str">
        <f t="shared" si="44"/>
        <v/>
      </c>
      <c r="F2887" s="1"/>
      <c r="H2887" s="1"/>
      <c r="I2887" s="2"/>
      <c r="J2887" s="2"/>
      <c r="N2887" s="2"/>
      <c r="O2887">
        <f>IFERROR(VLOOKUP($A2887,Accounts!$A:$G,3,FALSE),"")</f>
        <v>0</v>
      </c>
    </row>
    <row r="2888" spans="1:15" x14ac:dyDescent="0.2">
      <c r="A2888" t="str">
        <f t="shared" si="44"/>
        <v/>
      </c>
      <c r="F2888" s="1"/>
      <c r="H2888" s="1"/>
      <c r="I2888" s="2"/>
      <c r="J2888" s="2"/>
      <c r="N2888" s="2"/>
      <c r="O2888">
        <f>IFERROR(VLOOKUP($A2888,Accounts!$A:$G,3,FALSE),"")</f>
        <v>0</v>
      </c>
    </row>
    <row r="2889" spans="1:15" x14ac:dyDescent="0.2">
      <c r="A2889" t="str">
        <f t="shared" si="44"/>
        <v/>
      </c>
      <c r="F2889" s="1"/>
      <c r="H2889" s="1"/>
      <c r="I2889" s="2"/>
      <c r="J2889" s="2"/>
      <c r="N2889" s="2"/>
      <c r="O2889">
        <f>IFERROR(VLOOKUP($A2889,Accounts!$A:$G,3,FALSE),"")</f>
        <v>0</v>
      </c>
    </row>
    <row r="2890" spans="1:15" x14ac:dyDescent="0.2">
      <c r="A2890" t="str">
        <f t="shared" ref="A2890:A2953" si="45">IFERROR(IF(J2890=0,E2890&amp;C2890&amp;I2890,G2890&amp;B2890&amp;J2890),"")</f>
        <v/>
      </c>
      <c r="F2890" s="1"/>
      <c r="H2890" s="1"/>
      <c r="I2890" s="2"/>
      <c r="J2890" s="2"/>
      <c r="N2890" s="2"/>
      <c r="O2890">
        <f>IFERROR(VLOOKUP($A2890,Accounts!$A:$G,3,FALSE),"")</f>
        <v>0</v>
      </c>
    </row>
    <row r="2891" spans="1:15" x14ac:dyDescent="0.2">
      <c r="A2891" t="str">
        <f t="shared" si="45"/>
        <v/>
      </c>
      <c r="F2891" s="1"/>
      <c r="H2891" s="1"/>
      <c r="I2891" s="2"/>
      <c r="J2891" s="2"/>
      <c r="N2891" s="2"/>
      <c r="O2891">
        <f>IFERROR(VLOOKUP($A2891,Accounts!$A:$G,3,FALSE),"")</f>
        <v>0</v>
      </c>
    </row>
    <row r="2892" spans="1:15" x14ac:dyDescent="0.2">
      <c r="A2892" t="str">
        <f t="shared" si="45"/>
        <v/>
      </c>
      <c r="F2892" s="1"/>
      <c r="H2892" s="1"/>
      <c r="I2892" s="2"/>
      <c r="J2892" s="2"/>
      <c r="N2892" s="2"/>
      <c r="O2892">
        <f>IFERROR(VLOOKUP($A2892,Accounts!$A:$G,3,FALSE),"")</f>
        <v>0</v>
      </c>
    </row>
    <row r="2893" spans="1:15" x14ac:dyDescent="0.2">
      <c r="A2893" t="str">
        <f t="shared" si="45"/>
        <v/>
      </c>
      <c r="F2893" s="1"/>
      <c r="H2893" s="1"/>
      <c r="I2893" s="2"/>
      <c r="J2893" s="2"/>
      <c r="N2893" s="2"/>
      <c r="O2893">
        <f>IFERROR(VLOOKUP($A2893,Accounts!$A:$G,3,FALSE),"")</f>
        <v>0</v>
      </c>
    </row>
    <row r="2894" spans="1:15" x14ac:dyDescent="0.2">
      <c r="A2894" t="str">
        <f t="shared" si="45"/>
        <v/>
      </c>
      <c r="F2894" s="1"/>
      <c r="H2894" s="1"/>
      <c r="I2894" s="2"/>
      <c r="J2894" s="2"/>
      <c r="N2894" s="2"/>
      <c r="O2894">
        <f>IFERROR(VLOOKUP($A2894,Accounts!$A:$G,3,FALSE),"")</f>
        <v>0</v>
      </c>
    </row>
    <row r="2895" spans="1:15" x14ac:dyDescent="0.2">
      <c r="A2895" t="str">
        <f t="shared" si="45"/>
        <v/>
      </c>
      <c r="F2895" s="1"/>
      <c r="H2895" s="1"/>
      <c r="I2895" s="2"/>
      <c r="J2895" s="2"/>
      <c r="N2895" s="2"/>
      <c r="O2895">
        <f>IFERROR(VLOOKUP($A2895,Accounts!$A:$G,3,FALSE),"")</f>
        <v>0</v>
      </c>
    </row>
    <row r="2896" spans="1:15" x14ac:dyDescent="0.2">
      <c r="A2896" t="str">
        <f t="shared" si="45"/>
        <v/>
      </c>
      <c r="F2896" s="1"/>
      <c r="H2896" s="1"/>
      <c r="I2896" s="2"/>
      <c r="J2896" s="2"/>
      <c r="N2896" s="2"/>
      <c r="O2896">
        <f>IFERROR(VLOOKUP($A2896,Accounts!$A:$G,3,FALSE),"")</f>
        <v>0</v>
      </c>
    </row>
    <row r="2897" spans="1:15" x14ac:dyDescent="0.2">
      <c r="A2897" t="str">
        <f t="shared" si="45"/>
        <v/>
      </c>
      <c r="F2897" s="1"/>
      <c r="H2897" s="1"/>
      <c r="I2897" s="2"/>
      <c r="J2897" s="2"/>
      <c r="N2897" s="2"/>
      <c r="O2897">
        <f>IFERROR(VLOOKUP($A2897,Accounts!$A:$G,3,FALSE),"")</f>
        <v>0</v>
      </c>
    </row>
    <row r="2898" spans="1:15" x14ac:dyDescent="0.2">
      <c r="A2898" t="str">
        <f t="shared" si="45"/>
        <v/>
      </c>
      <c r="F2898" s="1"/>
      <c r="H2898" s="1"/>
      <c r="I2898" s="2"/>
      <c r="J2898" s="2"/>
      <c r="N2898" s="2"/>
      <c r="O2898">
        <f>IFERROR(VLOOKUP($A2898,Accounts!$A:$G,3,FALSE),"")</f>
        <v>0</v>
      </c>
    </row>
    <row r="2899" spans="1:15" x14ac:dyDescent="0.2">
      <c r="A2899" t="str">
        <f t="shared" si="45"/>
        <v/>
      </c>
      <c r="F2899" s="1"/>
      <c r="H2899" s="1"/>
      <c r="I2899" s="2"/>
      <c r="J2899" s="2"/>
      <c r="N2899" s="2"/>
      <c r="O2899">
        <f>IFERROR(VLOOKUP($A2899,Accounts!$A:$G,3,FALSE),"")</f>
        <v>0</v>
      </c>
    </row>
    <row r="2900" spans="1:15" x14ac:dyDescent="0.2">
      <c r="A2900" t="str">
        <f t="shared" si="45"/>
        <v/>
      </c>
      <c r="F2900" s="1"/>
      <c r="H2900" s="1"/>
      <c r="I2900" s="2"/>
      <c r="J2900" s="2"/>
      <c r="N2900" s="2"/>
      <c r="O2900">
        <f>IFERROR(VLOOKUP($A2900,Accounts!$A:$G,3,FALSE),"")</f>
        <v>0</v>
      </c>
    </row>
    <row r="2901" spans="1:15" x14ac:dyDescent="0.2">
      <c r="A2901" t="str">
        <f t="shared" si="45"/>
        <v/>
      </c>
      <c r="F2901" s="1"/>
      <c r="H2901" s="1"/>
      <c r="I2901" s="2"/>
      <c r="J2901" s="2"/>
      <c r="N2901" s="2"/>
      <c r="O2901">
        <f>IFERROR(VLOOKUP($A2901,Accounts!$A:$G,3,FALSE),"")</f>
        <v>0</v>
      </c>
    </row>
    <row r="2902" spans="1:15" x14ac:dyDescent="0.2">
      <c r="A2902" t="str">
        <f t="shared" si="45"/>
        <v/>
      </c>
      <c r="F2902" s="1"/>
      <c r="H2902" s="1"/>
      <c r="I2902" s="2"/>
      <c r="J2902" s="2"/>
      <c r="N2902" s="2"/>
      <c r="O2902">
        <f>IFERROR(VLOOKUP($A2902,Accounts!$A:$G,3,FALSE),"")</f>
        <v>0</v>
      </c>
    </row>
    <row r="2903" spans="1:15" x14ac:dyDescent="0.2">
      <c r="A2903" t="str">
        <f t="shared" si="45"/>
        <v/>
      </c>
      <c r="F2903" s="1"/>
      <c r="H2903" s="1"/>
      <c r="I2903" s="2"/>
      <c r="J2903" s="2"/>
      <c r="N2903" s="2"/>
      <c r="O2903">
        <f>IFERROR(VLOOKUP($A2903,Accounts!$A:$G,3,FALSE),"")</f>
        <v>0</v>
      </c>
    </row>
    <row r="2904" spans="1:15" x14ac:dyDescent="0.2">
      <c r="A2904" t="str">
        <f t="shared" si="45"/>
        <v/>
      </c>
      <c r="F2904" s="1"/>
      <c r="H2904" s="1"/>
      <c r="I2904" s="2"/>
      <c r="J2904" s="2"/>
      <c r="N2904" s="2"/>
      <c r="O2904">
        <f>IFERROR(VLOOKUP($A2904,Accounts!$A:$G,3,FALSE),"")</f>
        <v>0</v>
      </c>
    </row>
    <row r="2905" spans="1:15" x14ac:dyDescent="0.2">
      <c r="A2905" t="str">
        <f t="shared" si="45"/>
        <v/>
      </c>
      <c r="F2905" s="1"/>
      <c r="H2905" s="1"/>
      <c r="I2905" s="2"/>
      <c r="J2905" s="2"/>
      <c r="N2905" s="2"/>
      <c r="O2905">
        <f>IFERROR(VLOOKUP($A2905,Accounts!$A:$G,3,FALSE),"")</f>
        <v>0</v>
      </c>
    </row>
    <row r="2906" spans="1:15" x14ac:dyDescent="0.2">
      <c r="A2906" t="str">
        <f t="shared" si="45"/>
        <v/>
      </c>
      <c r="F2906" s="1"/>
      <c r="H2906" s="1"/>
      <c r="I2906" s="2"/>
      <c r="J2906" s="2"/>
      <c r="N2906" s="2"/>
      <c r="O2906">
        <f>IFERROR(VLOOKUP($A2906,Accounts!$A:$G,3,FALSE),"")</f>
        <v>0</v>
      </c>
    </row>
    <row r="2907" spans="1:15" x14ac:dyDescent="0.2">
      <c r="A2907" t="str">
        <f t="shared" si="45"/>
        <v/>
      </c>
      <c r="F2907" s="1"/>
      <c r="H2907" s="1"/>
      <c r="I2907" s="2"/>
      <c r="J2907" s="2"/>
      <c r="N2907" s="2"/>
      <c r="O2907">
        <f>IFERROR(VLOOKUP($A2907,Accounts!$A:$G,3,FALSE),"")</f>
        <v>0</v>
      </c>
    </row>
    <row r="2908" spans="1:15" x14ac:dyDescent="0.2">
      <c r="A2908" t="str">
        <f t="shared" si="45"/>
        <v/>
      </c>
      <c r="F2908" s="1"/>
      <c r="H2908" s="1"/>
      <c r="I2908" s="2"/>
      <c r="J2908" s="2"/>
      <c r="N2908" s="2"/>
      <c r="O2908">
        <f>IFERROR(VLOOKUP($A2908,Accounts!$A:$G,3,FALSE),"")</f>
        <v>0</v>
      </c>
    </row>
    <row r="2909" spans="1:15" x14ac:dyDescent="0.2">
      <c r="A2909" t="str">
        <f t="shared" si="45"/>
        <v/>
      </c>
      <c r="F2909" s="1"/>
      <c r="H2909" s="1"/>
      <c r="I2909" s="2"/>
      <c r="J2909" s="2"/>
      <c r="N2909" s="2"/>
      <c r="O2909">
        <f>IFERROR(VLOOKUP($A2909,Accounts!$A:$G,3,FALSE),"")</f>
        <v>0</v>
      </c>
    </row>
    <row r="2910" spans="1:15" x14ac:dyDescent="0.2">
      <c r="A2910" t="str">
        <f t="shared" si="45"/>
        <v/>
      </c>
      <c r="F2910" s="1"/>
      <c r="H2910" s="1"/>
      <c r="I2910" s="2"/>
      <c r="J2910" s="2"/>
      <c r="N2910" s="2"/>
      <c r="O2910">
        <f>IFERROR(VLOOKUP($A2910,Accounts!$A:$G,3,FALSE),"")</f>
        <v>0</v>
      </c>
    </row>
    <row r="2911" spans="1:15" x14ac:dyDescent="0.2">
      <c r="A2911" t="str">
        <f t="shared" si="45"/>
        <v/>
      </c>
      <c r="F2911" s="1"/>
      <c r="H2911" s="1"/>
      <c r="I2911" s="2"/>
      <c r="J2911" s="2"/>
      <c r="N2911" s="2"/>
      <c r="O2911">
        <f>IFERROR(VLOOKUP($A2911,Accounts!$A:$G,3,FALSE),"")</f>
        <v>0</v>
      </c>
    </row>
    <row r="2912" spans="1:15" x14ac:dyDescent="0.2">
      <c r="A2912" t="str">
        <f t="shared" si="45"/>
        <v/>
      </c>
      <c r="F2912" s="1"/>
      <c r="H2912" s="1"/>
      <c r="I2912" s="2"/>
      <c r="J2912" s="2"/>
      <c r="N2912" s="2"/>
      <c r="O2912">
        <f>IFERROR(VLOOKUP($A2912,Accounts!$A:$G,3,FALSE),"")</f>
        <v>0</v>
      </c>
    </row>
    <row r="2913" spans="1:15" x14ac:dyDescent="0.2">
      <c r="A2913" t="str">
        <f t="shared" si="45"/>
        <v/>
      </c>
      <c r="F2913" s="1"/>
      <c r="H2913" s="1"/>
      <c r="I2913" s="2"/>
      <c r="J2913" s="2"/>
      <c r="N2913" s="2"/>
      <c r="O2913">
        <f>IFERROR(VLOOKUP($A2913,Accounts!$A:$G,3,FALSE),"")</f>
        <v>0</v>
      </c>
    </row>
    <row r="2914" spans="1:15" x14ac:dyDescent="0.2">
      <c r="A2914" t="str">
        <f t="shared" si="45"/>
        <v/>
      </c>
      <c r="F2914" s="1"/>
      <c r="H2914" s="1"/>
      <c r="I2914" s="2"/>
      <c r="J2914" s="2"/>
      <c r="N2914" s="2"/>
      <c r="O2914">
        <f>IFERROR(VLOOKUP($A2914,Accounts!$A:$G,3,FALSE),"")</f>
        <v>0</v>
      </c>
    </row>
    <row r="2915" spans="1:15" x14ac:dyDescent="0.2">
      <c r="A2915" t="str">
        <f t="shared" si="45"/>
        <v/>
      </c>
      <c r="F2915" s="1"/>
      <c r="H2915" s="1"/>
      <c r="I2915" s="2"/>
      <c r="J2915" s="2"/>
      <c r="N2915" s="2"/>
      <c r="O2915">
        <f>IFERROR(VLOOKUP($A2915,Accounts!$A:$G,3,FALSE),"")</f>
        <v>0</v>
      </c>
    </row>
    <row r="2916" spans="1:15" x14ac:dyDescent="0.2">
      <c r="A2916" t="str">
        <f t="shared" si="45"/>
        <v/>
      </c>
      <c r="F2916" s="1"/>
      <c r="H2916" s="1"/>
      <c r="I2916" s="2"/>
      <c r="J2916" s="2"/>
      <c r="N2916" s="2"/>
      <c r="O2916">
        <f>IFERROR(VLOOKUP($A2916,Accounts!$A:$G,3,FALSE),"")</f>
        <v>0</v>
      </c>
    </row>
    <row r="2917" spans="1:15" x14ac:dyDescent="0.2">
      <c r="A2917" t="str">
        <f t="shared" si="45"/>
        <v/>
      </c>
      <c r="B2917" s="3"/>
      <c r="C2917" s="3"/>
      <c r="D2917" s="3"/>
      <c r="E2917" s="3"/>
      <c r="F2917" s="4"/>
      <c r="G2917" s="3"/>
      <c r="H2917" s="4"/>
      <c r="I2917" s="5"/>
      <c r="J2917" s="5"/>
      <c r="K2917" s="3"/>
      <c r="L2917" s="3"/>
      <c r="M2917" s="3"/>
      <c r="N2917" s="5"/>
      <c r="O2917">
        <f>IFERROR(VLOOKUP($A2917,Accounts!$A:$G,3,FALSE),"")</f>
        <v>0</v>
      </c>
    </row>
    <row r="2918" spans="1:15" x14ac:dyDescent="0.2">
      <c r="A2918" t="str">
        <f t="shared" si="45"/>
        <v/>
      </c>
      <c r="F2918" s="1"/>
      <c r="H2918" s="1"/>
      <c r="I2918" s="2"/>
      <c r="J2918" s="2"/>
      <c r="N2918" s="2"/>
      <c r="O2918">
        <f>IFERROR(VLOOKUP($A2918,Accounts!$A:$G,3,FALSE),"")</f>
        <v>0</v>
      </c>
    </row>
    <row r="2919" spans="1:15" x14ac:dyDescent="0.2">
      <c r="A2919" t="str">
        <f t="shared" si="45"/>
        <v/>
      </c>
      <c r="B2919" s="3"/>
      <c r="C2919" s="3"/>
      <c r="D2919" s="3"/>
      <c r="E2919" s="3"/>
      <c r="F2919" s="4"/>
      <c r="G2919" s="3"/>
      <c r="H2919" s="4"/>
      <c r="I2919" s="5"/>
      <c r="J2919" s="5"/>
      <c r="K2919" s="3"/>
      <c r="L2919" s="3"/>
      <c r="M2919" s="3"/>
      <c r="N2919" s="5"/>
      <c r="O2919">
        <f>IFERROR(VLOOKUP($A2919,Accounts!$A:$G,3,FALSE),"")</f>
        <v>0</v>
      </c>
    </row>
    <row r="2920" spans="1:15" x14ac:dyDescent="0.2">
      <c r="A2920" t="str">
        <f t="shared" si="45"/>
        <v/>
      </c>
      <c r="F2920" s="1"/>
      <c r="H2920" s="1"/>
      <c r="I2920" s="2"/>
      <c r="J2920" s="2"/>
      <c r="N2920" s="2"/>
      <c r="O2920">
        <f>IFERROR(VLOOKUP($A2920,Accounts!$A:$G,3,FALSE),"")</f>
        <v>0</v>
      </c>
    </row>
    <row r="2921" spans="1:15" x14ac:dyDescent="0.2">
      <c r="A2921" t="str">
        <f t="shared" si="45"/>
        <v/>
      </c>
      <c r="B2921" s="3"/>
      <c r="C2921" s="3"/>
      <c r="D2921" s="3"/>
      <c r="E2921" s="3"/>
      <c r="F2921" s="4"/>
      <c r="G2921" s="3"/>
      <c r="H2921" s="4"/>
      <c r="I2921" s="5"/>
      <c r="J2921" s="5"/>
      <c r="K2921" s="3"/>
      <c r="L2921" s="3"/>
      <c r="M2921" s="3"/>
      <c r="N2921" s="5"/>
      <c r="O2921">
        <f>IFERROR(VLOOKUP($A2921,Accounts!$A:$G,3,FALSE),"")</f>
        <v>0</v>
      </c>
    </row>
    <row r="2922" spans="1:15" x14ac:dyDescent="0.2">
      <c r="A2922" t="str">
        <f t="shared" si="45"/>
        <v/>
      </c>
      <c r="F2922" s="1"/>
      <c r="H2922" s="1"/>
      <c r="I2922" s="2"/>
      <c r="J2922" s="2"/>
      <c r="N2922" s="2"/>
      <c r="O2922">
        <f>IFERROR(VLOOKUP($A2922,Accounts!$A:$G,3,FALSE),"")</f>
        <v>0</v>
      </c>
    </row>
    <row r="2923" spans="1:15" x14ac:dyDescent="0.2">
      <c r="A2923" t="str">
        <f t="shared" si="45"/>
        <v/>
      </c>
      <c r="B2923" s="3"/>
      <c r="C2923" s="3"/>
      <c r="D2923" s="3"/>
      <c r="E2923" s="3"/>
      <c r="F2923" s="4"/>
      <c r="G2923" s="3"/>
      <c r="H2923" s="4"/>
      <c r="I2923" s="5"/>
      <c r="J2923" s="5"/>
      <c r="K2923" s="3"/>
      <c r="L2923" s="3"/>
      <c r="M2923" s="3"/>
      <c r="N2923" s="5"/>
      <c r="O2923">
        <f>IFERROR(VLOOKUP($A2923,Accounts!$A:$G,3,FALSE),"")</f>
        <v>0</v>
      </c>
    </row>
    <row r="2924" spans="1:15" x14ac:dyDescent="0.2">
      <c r="A2924" t="str">
        <f t="shared" si="45"/>
        <v/>
      </c>
      <c r="F2924" s="1"/>
      <c r="H2924" s="1"/>
      <c r="I2924" s="2"/>
      <c r="J2924" s="2"/>
      <c r="N2924" s="2"/>
      <c r="O2924">
        <f>IFERROR(VLOOKUP($A2924,Accounts!$A:$G,3,FALSE),"")</f>
        <v>0</v>
      </c>
    </row>
    <row r="2925" spans="1:15" x14ac:dyDescent="0.2">
      <c r="A2925" t="str">
        <f t="shared" si="45"/>
        <v/>
      </c>
      <c r="F2925" s="1"/>
      <c r="H2925" s="1"/>
      <c r="I2925" s="2"/>
      <c r="J2925" s="2"/>
      <c r="N2925" s="2"/>
      <c r="O2925">
        <f>IFERROR(VLOOKUP($A2925,Accounts!$A:$G,3,FALSE),"")</f>
        <v>0</v>
      </c>
    </row>
    <row r="2926" spans="1:15" x14ac:dyDescent="0.2">
      <c r="A2926" t="str">
        <f t="shared" si="45"/>
        <v/>
      </c>
      <c r="B2926" s="3"/>
      <c r="C2926" s="3"/>
      <c r="D2926" s="3"/>
      <c r="E2926" s="3"/>
      <c r="F2926" s="4"/>
      <c r="G2926" s="3"/>
      <c r="H2926" s="4"/>
      <c r="I2926" s="5"/>
      <c r="J2926" s="5"/>
      <c r="K2926" s="3"/>
      <c r="L2926" s="3"/>
      <c r="M2926" s="3"/>
      <c r="N2926" s="5"/>
      <c r="O2926">
        <f>IFERROR(VLOOKUP($A2926,Accounts!$A:$G,3,FALSE),"")</f>
        <v>0</v>
      </c>
    </row>
    <row r="2927" spans="1:15" x14ac:dyDescent="0.2">
      <c r="A2927" t="str">
        <f t="shared" si="45"/>
        <v/>
      </c>
      <c r="F2927" s="1"/>
      <c r="H2927" s="1"/>
      <c r="I2927" s="2"/>
      <c r="J2927" s="2"/>
      <c r="N2927" s="2"/>
      <c r="O2927">
        <f>IFERROR(VLOOKUP($A2927,Accounts!$A:$G,3,FALSE),"")</f>
        <v>0</v>
      </c>
    </row>
    <row r="2928" spans="1:15" x14ac:dyDescent="0.2">
      <c r="A2928" t="str">
        <f t="shared" si="45"/>
        <v/>
      </c>
      <c r="F2928" s="1"/>
      <c r="H2928" s="1"/>
      <c r="I2928" s="2"/>
      <c r="J2928" s="2"/>
      <c r="N2928" s="2"/>
      <c r="O2928">
        <f>IFERROR(VLOOKUP($A2928,Accounts!$A:$G,3,FALSE),"")</f>
        <v>0</v>
      </c>
    </row>
    <row r="2929" spans="1:15" x14ac:dyDescent="0.2">
      <c r="A2929" t="str">
        <f t="shared" si="45"/>
        <v/>
      </c>
      <c r="F2929" s="1"/>
      <c r="H2929" s="1"/>
      <c r="I2929" s="2"/>
      <c r="J2929" s="2"/>
      <c r="N2929" s="2"/>
      <c r="O2929">
        <f>IFERROR(VLOOKUP($A2929,Accounts!$A:$G,3,FALSE),"")</f>
        <v>0</v>
      </c>
    </row>
    <row r="2930" spans="1:15" x14ac:dyDescent="0.2">
      <c r="A2930" t="str">
        <f t="shared" si="45"/>
        <v/>
      </c>
      <c r="F2930" s="1"/>
      <c r="H2930" s="1"/>
      <c r="I2930" s="2"/>
      <c r="J2930" s="2"/>
      <c r="N2930" s="2"/>
      <c r="O2930">
        <f>IFERROR(VLOOKUP($A2930,Accounts!$A:$G,3,FALSE),"")</f>
        <v>0</v>
      </c>
    </row>
    <row r="2931" spans="1:15" x14ac:dyDescent="0.2">
      <c r="A2931" t="str">
        <f t="shared" si="45"/>
        <v/>
      </c>
      <c r="F2931" s="1"/>
      <c r="H2931" s="1"/>
      <c r="I2931" s="2"/>
      <c r="J2931" s="2"/>
      <c r="N2931" s="2"/>
      <c r="O2931">
        <f>IFERROR(VLOOKUP($A2931,Accounts!$A:$G,3,FALSE),"")</f>
        <v>0</v>
      </c>
    </row>
    <row r="2932" spans="1:15" x14ac:dyDescent="0.2">
      <c r="A2932" t="str">
        <f t="shared" si="45"/>
        <v/>
      </c>
      <c r="F2932" s="1"/>
      <c r="H2932" s="1"/>
      <c r="I2932" s="2"/>
      <c r="J2932" s="2"/>
      <c r="N2932" s="2"/>
      <c r="O2932">
        <f>IFERROR(VLOOKUP($A2932,Accounts!$A:$G,3,FALSE),"")</f>
        <v>0</v>
      </c>
    </row>
    <row r="2933" spans="1:15" x14ac:dyDescent="0.2">
      <c r="A2933" t="str">
        <f t="shared" si="45"/>
        <v/>
      </c>
      <c r="F2933" s="1"/>
      <c r="H2933" s="1"/>
      <c r="I2933" s="2"/>
      <c r="J2933" s="2"/>
      <c r="N2933" s="2"/>
      <c r="O2933">
        <f>IFERROR(VLOOKUP($A2933,Accounts!$A:$G,3,FALSE),"")</f>
        <v>0</v>
      </c>
    </row>
    <row r="2934" spans="1:15" x14ac:dyDescent="0.2">
      <c r="A2934" t="str">
        <f t="shared" si="45"/>
        <v/>
      </c>
      <c r="F2934" s="1"/>
      <c r="H2934" s="1"/>
      <c r="I2934" s="2"/>
      <c r="J2934" s="2"/>
      <c r="N2934" s="2"/>
      <c r="O2934">
        <f>IFERROR(VLOOKUP($A2934,Accounts!$A:$G,3,FALSE),"")</f>
        <v>0</v>
      </c>
    </row>
    <row r="2935" spans="1:15" x14ac:dyDescent="0.2">
      <c r="A2935" t="str">
        <f t="shared" si="45"/>
        <v/>
      </c>
      <c r="F2935" s="1"/>
      <c r="H2935" s="1"/>
      <c r="I2935" s="2"/>
      <c r="J2935" s="2"/>
      <c r="N2935" s="2"/>
      <c r="O2935">
        <f>IFERROR(VLOOKUP($A2935,Accounts!$A:$G,3,FALSE),"")</f>
        <v>0</v>
      </c>
    </row>
    <row r="2936" spans="1:15" x14ac:dyDescent="0.2">
      <c r="A2936" t="str">
        <f t="shared" si="45"/>
        <v/>
      </c>
      <c r="F2936" s="1"/>
      <c r="H2936" s="1"/>
      <c r="I2936" s="2"/>
      <c r="J2936" s="2"/>
      <c r="N2936" s="2"/>
      <c r="O2936">
        <f>IFERROR(VLOOKUP($A2936,Accounts!$A:$G,3,FALSE),"")</f>
        <v>0</v>
      </c>
    </row>
    <row r="2937" spans="1:15" x14ac:dyDescent="0.2">
      <c r="A2937" t="str">
        <f t="shared" si="45"/>
        <v/>
      </c>
      <c r="F2937" s="1"/>
      <c r="H2937" s="1"/>
      <c r="I2937" s="2"/>
      <c r="J2937" s="2"/>
      <c r="N2937" s="2"/>
      <c r="O2937">
        <f>IFERROR(VLOOKUP($A2937,Accounts!$A:$G,3,FALSE),"")</f>
        <v>0</v>
      </c>
    </row>
    <row r="2938" spans="1:15" x14ac:dyDescent="0.2">
      <c r="A2938" t="str">
        <f t="shared" si="45"/>
        <v/>
      </c>
      <c r="F2938" s="1"/>
      <c r="H2938" s="1"/>
      <c r="I2938" s="2"/>
      <c r="J2938" s="2"/>
      <c r="N2938" s="2"/>
      <c r="O2938">
        <f>IFERROR(VLOOKUP($A2938,Accounts!$A:$G,3,FALSE),"")</f>
        <v>0</v>
      </c>
    </row>
    <row r="2939" spans="1:15" x14ac:dyDescent="0.2">
      <c r="A2939" t="str">
        <f t="shared" si="45"/>
        <v/>
      </c>
      <c r="F2939" s="1"/>
      <c r="H2939" s="1"/>
      <c r="I2939" s="2"/>
      <c r="J2939" s="2"/>
      <c r="N2939" s="2"/>
      <c r="O2939">
        <f>IFERROR(VLOOKUP($A2939,Accounts!$A:$G,3,FALSE),"")</f>
        <v>0</v>
      </c>
    </row>
    <row r="2940" spans="1:15" x14ac:dyDescent="0.2">
      <c r="A2940" t="str">
        <f t="shared" si="45"/>
        <v/>
      </c>
      <c r="F2940" s="1"/>
      <c r="H2940" s="1"/>
      <c r="I2940" s="2"/>
      <c r="J2940" s="2"/>
      <c r="N2940" s="2"/>
      <c r="O2940">
        <f>IFERROR(VLOOKUP($A2940,Accounts!$A:$G,3,FALSE),"")</f>
        <v>0</v>
      </c>
    </row>
    <row r="2941" spans="1:15" x14ac:dyDescent="0.2">
      <c r="A2941" t="str">
        <f t="shared" si="45"/>
        <v/>
      </c>
      <c r="F2941" s="1"/>
      <c r="H2941" s="1"/>
      <c r="I2941" s="2"/>
      <c r="J2941" s="2"/>
      <c r="N2941" s="2"/>
      <c r="O2941">
        <f>IFERROR(VLOOKUP($A2941,Accounts!$A:$G,3,FALSE),"")</f>
        <v>0</v>
      </c>
    </row>
    <row r="2942" spans="1:15" x14ac:dyDescent="0.2">
      <c r="A2942" t="str">
        <f t="shared" si="45"/>
        <v/>
      </c>
      <c r="F2942" s="1"/>
      <c r="H2942" s="1"/>
      <c r="I2942" s="2"/>
      <c r="J2942" s="2"/>
      <c r="N2942" s="2"/>
      <c r="O2942">
        <f>IFERROR(VLOOKUP($A2942,Accounts!$A:$G,3,FALSE),"")</f>
        <v>0</v>
      </c>
    </row>
    <row r="2943" spans="1:15" x14ac:dyDescent="0.2">
      <c r="A2943" t="str">
        <f t="shared" si="45"/>
        <v/>
      </c>
      <c r="F2943" s="1"/>
      <c r="H2943" s="1"/>
      <c r="I2943" s="2"/>
      <c r="J2943" s="2"/>
      <c r="N2943" s="2"/>
      <c r="O2943">
        <f>IFERROR(VLOOKUP($A2943,Accounts!$A:$G,3,FALSE),"")</f>
        <v>0</v>
      </c>
    </row>
    <row r="2944" spans="1:15" x14ac:dyDescent="0.2">
      <c r="A2944" t="str">
        <f t="shared" si="45"/>
        <v/>
      </c>
      <c r="F2944" s="1"/>
      <c r="H2944" s="1"/>
      <c r="I2944" s="2"/>
      <c r="J2944" s="2"/>
      <c r="N2944" s="2"/>
      <c r="O2944">
        <f>IFERROR(VLOOKUP($A2944,Accounts!$A:$G,3,FALSE),"")</f>
        <v>0</v>
      </c>
    </row>
    <row r="2945" spans="1:15" x14ac:dyDescent="0.2">
      <c r="A2945" t="str">
        <f t="shared" si="45"/>
        <v/>
      </c>
      <c r="F2945" s="1"/>
      <c r="H2945" s="1"/>
      <c r="I2945" s="2"/>
      <c r="J2945" s="2"/>
      <c r="N2945" s="2"/>
      <c r="O2945">
        <f>IFERROR(VLOOKUP($A2945,Accounts!$A:$G,3,FALSE),"")</f>
        <v>0</v>
      </c>
    </row>
    <row r="2946" spans="1:15" x14ac:dyDescent="0.2">
      <c r="A2946" t="str">
        <f t="shared" si="45"/>
        <v/>
      </c>
      <c r="F2946" s="1"/>
      <c r="H2946" s="1"/>
      <c r="I2946" s="2"/>
      <c r="J2946" s="2"/>
      <c r="N2946" s="2"/>
      <c r="O2946">
        <f>IFERROR(VLOOKUP($A2946,Accounts!$A:$G,3,FALSE),"")</f>
        <v>0</v>
      </c>
    </row>
    <row r="2947" spans="1:15" x14ac:dyDescent="0.2">
      <c r="A2947" t="str">
        <f t="shared" si="45"/>
        <v/>
      </c>
      <c r="F2947" s="1"/>
      <c r="H2947" s="1"/>
      <c r="I2947" s="2"/>
      <c r="J2947" s="2"/>
      <c r="N2947" s="2"/>
      <c r="O2947">
        <f>IFERROR(VLOOKUP($A2947,Accounts!$A:$G,3,FALSE),"")</f>
        <v>0</v>
      </c>
    </row>
    <row r="2948" spans="1:15" x14ac:dyDescent="0.2">
      <c r="A2948" t="str">
        <f t="shared" si="45"/>
        <v/>
      </c>
      <c r="F2948" s="1"/>
      <c r="H2948" s="1"/>
      <c r="I2948" s="2"/>
      <c r="J2948" s="2"/>
      <c r="N2948" s="2"/>
      <c r="O2948">
        <f>IFERROR(VLOOKUP($A2948,Accounts!$A:$G,3,FALSE),"")</f>
        <v>0</v>
      </c>
    </row>
    <row r="2949" spans="1:15" x14ac:dyDescent="0.2">
      <c r="A2949" t="str">
        <f t="shared" si="45"/>
        <v/>
      </c>
      <c r="F2949" s="1"/>
      <c r="H2949" s="1"/>
      <c r="I2949" s="2"/>
      <c r="J2949" s="2"/>
      <c r="N2949" s="2"/>
      <c r="O2949">
        <f>IFERROR(VLOOKUP($A2949,Accounts!$A:$G,3,FALSE),"")</f>
        <v>0</v>
      </c>
    </row>
    <row r="2950" spans="1:15" x14ac:dyDescent="0.2">
      <c r="A2950" t="str">
        <f t="shared" si="45"/>
        <v/>
      </c>
      <c r="F2950" s="1"/>
      <c r="H2950" s="1"/>
      <c r="I2950" s="2"/>
      <c r="J2950" s="2"/>
      <c r="N2950" s="2"/>
      <c r="O2950">
        <f>IFERROR(VLOOKUP($A2950,Accounts!$A:$G,3,FALSE),"")</f>
        <v>0</v>
      </c>
    </row>
    <row r="2951" spans="1:15" x14ac:dyDescent="0.2">
      <c r="A2951" t="str">
        <f t="shared" si="45"/>
        <v/>
      </c>
      <c r="F2951" s="1"/>
      <c r="H2951" s="1"/>
      <c r="I2951" s="2"/>
      <c r="J2951" s="2"/>
      <c r="N2951" s="2"/>
      <c r="O2951">
        <f>IFERROR(VLOOKUP($A2951,Accounts!$A:$G,3,FALSE),"")</f>
        <v>0</v>
      </c>
    </row>
    <row r="2952" spans="1:15" x14ac:dyDescent="0.2">
      <c r="A2952" t="str">
        <f t="shared" si="45"/>
        <v/>
      </c>
      <c r="F2952" s="1"/>
      <c r="H2952" s="1"/>
      <c r="I2952" s="2"/>
      <c r="J2952" s="2"/>
      <c r="N2952" s="2"/>
      <c r="O2952">
        <f>IFERROR(VLOOKUP($A2952,Accounts!$A:$G,3,FALSE),"")</f>
        <v>0</v>
      </c>
    </row>
    <row r="2953" spans="1:15" x14ac:dyDescent="0.2">
      <c r="A2953" t="str">
        <f t="shared" si="45"/>
        <v/>
      </c>
      <c r="F2953" s="1"/>
      <c r="H2953" s="1"/>
      <c r="I2953" s="2"/>
      <c r="J2953" s="2"/>
      <c r="N2953" s="2"/>
      <c r="O2953">
        <f>IFERROR(VLOOKUP($A2953,Accounts!$A:$G,3,FALSE),"")</f>
        <v>0</v>
      </c>
    </row>
    <row r="2954" spans="1:15" x14ac:dyDescent="0.2">
      <c r="A2954" t="str">
        <f t="shared" ref="A2954:A3017" si="46">IFERROR(IF(J2954=0,E2954&amp;C2954&amp;I2954,G2954&amp;B2954&amp;J2954),"")</f>
        <v/>
      </c>
      <c r="F2954" s="1"/>
      <c r="H2954" s="1"/>
      <c r="I2954" s="2"/>
      <c r="J2954" s="2"/>
      <c r="N2954" s="2"/>
      <c r="O2954">
        <f>IFERROR(VLOOKUP($A2954,Accounts!$A:$G,3,FALSE),"")</f>
        <v>0</v>
      </c>
    </row>
    <row r="2955" spans="1:15" x14ac:dyDescent="0.2">
      <c r="A2955" t="str">
        <f t="shared" si="46"/>
        <v/>
      </c>
      <c r="F2955" s="1"/>
      <c r="H2955" s="1"/>
      <c r="I2955" s="2"/>
      <c r="J2955" s="2"/>
      <c r="N2955" s="2"/>
      <c r="O2955">
        <f>IFERROR(VLOOKUP($A2955,Accounts!$A:$G,3,FALSE),"")</f>
        <v>0</v>
      </c>
    </row>
    <row r="2956" spans="1:15" x14ac:dyDescent="0.2">
      <c r="A2956" t="str">
        <f t="shared" si="46"/>
        <v/>
      </c>
      <c r="F2956" s="1"/>
      <c r="H2956" s="1"/>
      <c r="I2956" s="2"/>
      <c r="J2956" s="2"/>
      <c r="N2956" s="2"/>
      <c r="O2956">
        <f>IFERROR(VLOOKUP($A2956,Accounts!$A:$G,3,FALSE),"")</f>
        <v>0</v>
      </c>
    </row>
    <row r="2957" spans="1:15" x14ac:dyDescent="0.2">
      <c r="A2957" t="str">
        <f t="shared" si="46"/>
        <v/>
      </c>
      <c r="F2957" s="1"/>
      <c r="H2957" s="1"/>
      <c r="I2957" s="2"/>
      <c r="J2957" s="2"/>
      <c r="N2957" s="2"/>
      <c r="O2957">
        <f>IFERROR(VLOOKUP($A2957,Accounts!$A:$G,3,FALSE),"")</f>
        <v>0</v>
      </c>
    </row>
    <row r="2958" spans="1:15" x14ac:dyDescent="0.2">
      <c r="A2958" t="str">
        <f t="shared" si="46"/>
        <v/>
      </c>
      <c r="F2958" s="1"/>
      <c r="H2958" s="1"/>
      <c r="I2958" s="2"/>
      <c r="J2958" s="2"/>
      <c r="N2958" s="2"/>
      <c r="O2958">
        <f>IFERROR(VLOOKUP($A2958,Accounts!$A:$G,3,FALSE),"")</f>
        <v>0</v>
      </c>
    </row>
    <row r="2959" spans="1:15" x14ac:dyDescent="0.2">
      <c r="A2959" t="str">
        <f t="shared" si="46"/>
        <v/>
      </c>
      <c r="F2959" s="1"/>
      <c r="H2959" s="1"/>
      <c r="I2959" s="2"/>
      <c r="J2959" s="2"/>
      <c r="N2959" s="2"/>
      <c r="O2959">
        <f>IFERROR(VLOOKUP($A2959,Accounts!$A:$G,3,FALSE),"")</f>
        <v>0</v>
      </c>
    </row>
    <row r="2960" spans="1:15" x14ac:dyDescent="0.2">
      <c r="A2960" t="str">
        <f t="shared" si="46"/>
        <v/>
      </c>
      <c r="F2960" s="1"/>
      <c r="H2960" s="1"/>
      <c r="I2960" s="2"/>
      <c r="J2960" s="2"/>
      <c r="N2960" s="2"/>
      <c r="O2960">
        <f>IFERROR(VLOOKUP($A2960,Accounts!$A:$G,3,FALSE),"")</f>
        <v>0</v>
      </c>
    </row>
    <row r="2961" spans="1:15" x14ac:dyDescent="0.2">
      <c r="A2961" t="str">
        <f t="shared" si="46"/>
        <v/>
      </c>
      <c r="F2961" s="1"/>
      <c r="H2961" s="1"/>
      <c r="I2961" s="2"/>
      <c r="J2961" s="2"/>
      <c r="N2961" s="2"/>
      <c r="O2961">
        <f>IFERROR(VLOOKUP($A2961,Accounts!$A:$G,3,FALSE),"")</f>
        <v>0</v>
      </c>
    </row>
    <row r="2962" spans="1:15" x14ac:dyDescent="0.2">
      <c r="A2962" t="str">
        <f t="shared" si="46"/>
        <v/>
      </c>
      <c r="F2962" s="1"/>
      <c r="H2962" s="1"/>
      <c r="I2962" s="2"/>
      <c r="J2962" s="2"/>
      <c r="N2962" s="2"/>
      <c r="O2962">
        <f>IFERROR(VLOOKUP($A2962,Accounts!$A:$G,3,FALSE),"")</f>
        <v>0</v>
      </c>
    </row>
    <row r="2963" spans="1:15" x14ac:dyDescent="0.2">
      <c r="A2963" t="str">
        <f t="shared" si="46"/>
        <v/>
      </c>
      <c r="F2963" s="1"/>
      <c r="H2963" s="1"/>
      <c r="I2963" s="2"/>
      <c r="J2963" s="2"/>
      <c r="N2963" s="2"/>
      <c r="O2963">
        <f>IFERROR(VLOOKUP($A2963,Accounts!$A:$G,3,FALSE),"")</f>
        <v>0</v>
      </c>
    </row>
    <row r="2964" spans="1:15" x14ac:dyDescent="0.2">
      <c r="A2964" t="str">
        <f t="shared" si="46"/>
        <v/>
      </c>
      <c r="F2964" s="1"/>
      <c r="H2964" s="1"/>
      <c r="I2964" s="2"/>
      <c r="J2964" s="2"/>
      <c r="N2964" s="2"/>
      <c r="O2964">
        <f>IFERROR(VLOOKUP($A2964,Accounts!$A:$G,3,FALSE),"")</f>
        <v>0</v>
      </c>
    </row>
    <row r="2965" spans="1:15" x14ac:dyDescent="0.2">
      <c r="A2965" t="str">
        <f t="shared" si="46"/>
        <v/>
      </c>
      <c r="F2965" s="1"/>
      <c r="H2965" s="1"/>
      <c r="I2965" s="2"/>
      <c r="J2965" s="2"/>
      <c r="N2965" s="2"/>
      <c r="O2965">
        <f>IFERROR(VLOOKUP($A2965,Accounts!$A:$G,3,FALSE),"")</f>
        <v>0</v>
      </c>
    </row>
    <row r="2966" spans="1:15" x14ac:dyDescent="0.2">
      <c r="A2966" t="str">
        <f t="shared" si="46"/>
        <v/>
      </c>
      <c r="F2966" s="1"/>
      <c r="H2966" s="1"/>
      <c r="I2966" s="2"/>
      <c r="J2966" s="2"/>
      <c r="N2966" s="2"/>
      <c r="O2966">
        <f>IFERROR(VLOOKUP($A2966,Accounts!$A:$G,3,FALSE),"")</f>
        <v>0</v>
      </c>
    </row>
    <row r="2967" spans="1:15" x14ac:dyDescent="0.2">
      <c r="A2967" t="str">
        <f t="shared" si="46"/>
        <v/>
      </c>
      <c r="F2967" s="1"/>
      <c r="H2967" s="1"/>
      <c r="I2967" s="2"/>
      <c r="J2967" s="2"/>
      <c r="N2967" s="2"/>
      <c r="O2967">
        <f>IFERROR(VLOOKUP($A2967,Accounts!$A:$G,3,FALSE),"")</f>
        <v>0</v>
      </c>
    </row>
    <row r="2968" spans="1:15" x14ac:dyDescent="0.2">
      <c r="A2968" t="str">
        <f t="shared" si="46"/>
        <v/>
      </c>
      <c r="F2968" s="1"/>
      <c r="H2968" s="1"/>
      <c r="I2968" s="2"/>
      <c r="J2968" s="2"/>
      <c r="N2968" s="2"/>
      <c r="O2968">
        <f>IFERROR(VLOOKUP($A2968,Accounts!$A:$G,3,FALSE),"")</f>
        <v>0</v>
      </c>
    </row>
    <row r="2969" spans="1:15" x14ac:dyDescent="0.2">
      <c r="A2969" t="str">
        <f t="shared" si="46"/>
        <v/>
      </c>
      <c r="F2969" s="1"/>
      <c r="H2969" s="1"/>
      <c r="I2969" s="2"/>
      <c r="J2969" s="2"/>
      <c r="N2969" s="2"/>
      <c r="O2969">
        <f>IFERROR(VLOOKUP($A2969,Accounts!$A:$G,3,FALSE),"")</f>
        <v>0</v>
      </c>
    </row>
    <row r="2970" spans="1:15" x14ac:dyDescent="0.2">
      <c r="A2970" t="str">
        <f t="shared" si="46"/>
        <v/>
      </c>
      <c r="F2970" s="1"/>
      <c r="H2970" s="1"/>
      <c r="I2970" s="2"/>
      <c r="J2970" s="2"/>
      <c r="N2970" s="2"/>
      <c r="O2970">
        <f>IFERROR(VLOOKUP($A2970,Accounts!$A:$G,3,FALSE),"")</f>
        <v>0</v>
      </c>
    </row>
    <row r="2971" spans="1:15" x14ac:dyDescent="0.2">
      <c r="A2971" t="str">
        <f t="shared" si="46"/>
        <v/>
      </c>
      <c r="F2971" s="1"/>
      <c r="H2971" s="1"/>
      <c r="I2971" s="2"/>
      <c r="J2971" s="2"/>
      <c r="N2971" s="2"/>
      <c r="O2971">
        <f>IFERROR(VLOOKUP($A2971,Accounts!$A:$G,3,FALSE),"")</f>
        <v>0</v>
      </c>
    </row>
    <row r="2972" spans="1:15" x14ac:dyDescent="0.2">
      <c r="A2972" t="str">
        <f t="shared" si="46"/>
        <v/>
      </c>
      <c r="B2972" s="3"/>
      <c r="C2972" s="3"/>
      <c r="D2972" s="3"/>
      <c r="E2972" s="3"/>
      <c r="F2972" s="4"/>
      <c r="G2972" s="3"/>
      <c r="H2972" s="4"/>
      <c r="I2972" s="5"/>
      <c r="J2972" s="5"/>
      <c r="K2972" s="3"/>
      <c r="L2972" s="3"/>
      <c r="M2972" s="3"/>
      <c r="N2972" s="5"/>
      <c r="O2972">
        <f>IFERROR(VLOOKUP($A2972,Accounts!$A:$G,3,FALSE),"")</f>
        <v>0</v>
      </c>
    </row>
    <row r="2973" spans="1:15" x14ac:dyDescent="0.2">
      <c r="A2973" t="str">
        <f t="shared" si="46"/>
        <v/>
      </c>
      <c r="B2973" s="3"/>
      <c r="C2973" s="3"/>
      <c r="D2973" s="3"/>
      <c r="E2973" s="3"/>
      <c r="F2973" s="4"/>
      <c r="G2973" s="3"/>
      <c r="H2973" s="4"/>
      <c r="I2973" s="5"/>
      <c r="J2973" s="5"/>
      <c r="K2973" s="3"/>
      <c r="L2973" s="3"/>
      <c r="M2973" s="3"/>
      <c r="N2973" s="5"/>
      <c r="O2973">
        <f>IFERROR(VLOOKUP($A2973,Accounts!$A:$G,3,FALSE),"")</f>
        <v>0</v>
      </c>
    </row>
    <row r="2974" spans="1:15" x14ac:dyDescent="0.2">
      <c r="A2974" t="str">
        <f t="shared" si="46"/>
        <v/>
      </c>
      <c r="F2974" s="1"/>
      <c r="H2974" s="1"/>
      <c r="I2974" s="2"/>
      <c r="J2974" s="2"/>
      <c r="N2974" s="2"/>
      <c r="O2974">
        <f>IFERROR(VLOOKUP($A2974,Accounts!$A:$G,3,FALSE),"")</f>
        <v>0</v>
      </c>
    </row>
    <row r="2975" spans="1:15" x14ac:dyDescent="0.2">
      <c r="A2975" t="str">
        <f t="shared" si="46"/>
        <v/>
      </c>
      <c r="B2975" s="3"/>
      <c r="C2975" s="3"/>
      <c r="D2975" s="3"/>
      <c r="E2975" s="3"/>
      <c r="F2975" s="4"/>
      <c r="G2975" s="3"/>
      <c r="H2975" s="4"/>
      <c r="I2975" s="5"/>
      <c r="J2975" s="5"/>
      <c r="K2975" s="3"/>
      <c r="L2975" s="3"/>
      <c r="M2975" s="3"/>
      <c r="N2975" s="5"/>
      <c r="O2975">
        <f>IFERROR(VLOOKUP($A2975,Accounts!$A:$G,3,FALSE),"")</f>
        <v>0</v>
      </c>
    </row>
    <row r="2976" spans="1:15" x14ac:dyDescent="0.2">
      <c r="A2976" t="str">
        <f t="shared" si="46"/>
        <v/>
      </c>
      <c r="F2976" s="1"/>
      <c r="H2976" s="1"/>
      <c r="I2976" s="2"/>
      <c r="J2976" s="2"/>
      <c r="N2976" s="2"/>
      <c r="O2976">
        <f>IFERROR(VLOOKUP($A2976,Accounts!$A:$G,3,FALSE),"")</f>
        <v>0</v>
      </c>
    </row>
    <row r="2977" spans="1:15" x14ac:dyDescent="0.2">
      <c r="A2977" t="str">
        <f t="shared" si="46"/>
        <v/>
      </c>
      <c r="F2977" s="1"/>
      <c r="H2977" s="1"/>
      <c r="I2977" s="2"/>
      <c r="J2977" s="2"/>
      <c r="N2977" s="2"/>
      <c r="O2977">
        <f>IFERROR(VLOOKUP($A2977,Accounts!$A:$G,3,FALSE),"")</f>
        <v>0</v>
      </c>
    </row>
    <row r="2978" spans="1:15" x14ac:dyDescent="0.2">
      <c r="A2978" t="str">
        <f t="shared" si="46"/>
        <v/>
      </c>
      <c r="F2978" s="1"/>
      <c r="H2978" s="1"/>
      <c r="I2978" s="2"/>
      <c r="J2978" s="2"/>
      <c r="N2978" s="2"/>
      <c r="O2978">
        <f>IFERROR(VLOOKUP($A2978,Accounts!$A:$G,3,FALSE),"")</f>
        <v>0</v>
      </c>
    </row>
    <row r="2979" spans="1:15" x14ac:dyDescent="0.2">
      <c r="A2979" t="str">
        <f t="shared" si="46"/>
        <v/>
      </c>
      <c r="F2979" s="1"/>
      <c r="H2979" s="1"/>
      <c r="I2979" s="2"/>
      <c r="J2979" s="2"/>
      <c r="N2979" s="2"/>
      <c r="O2979">
        <f>IFERROR(VLOOKUP($A2979,Accounts!$A:$G,3,FALSE),"")</f>
        <v>0</v>
      </c>
    </row>
    <row r="2980" spans="1:15" x14ac:dyDescent="0.2">
      <c r="A2980" t="str">
        <f t="shared" si="46"/>
        <v/>
      </c>
      <c r="F2980" s="1"/>
      <c r="H2980" s="1"/>
      <c r="I2980" s="2"/>
      <c r="J2980" s="2"/>
      <c r="N2980" s="2"/>
      <c r="O2980">
        <f>IFERROR(VLOOKUP($A2980,Accounts!$A:$G,3,FALSE),"")</f>
        <v>0</v>
      </c>
    </row>
    <row r="2981" spans="1:15" x14ac:dyDescent="0.2">
      <c r="A2981" t="str">
        <f t="shared" si="46"/>
        <v/>
      </c>
      <c r="B2981" s="3"/>
      <c r="C2981" s="3"/>
      <c r="D2981" s="3"/>
      <c r="E2981" s="3"/>
      <c r="F2981" s="4"/>
      <c r="G2981" s="3"/>
      <c r="H2981" s="4"/>
      <c r="I2981" s="5"/>
      <c r="J2981" s="5"/>
      <c r="K2981" s="3"/>
      <c r="L2981" s="3"/>
      <c r="M2981" s="3"/>
      <c r="N2981" s="5"/>
      <c r="O2981">
        <f>IFERROR(VLOOKUP($A2981,Accounts!$A:$G,3,FALSE),"")</f>
        <v>0</v>
      </c>
    </row>
    <row r="2982" spans="1:15" x14ac:dyDescent="0.2">
      <c r="A2982" t="str">
        <f t="shared" si="46"/>
        <v/>
      </c>
      <c r="F2982" s="1"/>
      <c r="H2982" s="1"/>
      <c r="I2982" s="2"/>
      <c r="J2982" s="2"/>
      <c r="N2982" s="2"/>
      <c r="O2982">
        <f>IFERROR(VLOOKUP($A2982,Accounts!$A:$G,3,FALSE),"")</f>
        <v>0</v>
      </c>
    </row>
    <row r="2983" spans="1:15" x14ac:dyDescent="0.2">
      <c r="A2983" t="str">
        <f t="shared" si="46"/>
        <v/>
      </c>
      <c r="F2983" s="1"/>
      <c r="H2983" s="1"/>
      <c r="I2983" s="2"/>
      <c r="J2983" s="2"/>
      <c r="N2983" s="2"/>
      <c r="O2983">
        <f>IFERROR(VLOOKUP($A2983,Accounts!$A:$G,3,FALSE),"")</f>
        <v>0</v>
      </c>
    </row>
    <row r="2984" spans="1:15" x14ac:dyDescent="0.2">
      <c r="A2984" t="str">
        <f t="shared" si="46"/>
        <v/>
      </c>
      <c r="F2984" s="1"/>
      <c r="H2984" s="1"/>
      <c r="I2984" s="2"/>
      <c r="J2984" s="2"/>
      <c r="N2984" s="2"/>
      <c r="O2984">
        <f>IFERROR(VLOOKUP($A2984,Accounts!$A:$G,3,FALSE),"")</f>
        <v>0</v>
      </c>
    </row>
    <row r="2985" spans="1:15" x14ac:dyDescent="0.2">
      <c r="A2985" t="str">
        <f t="shared" si="46"/>
        <v/>
      </c>
      <c r="F2985" s="1"/>
      <c r="H2985" s="1"/>
      <c r="I2985" s="2"/>
      <c r="J2985" s="2"/>
      <c r="N2985" s="2"/>
      <c r="O2985">
        <f>IFERROR(VLOOKUP($A2985,Accounts!$A:$G,3,FALSE),"")</f>
        <v>0</v>
      </c>
    </row>
    <row r="2986" spans="1:15" x14ac:dyDescent="0.2">
      <c r="A2986" t="str">
        <f t="shared" si="46"/>
        <v/>
      </c>
      <c r="B2986" s="3"/>
      <c r="C2986" s="3"/>
      <c r="D2986" s="3"/>
      <c r="E2986" s="3"/>
      <c r="F2986" s="4"/>
      <c r="G2986" s="3"/>
      <c r="H2986" s="4"/>
      <c r="I2986" s="5"/>
      <c r="J2986" s="5"/>
      <c r="K2986" s="3"/>
      <c r="L2986" s="3"/>
      <c r="M2986" s="3"/>
      <c r="N2986" s="5"/>
      <c r="O2986">
        <f>IFERROR(VLOOKUP($A2986,Accounts!$A:$G,3,FALSE),"")</f>
        <v>0</v>
      </c>
    </row>
    <row r="2987" spans="1:15" x14ac:dyDescent="0.2">
      <c r="A2987" t="str">
        <f t="shared" si="46"/>
        <v/>
      </c>
      <c r="F2987" s="1"/>
      <c r="H2987" s="1"/>
      <c r="I2987" s="2"/>
      <c r="J2987" s="2"/>
      <c r="N2987" s="2"/>
      <c r="O2987">
        <f>IFERROR(VLOOKUP($A2987,Accounts!$A:$G,3,FALSE),"")</f>
        <v>0</v>
      </c>
    </row>
    <row r="2988" spans="1:15" x14ac:dyDescent="0.2">
      <c r="A2988" t="str">
        <f t="shared" si="46"/>
        <v/>
      </c>
      <c r="F2988" s="1"/>
      <c r="H2988" s="1"/>
      <c r="I2988" s="2"/>
      <c r="J2988" s="2"/>
      <c r="N2988" s="2"/>
      <c r="O2988">
        <f>IFERROR(VLOOKUP($A2988,Accounts!$A:$G,3,FALSE),"")</f>
        <v>0</v>
      </c>
    </row>
    <row r="2989" spans="1:15" x14ac:dyDescent="0.2">
      <c r="A2989" t="str">
        <f t="shared" si="46"/>
        <v/>
      </c>
      <c r="F2989" s="1"/>
      <c r="H2989" s="1"/>
      <c r="I2989" s="2"/>
      <c r="J2989" s="2"/>
      <c r="N2989" s="2"/>
      <c r="O2989">
        <f>IFERROR(VLOOKUP($A2989,Accounts!$A:$G,3,FALSE),"")</f>
        <v>0</v>
      </c>
    </row>
    <row r="2990" spans="1:15" x14ac:dyDescent="0.2">
      <c r="A2990" t="str">
        <f t="shared" si="46"/>
        <v/>
      </c>
      <c r="F2990" s="1"/>
      <c r="H2990" s="1"/>
      <c r="I2990" s="2"/>
      <c r="J2990" s="2"/>
      <c r="N2990" s="2"/>
      <c r="O2990">
        <f>IFERROR(VLOOKUP($A2990,Accounts!$A:$G,3,FALSE),"")</f>
        <v>0</v>
      </c>
    </row>
    <row r="2991" spans="1:15" x14ac:dyDescent="0.2">
      <c r="A2991" t="str">
        <f t="shared" si="46"/>
        <v/>
      </c>
      <c r="F2991" s="1"/>
      <c r="H2991" s="1"/>
      <c r="I2991" s="2"/>
      <c r="J2991" s="2"/>
      <c r="N2991" s="2"/>
      <c r="O2991">
        <f>IFERROR(VLOOKUP($A2991,Accounts!$A:$G,3,FALSE),"")</f>
        <v>0</v>
      </c>
    </row>
    <row r="2992" spans="1:15" x14ac:dyDescent="0.2">
      <c r="A2992" t="str">
        <f t="shared" si="46"/>
        <v/>
      </c>
      <c r="F2992" s="1"/>
      <c r="H2992" s="1"/>
      <c r="I2992" s="2"/>
      <c r="J2992" s="2"/>
      <c r="N2992" s="2"/>
      <c r="O2992">
        <f>IFERROR(VLOOKUP($A2992,Accounts!$A:$G,3,FALSE),"")</f>
        <v>0</v>
      </c>
    </row>
    <row r="2993" spans="1:15" x14ac:dyDescent="0.2">
      <c r="A2993" t="str">
        <f t="shared" si="46"/>
        <v/>
      </c>
      <c r="F2993" s="1"/>
      <c r="H2993" s="1"/>
      <c r="I2993" s="2"/>
      <c r="J2993" s="2"/>
      <c r="N2993" s="2"/>
      <c r="O2993">
        <f>IFERROR(VLOOKUP($A2993,Accounts!$A:$G,3,FALSE),"")</f>
        <v>0</v>
      </c>
    </row>
    <row r="2994" spans="1:15" x14ac:dyDescent="0.2">
      <c r="A2994" t="str">
        <f t="shared" si="46"/>
        <v/>
      </c>
      <c r="F2994" s="1"/>
      <c r="H2994" s="1"/>
      <c r="I2994" s="2"/>
      <c r="J2994" s="2"/>
      <c r="N2994" s="2"/>
      <c r="O2994">
        <f>IFERROR(VLOOKUP($A2994,Accounts!$A:$G,3,FALSE),"")</f>
        <v>0</v>
      </c>
    </row>
    <row r="2995" spans="1:15" x14ac:dyDescent="0.2">
      <c r="A2995" t="str">
        <f t="shared" si="46"/>
        <v/>
      </c>
      <c r="F2995" s="1"/>
      <c r="H2995" s="1"/>
      <c r="I2995" s="2"/>
      <c r="J2995" s="2"/>
      <c r="N2995" s="2"/>
      <c r="O2995">
        <f>IFERROR(VLOOKUP($A2995,Accounts!$A:$G,3,FALSE),"")</f>
        <v>0</v>
      </c>
    </row>
    <row r="2996" spans="1:15" x14ac:dyDescent="0.2">
      <c r="A2996" t="str">
        <f t="shared" si="46"/>
        <v/>
      </c>
      <c r="F2996" s="1"/>
      <c r="H2996" s="1"/>
      <c r="I2996" s="2"/>
      <c r="J2996" s="2"/>
      <c r="N2996" s="2"/>
      <c r="O2996">
        <f>IFERROR(VLOOKUP($A2996,Accounts!$A:$G,3,FALSE),"")</f>
        <v>0</v>
      </c>
    </row>
    <row r="2997" spans="1:15" x14ac:dyDescent="0.2">
      <c r="A2997" t="str">
        <f t="shared" si="46"/>
        <v/>
      </c>
      <c r="F2997" s="1"/>
      <c r="H2997" s="1"/>
      <c r="I2997" s="2"/>
      <c r="J2997" s="2"/>
      <c r="N2997" s="2"/>
      <c r="O2997">
        <f>IFERROR(VLOOKUP($A2997,Accounts!$A:$G,3,FALSE),"")</f>
        <v>0</v>
      </c>
    </row>
    <row r="2998" spans="1:15" x14ac:dyDescent="0.2">
      <c r="A2998" t="str">
        <f t="shared" si="46"/>
        <v/>
      </c>
      <c r="F2998" s="1"/>
      <c r="H2998" s="1"/>
      <c r="I2998" s="2"/>
      <c r="J2998" s="2"/>
      <c r="N2998" s="2"/>
      <c r="O2998">
        <f>IFERROR(VLOOKUP($A2998,Accounts!$A:$G,3,FALSE),"")</f>
        <v>0</v>
      </c>
    </row>
    <row r="2999" spans="1:15" x14ac:dyDescent="0.2">
      <c r="A2999" t="str">
        <f t="shared" si="46"/>
        <v/>
      </c>
      <c r="F2999" s="1"/>
      <c r="H2999" s="1"/>
      <c r="I2999" s="2"/>
      <c r="J2999" s="2"/>
      <c r="N2999" s="2"/>
      <c r="O2999">
        <f>IFERROR(VLOOKUP($A2999,Accounts!$A:$G,3,FALSE),"")</f>
        <v>0</v>
      </c>
    </row>
    <row r="3000" spans="1:15" x14ac:dyDescent="0.2">
      <c r="A3000" t="str">
        <f t="shared" si="46"/>
        <v/>
      </c>
      <c r="F3000" s="1"/>
      <c r="H3000" s="1"/>
      <c r="I3000" s="2"/>
      <c r="J3000" s="2"/>
      <c r="N3000" s="2"/>
      <c r="O3000">
        <f>IFERROR(VLOOKUP($A3000,Accounts!$A:$G,3,FALSE),"")</f>
        <v>0</v>
      </c>
    </row>
    <row r="3001" spans="1:15" x14ac:dyDescent="0.2">
      <c r="A3001" t="str">
        <f t="shared" si="46"/>
        <v/>
      </c>
      <c r="B3001" s="3"/>
      <c r="C3001" s="3"/>
      <c r="D3001" s="3"/>
      <c r="E3001" s="3"/>
      <c r="F3001" s="4"/>
      <c r="G3001" s="3"/>
      <c r="H3001" s="4"/>
      <c r="I3001" s="5"/>
      <c r="J3001" s="5"/>
      <c r="K3001" s="3"/>
      <c r="L3001" s="3"/>
      <c r="M3001" s="3"/>
      <c r="N3001" s="5"/>
      <c r="O3001">
        <f>IFERROR(VLOOKUP($A3001,Accounts!$A:$G,3,FALSE),"")</f>
        <v>0</v>
      </c>
    </row>
    <row r="3002" spans="1:15" x14ac:dyDescent="0.2">
      <c r="A3002" t="str">
        <f t="shared" si="46"/>
        <v/>
      </c>
      <c r="F3002" s="1"/>
      <c r="H3002" s="1"/>
      <c r="I3002" s="2"/>
      <c r="J3002" s="2"/>
      <c r="N3002" s="2"/>
      <c r="O3002">
        <f>IFERROR(VLOOKUP($A3002,Accounts!$A:$G,3,FALSE),"")</f>
        <v>0</v>
      </c>
    </row>
    <row r="3003" spans="1:15" x14ac:dyDescent="0.2">
      <c r="A3003" t="str">
        <f t="shared" si="46"/>
        <v/>
      </c>
      <c r="F3003" s="1"/>
      <c r="H3003" s="1"/>
      <c r="I3003" s="2"/>
      <c r="J3003" s="2"/>
      <c r="N3003" s="2"/>
      <c r="O3003">
        <f>IFERROR(VLOOKUP($A3003,Accounts!$A:$G,3,FALSE),"")</f>
        <v>0</v>
      </c>
    </row>
    <row r="3004" spans="1:15" x14ac:dyDescent="0.2">
      <c r="A3004" t="str">
        <f t="shared" si="46"/>
        <v/>
      </c>
      <c r="F3004" s="1"/>
      <c r="H3004" s="1"/>
      <c r="I3004" s="2"/>
      <c r="J3004" s="2"/>
      <c r="N3004" s="2"/>
      <c r="O3004">
        <f>IFERROR(VLOOKUP($A3004,Accounts!$A:$G,3,FALSE),"")</f>
        <v>0</v>
      </c>
    </row>
    <row r="3005" spans="1:15" x14ac:dyDescent="0.2">
      <c r="A3005" t="str">
        <f t="shared" si="46"/>
        <v/>
      </c>
      <c r="F3005" s="1"/>
      <c r="H3005" s="1"/>
      <c r="I3005" s="2"/>
      <c r="J3005" s="2"/>
      <c r="N3005" s="2"/>
      <c r="O3005">
        <f>IFERROR(VLOOKUP($A3005,Accounts!$A:$G,3,FALSE),"")</f>
        <v>0</v>
      </c>
    </row>
    <row r="3006" spans="1:15" x14ac:dyDescent="0.2">
      <c r="A3006" t="str">
        <f t="shared" si="46"/>
        <v/>
      </c>
      <c r="F3006" s="1"/>
      <c r="H3006" s="1"/>
      <c r="I3006" s="2"/>
      <c r="J3006" s="2"/>
      <c r="N3006" s="2"/>
      <c r="O3006">
        <f>IFERROR(VLOOKUP($A3006,Accounts!$A:$G,3,FALSE),"")</f>
        <v>0</v>
      </c>
    </row>
    <row r="3007" spans="1:15" x14ac:dyDescent="0.2">
      <c r="A3007" t="str">
        <f t="shared" si="46"/>
        <v/>
      </c>
      <c r="F3007" s="1"/>
      <c r="H3007" s="1"/>
      <c r="I3007" s="2"/>
      <c r="J3007" s="2"/>
      <c r="N3007" s="2"/>
      <c r="O3007">
        <f>IFERROR(VLOOKUP($A3007,Accounts!$A:$G,3,FALSE),"")</f>
        <v>0</v>
      </c>
    </row>
    <row r="3008" spans="1:15" x14ac:dyDescent="0.2">
      <c r="A3008" t="str">
        <f t="shared" si="46"/>
        <v/>
      </c>
      <c r="F3008" s="1"/>
      <c r="H3008" s="1"/>
      <c r="I3008" s="2"/>
      <c r="J3008" s="2"/>
      <c r="N3008" s="2"/>
      <c r="O3008">
        <f>IFERROR(VLOOKUP($A3008,Accounts!$A:$G,3,FALSE),"")</f>
        <v>0</v>
      </c>
    </row>
    <row r="3009" spans="1:15" x14ac:dyDescent="0.2">
      <c r="A3009" t="str">
        <f t="shared" si="46"/>
        <v/>
      </c>
      <c r="F3009" s="1"/>
      <c r="H3009" s="1"/>
      <c r="I3009" s="2"/>
      <c r="J3009" s="2"/>
      <c r="N3009" s="2"/>
      <c r="O3009">
        <f>IFERROR(VLOOKUP($A3009,Accounts!$A:$G,3,FALSE),"")</f>
        <v>0</v>
      </c>
    </row>
    <row r="3010" spans="1:15" x14ac:dyDescent="0.2">
      <c r="A3010" t="str">
        <f t="shared" si="46"/>
        <v/>
      </c>
      <c r="F3010" s="1"/>
      <c r="H3010" s="1"/>
      <c r="I3010" s="2"/>
      <c r="J3010" s="2"/>
      <c r="N3010" s="2"/>
      <c r="O3010">
        <f>IFERROR(VLOOKUP($A3010,Accounts!$A:$G,3,FALSE),"")</f>
        <v>0</v>
      </c>
    </row>
    <row r="3011" spans="1:15" x14ac:dyDescent="0.2">
      <c r="A3011" t="str">
        <f t="shared" si="46"/>
        <v/>
      </c>
      <c r="F3011" s="1"/>
      <c r="H3011" s="1"/>
      <c r="I3011" s="2"/>
      <c r="J3011" s="2"/>
      <c r="N3011" s="2"/>
      <c r="O3011">
        <f>IFERROR(VLOOKUP($A3011,Accounts!$A:$G,3,FALSE),"")</f>
        <v>0</v>
      </c>
    </row>
    <row r="3012" spans="1:15" x14ac:dyDescent="0.2">
      <c r="A3012" t="str">
        <f t="shared" si="46"/>
        <v/>
      </c>
      <c r="F3012" s="1"/>
      <c r="H3012" s="1"/>
      <c r="I3012" s="2"/>
      <c r="J3012" s="2"/>
      <c r="N3012" s="2"/>
      <c r="O3012">
        <f>IFERROR(VLOOKUP($A3012,Accounts!$A:$G,3,FALSE),"")</f>
        <v>0</v>
      </c>
    </row>
    <row r="3013" spans="1:15" x14ac:dyDescent="0.2">
      <c r="A3013" t="str">
        <f t="shared" si="46"/>
        <v/>
      </c>
      <c r="F3013" s="1"/>
      <c r="H3013" s="1"/>
      <c r="I3013" s="2"/>
      <c r="J3013" s="2"/>
      <c r="N3013" s="2"/>
      <c r="O3013">
        <f>IFERROR(VLOOKUP($A3013,Accounts!$A:$G,3,FALSE),"")</f>
        <v>0</v>
      </c>
    </row>
    <row r="3014" spans="1:15" x14ac:dyDescent="0.2">
      <c r="A3014" t="str">
        <f t="shared" si="46"/>
        <v/>
      </c>
      <c r="F3014" s="1"/>
      <c r="H3014" s="1"/>
      <c r="I3014" s="2"/>
      <c r="J3014" s="2"/>
      <c r="N3014" s="2"/>
      <c r="O3014">
        <f>IFERROR(VLOOKUP($A3014,Accounts!$A:$G,3,FALSE),"")</f>
        <v>0</v>
      </c>
    </row>
    <row r="3015" spans="1:15" x14ac:dyDescent="0.2">
      <c r="A3015" t="str">
        <f t="shared" si="46"/>
        <v/>
      </c>
      <c r="F3015" s="1"/>
      <c r="H3015" s="1"/>
      <c r="I3015" s="2"/>
      <c r="J3015" s="2"/>
      <c r="N3015" s="2"/>
      <c r="O3015">
        <f>IFERROR(VLOOKUP($A3015,Accounts!$A:$G,3,FALSE),"")</f>
        <v>0</v>
      </c>
    </row>
    <row r="3016" spans="1:15" x14ac:dyDescent="0.2">
      <c r="A3016" t="str">
        <f t="shared" si="46"/>
        <v/>
      </c>
      <c r="F3016" s="1"/>
      <c r="H3016" s="1"/>
      <c r="I3016" s="2"/>
      <c r="J3016" s="2"/>
      <c r="N3016" s="2"/>
      <c r="O3016">
        <f>IFERROR(VLOOKUP($A3016,Accounts!$A:$G,3,FALSE),"")</f>
        <v>0</v>
      </c>
    </row>
    <row r="3017" spans="1:15" x14ac:dyDescent="0.2">
      <c r="A3017" t="str">
        <f t="shared" si="46"/>
        <v/>
      </c>
      <c r="F3017" s="1"/>
      <c r="H3017" s="1"/>
      <c r="I3017" s="2"/>
      <c r="J3017" s="2"/>
      <c r="N3017" s="2"/>
      <c r="O3017">
        <f>IFERROR(VLOOKUP($A3017,Accounts!$A:$G,3,FALSE),"")</f>
        <v>0</v>
      </c>
    </row>
    <row r="3018" spans="1:15" x14ac:dyDescent="0.2">
      <c r="A3018" t="str">
        <f t="shared" ref="A3018:A3081" si="47">IFERROR(IF(J3018=0,E3018&amp;C3018&amp;I3018,G3018&amp;B3018&amp;J3018),"")</f>
        <v/>
      </c>
      <c r="F3018" s="1"/>
      <c r="H3018" s="1"/>
      <c r="I3018" s="2"/>
      <c r="J3018" s="2"/>
      <c r="N3018" s="2"/>
      <c r="O3018">
        <f>IFERROR(VLOOKUP($A3018,Accounts!$A:$G,3,FALSE),"")</f>
        <v>0</v>
      </c>
    </row>
    <row r="3019" spans="1:15" x14ac:dyDescent="0.2">
      <c r="A3019" t="str">
        <f t="shared" si="47"/>
        <v/>
      </c>
      <c r="F3019" s="1"/>
      <c r="H3019" s="1"/>
      <c r="I3019" s="2"/>
      <c r="J3019" s="2"/>
      <c r="N3019" s="2"/>
      <c r="O3019">
        <f>IFERROR(VLOOKUP($A3019,Accounts!$A:$G,3,FALSE),"")</f>
        <v>0</v>
      </c>
    </row>
    <row r="3020" spans="1:15" x14ac:dyDescent="0.2">
      <c r="A3020" t="str">
        <f t="shared" si="47"/>
        <v/>
      </c>
      <c r="F3020" s="1"/>
      <c r="H3020" s="1"/>
      <c r="I3020" s="2"/>
      <c r="J3020" s="2"/>
      <c r="N3020" s="2"/>
      <c r="O3020">
        <f>IFERROR(VLOOKUP($A3020,Accounts!$A:$G,3,FALSE),"")</f>
        <v>0</v>
      </c>
    </row>
    <row r="3021" spans="1:15" x14ac:dyDescent="0.2">
      <c r="A3021" t="str">
        <f t="shared" si="47"/>
        <v/>
      </c>
      <c r="F3021" s="1"/>
      <c r="H3021" s="1"/>
      <c r="I3021" s="2"/>
      <c r="J3021" s="2"/>
      <c r="N3021" s="2"/>
      <c r="O3021">
        <f>IFERROR(VLOOKUP($A3021,Accounts!$A:$G,3,FALSE),"")</f>
        <v>0</v>
      </c>
    </row>
    <row r="3022" spans="1:15" x14ac:dyDescent="0.2">
      <c r="A3022" t="str">
        <f t="shared" si="47"/>
        <v/>
      </c>
      <c r="F3022" s="1"/>
      <c r="H3022" s="1"/>
      <c r="I3022" s="2"/>
      <c r="J3022" s="2"/>
      <c r="N3022" s="2"/>
      <c r="O3022">
        <f>IFERROR(VLOOKUP($A3022,Accounts!$A:$G,3,FALSE),"")</f>
        <v>0</v>
      </c>
    </row>
    <row r="3023" spans="1:15" x14ac:dyDescent="0.2">
      <c r="A3023" t="str">
        <f t="shared" si="47"/>
        <v/>
      </c>
      <c r="F3023" s="1"/>
      <c r="H3023" s="1"/>
      <c r="I3023" s="2"/>
      <c r="J3023" s="2"/>
      <c r="N3023" s="2"/>
      <c r="O3023">
        <f>IFERROR(VLOOKUP($A3023,Accounts!$A:$G,3,FALSE),"")</f>
        <v>0</v>
      </c>
    </row>
    <row r="3024" spans="1:15" x14ac:dyDescent="0.2">
      <c r="A3024" t="str">
        <f t="shared" si="47"/>
        <v/>
      </c>
      <c r="F3024" s="1"/>
      <c r="H3024" s="1"/>
      <c r="I3024" s="2"/>
      <c r="J3024" s="2"/>
      <c r="N3024" s="2"/>
      <c r="O3024">
        <f>IFERROR(VLOOKUP($A3024,Accounts!$A:$G,3,FALSE),"")</f>
        <v>0</v>
      </c>
    </row>
    <row r="3025" spans="1:15" x14ac:dyDescent="0.2">
      <c r="A3025" t="str">
        <f t="shared" si="47"/>
        <v/>
      </c>
      <c r="F3025" s="1"/>
      <c r="H3025" s="1"/>
      <c r="I3025" s="2"/>
      <c r="J3025" s="2"/>
      <c r="N3025" s="2"/>
      <c r="O3025">
        <f>IFERROR(VLOOKUP($A3025,Accounts!$A:$G,3,FALSE),"")</f>
        <v>0</v>
      </c>
    </row>
    <row r="3026" spans="1:15" x14ac:dyDescent="0.2">
      <c r="A3026" t="str">
        <f t="shared" si="47"/>
        <v/>
      </c>
      <c r="F3026" s="1"/>
      <c r="H3026" s="1"/>
      <c r="I3026" s="2"/>
      <c r="J3026" s="2"/>
      <c r="N3026" s="2"/>
      <c r="O3026">
        <f>IFERROR(VLOOKUP($A3026,Accounts!$A:$G,3,FALSE),"")</f>
        <v>0</v>
      </c>
    </row>
    <row r="3027" spans="1:15" x14ac:dyDescent="0.2">
      <c r="A3027" t="str">
        <f t="shared" si="47"/>
        <v/>
      </c>
      <c r="F3027" s="1"/>
      <c r="H3027" s="1"/>
      <c r="I3027" s="2"/>
      <c r="J3027" s="2"/>
      <c r="N3027" s="2"/>
      <c r="O3027">
        <f>IFERROR(VLOOKUP($A3027,Accounts!$A:$G,3,FALSE),"")</f>
        <v>0</v>
      </c>
    </row>
    <row r="3028" spans="1:15" x14ac:dyDescent="0.2">
      <c r="A3028" t="str">
        <f t="shared" si="47"/>
        <v/>
      </c>
      <c r="F3028" s="1"/>
      <c r="H3028" s="1"/>
      <c r="I3028" s="2"/>
      <c r="J3028" s="2"/>
      <c r="N3028" s="2"/>
      <c r="O3028">
        <f>IFERROR(VLOOKUP($A3028,Accounts!$A:$G,3,FALSE),"")</f>
        <v>0</v>
      </c>
    </row>
    <row r="3029" spans="1:15" x14ac:dyDescent="0.2">
      <c r="A3029" t="str">
        <f t="shared" si="47"/>
        <v/>
      </c>
      <c r="F3029" s="1"/>
      <c r="H3029" s="1"/>
      <c r="I3029" s="2"/>
      <c r="J3029" s="2"/>
      <c r="N3029" s="2"/>
      <c r="O3029">
        <f>IFERROR(VLOOKUP($A3029,Accounts!$A:$G,3,FALSE),"")</f>
        <v>0</v>
      </c>
    </row>
    <row r="3030" spans="1:15" x14ac:dyDescent="0.2">
      <c r="A3030" t="str">
        <f t="shared" si="47"/>
        <v/>
      </c>
      <c r="F3030" s="1"/>
      <c r="H3030" s="1"/>
      <c r="I3030" s="2"/>
      <c r="J3030" s="2"/>
      <c r="N3030" s="2"/>
      <c r="O3030">
        <f>IFERROR(VLOOKUP($A3030,Accounts!$A:$G,3,FALSE),"")</f>
        <v>0</v>
      </c>
    </row>
    <row r="3031" spans="1:15" x14ac:dyDescent="0.2">
      <c r="A3031" t="str">
        <f t="shared" si="47"/>
        <v/>
      </c>
      <c r="F3031" s="1"/>
      <c r="H3031" s="1"/>
      <c r="I3031" s="2"/>
      <c r="J3031" s="2"/>
      <c r="N3031" s="2"/>
      <c r="O3031">
        <f>IFERROR(VLOOKUP($A3031,Accounts!$A:$G,3,FALSE),"")</f>
        <v>0</v>
      </c>
    </row>
    <row r="3032" spans="1:15" x14ac:dyDescent="0.2">
      <c r="A3032" t="str">
        <f t="shared" si="47"/>
        <v/>
      </c>
      <c r="F3032" s="1"/>
      <c r="H3032" s="1"/>
      <c r="I3032" s="2"/>
      <c r="J3032" s="2"/>
      <c r="N3032" s="2"/>
      <c r="O3032">
        <f>IFERROR(VLOOKUP($A3032,Accounts!$A:$G,3,FALSE),"")</f>
        <v>0</v>
      </c>
    </row>
    <row r="3033" spans="1:15" x14ac:dyDescent="0.2">
      <c r="A3033" t="str">
        <f t="shared" si="47"/>
        <v/>
      </c>
      <c r="F3033" s="1"/>
      <c r="H3033" s="1"/>
      <c r="I3033" s="2"/>
      <c r="J3033" s="2"/>
      <c r="N3033" s="2"/>
      <c r="O3033">
        <f>IFERROR(VLOOKUP($A3033,Accounts!$A:$G,3,FALSE),"")</f>
        <v>0</v>
      </c>
    </row>
    <row r="3034" spans="1:15" x14ac:dyDescent="0.2">
      <c r="A3034" t="str">
        <f t="shared" si="47"/>
        <v/>
      </c>
      <c r="F3034" s="1"/>
      <c r="H3034" s="1"/>
      <c r="I3034" s="2"/>
      <c r="J3034" s="2"/>
      <c r="N3034" s="2"/>
      <c r="O3034">
        <f>IFERROR(VLOOKUP($A3034,Accounts!$A:$G,3,FALSE),"")</f>
        <v>0</v>
      </c>
    </row>
    <row r="3035" spans="1:15" x14ac:dyDescent="0.2">
      <c r="A3035" t="str">
        <f t="shared" si="47"/>
        <v/>
      </c>
      <c r="F3035" s="1"/>
      <c r="H3035" s="1"/>
      <c r="I3035" s="2"/>
      <c r="J3035" s="2"/>
      <c r="N3035" s="2"/>
      <c r="O3035">
        <f>IFERROR(VLOOKUP($A3035,Accounts!$A:$G,3,FALSE),"")</f>
        <v>0</v>
      </c>
    </row>
    <row r="3036" spans="1:15" x14ac:dyDescent="0.2">
      <c r="A3036" t="str">
        <f t="shared" si="47"/>
        <v/>
      </c>
      <c r="F3036" s="1"/>
      <c r="H3036" s="1"/>
      <c r="I3036" s="2"/>
      <c r="J3036" s="2"/>
      <c r="N3036" s="2"/>
      <c r="O3036">
        <f>IFERROR(VLOOKUP($A3036,Accounts!$A:$G,3,FALSE),"")</f>
        <v>0</v>
      </c>
    </row>
    <row r="3037" spans="1:15" x14ac:dyDescent="0.2">
      <c r="A3037" t="str">
        <f t="shared" si="47"/>
        <v/>
      </c>
      <c r="F3037" s="1"/>
      <c r="H3037" s="1"/>
      <c r="I3037" s="2"/>
      <c r="J3037" s="2"/>
      <c r="N3037" s="2"/>
      <c r="O3037">
        <f>IFERROR(VLOOKUP($A3037,Accounts!$A:$G,3,FALSE),"")</f>
        <v>0</v>
      </c>
    </row>
    <row r="3038" spans="1:15" x14ac:dyDescent="0.2">
      <c r="A3038" t="str">
        <f t="shared" si="47"/>
        <v/>
      </c>
      <c r="F3038" s="1"/>
      <c r="H3038" s="1"/>
      <c r="I3038" s="2"/>
      <c r="J3038" s="2"/>
      <c r="N3038" s="2"/>
      <c r="O3038">
        <f>IFERROR(VLOOKUP($A3038,Accounts!$A:$G,3,FALSE),"")</f>
        <v>0</v>
      </c>
    </row>
    <row r="3039" spans="1:15" x14ac:dyDescent="0.2">
      <c r="A3039" t="str">
        <f t="shared" si="47"/>
        <v/>
      </c>
      <c r="F3039" s="1"/>
      <c r="H3039" s="1"/>
      <c r="I3039" s="2"/>
      <c r="J3039" s="2"/>
      <c r="N3039" s="2"/>
      <c r="O3039">
        <f>IFERROR(VLOOKUP($A3039,Accounts!$A:$G,3,FALSE),"")</f>
        <v>0</v>
      </c>
    </row>
    <row r="3040" spans="1:15" x14ac:dyDescent="0.2">
      <c r="A3040" t="str">
        <f t="shared" si="47"/>
        <v/>
      </c>
      <c r="F3040" s="1"/>
      <c r="H3040" s="1"/>
      <c r="I3040" s="2"/>
      <c r="J3040" s="2"/>
      <c r="N3040" s="2"/>
      <c r="O3040">
        <f>IFERROR(VLOOKUP($A3040,Accounts!$A:$G,3,FALSE),"")</f>
        <v>0</v>
      </c>
    </row>
    <row r="3041" spans="1:15" x14ac:dyDescent="0.2">
      <c r="A3041" t="str">
        <f t="shared" si="47"/>
        <v/>
      </c>
      <c r="F3041" s="1"/>
      <c r="H3041" s="1"/>
      <c r="I3041" s="2"/>
      <c r="J3041" s="2"/>
      <c r="N3041" s="2"/>
      <c r="O3041">
        <f>IFERROR(VLOOKUP($A3041,Accounts!$A:$G,3,FALSE),"")</f>
        <v>0</v>
      </c>
    </row>
    <row r="3042" spans="1:15" x14ac:dyDescent="0.2">
      <c r="A3042" t="str">
        <f t="shared" si="47"/>
        <v/>
      </c>
      <c r="F3042" s="1"/>
      <c r="H3042" s="1"/>
      <c r="I3042" s="2"/>
      <c r="J3042" s="2"/>
      <c r="N3042" s="2"/>
      <c r="O3042">
        <f>IFERROR(VLOOKUP($A3042,Accounts!$A:$G,3,FALSE),"")</f>
        <v>0</v>
      </c>
    </row>
    <row r="3043" spans="1:15" x14ac:dyDescent="0.2">
      <c r="A3043" t="str">
        <f t="shared" si="47"/>
        <v/>
      </c>
      <c r="F3043" s="1"/>
      <c r="H3043" s="1"/>
      <c r="I3043" s="2"/>
      <c r="J3043" s="2"/>
      <c r="N3043" s="2"/>
      <c r="O3043">
        <f>IFERROR(VLOOKUP($A3043,Accounts!$A:$G,3,FALSE),"")</f>
        <v>0</v>
      </c>
    </row>
    <row r="3044" spans="1:15" x14ac:dyDescent="0.2">
      <c r="A3044" t="str">
        <f t="shared" si="47"/>
        <v/>
      </c>
      <c r="F3044" s="1"/>
      <c r="H3044" s="1"/>
      <c r="I3044" s="2"/>
      <c r="J3044" s="2"/>
      <c r="N3044" s="2"/>
      <c r="O3044">
        <f>IFERROR(VLOOKUP($A3044,Accounts!$A:$G,3,FALSE),"")</f>
        <v>0</v>
      </c>
    </row>
    <row r="3045" spans="1:15" x14ac:dyDescent="0.2">
      <c r="A3045" t="str">
        <f t="shared" si="47"/>
        <v/>
      </c>
      <c r="F3045" s="1"/>
      <c r="H3045" s="1"/>
      <c r="I3045" s="2"/>
      <c r="J3045" s="2"/>
      <c r="N3045" s="2"/>
      <c r="O3045">
        <f>IFERROR(VLOOKUP($A3045,Accounts!$A:$G,3,FALSE),"")</f>
        <v>0</v>
      </c>
    </row>
    <row r="3046" spans="1:15" x14ac:dyDescent="0.2">
      <c r="A3046" t="str">
        <f t="shared" si="47"/>
        <v/>
      </c>
      <c r="F3046" s="1"/>
      <c r="H3046" s="1"/>
      <c r="I3046" s="2"/>
      <c r="J3046" s="2"/>
      <c r="N3046" s="2"/>
      <c r="O3046">
        <f>IFERROR(VLOOKUP($A3046,Accounts!$A:$G,3,FALSE),"")</f>
        <v>0</v>
      </c>
    </row>
    <row r="3047" spans="1:15" x14ac:dyDescent="0.2">
      <c r="A3047" t="str">
        <f t="shared" si="47"/>
        <v/>
      </c>
      <c r="F3047" s="1"/>
      <c r="H3047" s="1"/>
      <c r="I3047" s="2"/>
      <c r="J3047" s="2"/>
      <c r="N3047" s="2"/>
      <c r="O3047">
        <f>IFERROR(VLOOKUP($A3047,Accounts!$A:$G,3,FALSE),"")</f>
        <v>0</v>
      </c>
    </row>
    <row r="3048" spans="1:15" x14ac:dyDescent="0.2">
      <c r="A3048" t="str">
        <f t="shared" si="47"/>
        <v/>
      </c>
      <c r="F3048" s="1"/>
      <c r="H3048" s="1"/>
      <c r="I3048" s="2"/>
      <c r="J3048" s="2"/>
      <c r="N3048" s="2"/>
      <c r="O3048">
        <f>IFERROR(VLOOKUP($A3048,Accounts!$A:$G,3,FALSE),"")</f>
        <v>0</v>
      </c>
    </row>
    <row r="3049" spans="1:15" x14ac:dyDescent="0.2">
      <c r="A3049" t="str">
        <f t="shared" si="47"/>
        <v/>
      </c>
      <c r="F3049" s="1"/>
      <c r="H3049" s="1"/>
      <c r="I3049" s="2"/>
      <c r="J3049" s="2"/>
      <c r="N3049" s="2"/>
      <c r="O3049">
        <f>IFERROR(VLOOKUP($A3049,Accounts!$A:$G,3,FALSE),"")</f>
        <v>0</v>
      </c>
    </row>
    <row r="3050" spans="1:15" x14ac:dyDescent="0.2">
      <c r="A3050" t="str">
        <f t="shared" si="47"/>
        <v/>
      </c>
      <c r="F3050" s="1"/>
      <c r="H3050" s="1"/>
      <c r="I3050" s="2"/>
      <c r="J3050" s="2"/>
      <c r="N3050" s="2"/>
      <c r="O3050">
        <f>IFERROR(VLOOKUP($A3050,Accounts!$A:$G,3,FALSE),"")</f>
        <v>0</v>
      </c>
    </row>
    <row r="3051" spans="1:15" x14ac:dyDescent="0.2">
      <c r="A3051" t="str">
        <f t="shared" si="47"/>
        <v/>
      </c>
      <c r="F3051" s="1"/>
      <c r="H3051" s="1"/>
      <c r="I3051" s="2"/>
      <c r="J3051" s="2"/>
      <c r="N3051" s="2"/>
      <c r="O3051">
        <f>IFERROR(VLOOKUP($A3051,Accounts!$A:$G,3,FALSE),"")</f>
        <v>0</v>
      </c>
    </row>
    <row r="3052" spans="1:15" x14ac:dyDescent="0.2">
      <c r="A3052" t="str">
        <f t="shared" si="47"/>
        <v/>
      </c>
      <c r="F3052" s="1"/>
      <c r="H3052" s="1"/>
      <c r="I3052" s="2"/>
      <c r="J3052" s="2"/>
      <c r="N3052" s="2"/>
      <c r="O3052">
        <f>IFERROR(VLOOKUP($A3052,Accounts!$A:$G,3,FALSE),"")</f>
        <v>0</v>
      </c>
    </row>
    <row r="3053" spans="1:15" x14ac:dyDescent="0.2">
      <c r="A3053" t="str">
        <f t="shared" si="47"/>
        <v/>
      </c>
      <c r="F3053" s="1"/>
      <c r="H3053" s="1"/>
      <c r="I3053" s="2"/>
      <c r="J3053" s="2"/>
      <c r="N3053" s="2"/>
      <c r="O3053">
        <f>IFERROR(VLOOKUP($A3053,Accounts!$A:$G,3,FALSE),"")</f>
        <v>0</v>
      </c>
    </row>
    <row r="3054" spans="1:15" x14ac:dyDescent="0.2">
      <c r="A3054" t="str">
        <f t="shared" si="47"/>
        <v/>
      </c>
      <c r="F3054" s="1"/>
      <c r="H3054" s="1"/>
      <c r="I3054" s="2"/>
      <c r="J3054" s="2"/>
      <c r="N3054" s="2"/>
      <c r="O3054">
        <f>IFERROR(VLOOKUP($A3054,Accounts!$A:$G,3,FALSE),"")</f>
        <v>0</v>
      </c>
    </row>
    <row r="3055" spans="1:15" x14ac:dyDescent="0.2">
      <c r="A3055" t="str">
        <f t="shared" si="47"/>
        <v/>
      </c>
      <c r="F3055" s="1"/>
      <c r="H3055" s="1"/>
      <c r="I3055" s="2"/>
      <c r="J3055" s="2"/>
      <c r="N3055" s="2"/>
      <c r="O3055">
        <f>IFERROR(VLOOKUP($A3055,Accounts!$A:$G,3,FALSE),"")</f>
        <v>0</v>
      </c>
    </row>
    <row r="3056" spans="1:15" x14ac:dyDescent="0.2">
      <c r="A3056" t="str">
        <f t="shared" si="47"/>
        <v/>
      </c>
      <c r="F3056" s="1"/>
      <c r="H3056" s="1"/>
      <c r="I3056" s="2"/>
      <c r="J3056" s="2"/>
      <c r="N3056" s="2"/>
      <c r="O3056">
        <f>IFERROR(VLOOKUP($A3056,Accounts!$A:$G,3,FALSE),"")</f>
        <v>0</v>
      </c>
    </row>
    <row r="3057" spans="1:15" x14ac:dyDescent="0.2">
      <c r="A3057" t="str">
        <f t="shared" si="47"/>
        <v/>
      </c>
      <c r="F3057" s="1"/>
      <c r="H3057" s="1"/>
      <c r="I3057" s="2"/>
      <c r="J3057" s="2"/>
      <c r="N3057" s="2"/>
      <c r="O3057">
        <f>IFERROR(VLOOKUP($A3057,Accounts!$A:$G,3,FALSE),"")</f>
        <v>0</v>
      </c>
    </row>
    <row r="3058" spans="1:15" x14ac:dyDescent="0.2">
      <c r="A3058" t="str">
        <f t="shared" si="47"/>
        <v/>
      </c>
      <c r="F3058" s="1"/>
      <c r="H3058" s="1"/>
      <c r="I3058" s="2"/>
      <c r="J3058" s="2"/>
      <c r="N3058" s="2"/>
      <c r="O3058">
        <f>IFERROR(VLOOKUP($A3058,Accounts!$A:$G,3,FALSE),"")</f>
        <v>0</v>
      </c>
    </row>
    <row r="3059" spans="1:15" x14ac:dyDescent="0.2">
      <c r="A3059" t="str">
        <f t="shared" si="47"/>
        <v/>
      </c>
      <c r="F3059" s="1"/>
      <c r="H3059" s="1"/>
      <c r="I3059" s="2"/>
      <c r="J3059" s="2"/>
      <c r="N3059" s="2"/>
      <c r="O3059">
        <f>IFERROR(VLOOKUP($A3059,Accounts!$A:$G,3,FALSE),"")</f>
        <v>0</v>
      </c>
    </row>
    <row r="3060" spans="1:15" x14ac:dyDescent="0.2">
      <c r="A3060" t="str">
        <f t="shared" si="47"/>
        <v/>
      </c>
      <c r="B3060" s="3"/>
      <c r="C3060" s="3"/>
      <c r="D3060" s="3"/>
      <c r="E3060" s="3"/>
      <c r="F3060" s="4"/>
      <c r="G3060" s="3"/>
      <c r="H3060" s="4"/>
      <c r="I3060" s="5"/>
      <c r="J3060" s="5"/>
      <c r="K3060" s="3"/>
      <c r="L3060" s="3"/>
      <c r="M3060" s="3"/>
      <c r="N3060" s="5"/>
      <c r="O3060">
        <f>IFERROR(VLOOKUP($A3060,Accounts!$A:$G,3,FALSE),"")</f>
        <v>0</v>
      </c>
    </row>
    <row r="3061" spans="1:15" x14ac:dyDescent="0.2">
      <c r="A3061" t="str">
        <f t="shared" si="47"/>
        <v/>
      </c>
      <c r="F3061" s="1"/>
      <c r="H3061" s="1"/>
      <c r="I3061" s="2"/>
      <c r="J3061" s="2"/>
      <c r="N3061" s="2"/>
      <c r="O3061">
        <f>IFERROR(VLOOKUP($A3061,Accounts!$A:$G,3,FALSE),"")</f>
        <v>0</v>
      </c>
    </row>
    <row r="3062" spans="1:15" x14ac:dyDescent="0.2">
      <c r="A3062" t="str">
        <f t="shared" si="47"/>
        <v/>
      </c>
      <c r="F3062" s="1"/>
      <c r="H3062" s="1"/>
      <c r="I3062" s="2"/>
      <c r="J3062" s="2"/>
      <c r="N3062" s="2"/>
      <c r="O3062">
        <f>IFERROR(VLOOKUP($A3062,Accounts!$A:$G,3,FALSE),"")</f>
        <v>0</v>
      </c>
    </row>
    <row r="3063" spans="1:15" x14ac:dyDescent="0.2">
      <c r="A3063" t="str">
        <f t="shared" si="47"/>
        <v/>
      </c>
      <c r="F3063" s="1"/>
      <c r="H3063" s="1"/>
      <c r="I3063" s="2"/>
      <c r="J3063" s="2"/>
      <c r="N3063" s="2"/>
      <c r="O3063">
        <f>IFERROR(VLOOKUP($A3063,Accounts!$A:$G,3,FALSE),"")</f>
        <v>0</v>
      </c>
    </row>
    <row r="3064" spans="1:15" x14ac:dyDescent="0.2">
      <c r="A3064" t="str">
        <f t="shared" si="47"/>
        <v/>
      </c>
      <c r="B3064" s="3"/>
      <c r="C3064" s="3"/>
      <c r="D3064" s="3"/>
      <c r="E3064" s="3"/>
      <c r="F3064" s="4"/>
      <c r="G3064" s="3"/>
      <c r="H3064" s="4"/>
      <c r="I3064" s="5"/>
      <c r="J3064" s="5"/>
      <c r="K3064" s="3"/>
      <c r="L3064" s="3"/>
      <c r="M3064" s="3"/>
      <c r="N3064" s="5"/>
      <c r="O3064">
        <f>IFERROR(VLOOKUP($A3064,Accounts!$A:$G,3,FALSE),"")</f>
        <v>0</v>
      </c>
    </row>
    <row r="3065" spans="1:15" x14ac:dyDescent="0.2">
      <c r="A3065" t="str">
        <f t="shared" si="47"/>
        <v/>
      </c>
      <c r="B3065" s="6"/>
      <c r="C3065" s="6"/>
      <c r="D3065" s="6"/>
      <c r="E3065" s="6"/>
      <c r="F3065" s="7"/>
      <c r="G3065" s="6"/>
      <c r="H3065" s="7"/>
      <c r="I3065" s="8"/>
      <c r="J3065" s="8"/>
      <c r="K3065" s="6"/>
      <c r="L3065" s="6"/>
      <c r="M3065" s="6"/>
      <c r="N3065" s="8"/>
      <c r="O3065">
        <f>IFERROR(VLOOKUP($A3065,Accounts!$A:$G,3,FALSE),"")</f>
        <v>0</v>
      </c>
    </row>
    <row r="3066" spans="1:15" x14ac:dyDescent="0.2">
      <c r="A3066" t="str">
        <f t="shared" si="47"/>
        <v/>
      </c>
      <c r="B3066" s="6"/>
      <c r="C3066" s="6"/>
      <c r="D3066" s="6"/>
      <c r="E3066" s="6"/>
      <c r="F3066" s="7"/>
      <c r="G3066" s="6"/>
      <c r="H3066" s="7"/>
      <c r="I3066" s="8"/>
      <c r="J3066" s="8"/>
      <c r="K3066" s="6"/>
      <c r="L3066" s="6"/>
      <c r="M3066" s="6"/>
      <c r="N3066" s="8"/>
      <c r="O3066">
        <f>IFERROR(VLOOKUP($A3066,Accounts!$A:$G,3,FALSE),"")</f>
        <v>0</v>
      </c>
    </row>
    <row r="3067" spans="1:15" x14ac:dyDescent="0.2">
      <c r="A3067" t="str">
        <f t="shared" si="47"/>
        <v/>
      </c>
      <c r="B3067" s="6"/>
      <c r="C3067" s="6"/>
      <c r="D3067" s="6"/>
      <c r="E3067" s="6"/>
      <c r="F3067" s="7"/>
      <c r="G3067" s="6"/>
      <c r="H3067" s="7"/>
      <c r="I3067" s="8"/>
      <c r="J3067" s="8"/>
      <c r="K3067" s="6"/>
      <c r="L3067" s="6"/>
      <c r="M3067" s="6"/>
      <c r="N3067" s="8"/>
      <c r="O3067">
        <f>IFERROR(VLOOKUP($A3067,Accounts!$A:$G,3,FALSE),"")</f>
        <v>0</v>
      </c>
    </row>
    <row r="3068" spans="1:15" x14ac:dyDescent="0.2">
      <c r="A3068" t="str">
        <f t="shared" si="47"/>
        <v/>
      </c>
      <c r="B3068" s="6"/>
      <c r="C3068" s="6"/>
      <c r="D3068" s="6"/>
      <c r="E3068" s="6"/>
      <c r="F3068" s="7"/>
      <c r="G3068" s="6"/>
      <c r="H3068" s="7"/>
      <c r="I3068" s="8"/>
      <c r="J3068" s="8"/>
      <c r="K3068" s="6"/>
      <c r="L3068" s="6"/>
      <c r="M3068" s="6"/>
      <c r="N3068" s="8"/>
      <c r="O3068">
        <f>IFERROR(VLOOKUP($A3068,Accounts!$A:$G,3,FALSE),"")</f>
        <v>0</v>
      </c>
    </row>
    <row r="3069" spans="1:15" x14ac:dyDescent="0.2">
      <c r="A3069" t="str">
        <f t="shared" si="47"/>
        <v/>
      </c>
      <c r="F3069" s="1"/>
      <c r="H3069" s="1"/>
      <c r="I3069" s="2"/>
      <c r="J3069" s="2"/>
      <c r="N3069" s="2"/>
      <c r="O3069">
        <f>IFERROR(VLOOKUP($A3069,Accounts!$A:$G,3,FALSE),"")</f>
        <v>0</v>
      </c>
    </row>
    <row r="3070" spans="1:15" x14ac:dyDescent="0.2">
      <c r="A3070" t="str">
        <f t="shared" si="47"/>
        <v/>
      </c>
      <c r="F3070" s="1"/>
      <c r="H3070" s="1"/>
      <c r="I3070" s="2"/>
      <c r="J3070" s="2"/>
      <c r="N3070" s="2"/>
      <c r="O3070">
        <f>IFERROR(VLOOKUP($A3070,Accounts!$A:$G,3,FALSE),"")</f>
        <v>0</v>
      </c>
    </row>
    <row r="3071" spans="1:15" x14ac:dyDescent="0.2">
      <c r="A3071" t="str">
        <f t="shared" si="47"/>
        <v/>
      </c>
      <c r="F3071" s="1"/>
      <c r="H3071" s="1"/>
      <c r="I3071" s="2"/>
      <c r="J3071" s="2"/>
      <c r="N3071" s="2"/>
      <c r="O3071">
        <f>IFERROR(VLOOKUP($A3071,Accounts!$A:$G,3,FALSE),"")</f>
        <v>0</v>
      </c>
    </row>
    <row r="3072" spans="1:15" x14ac:dyDescent="0.2">
      <c r="A3072" t="str">
        <f t="shared" si="47"/>
        <v/>
      </c>
      <c r="F3072" s="1"/>
      <c r="H3072" s="1"/>
      <c r="I3072" s="2"/>
      <c r="J3072" s="2"/>
      <c r="N3072" s="2"/>
      <c r="O3072">
        <f>IFERROR(VLOOKUP($A3072,Accounts!$A:$G,3,FALSE),"")</f>
        <v>0</v>
      </c>
    </row>
    <row r="3073" spans="1:15" x14ac:dyDescent="0.2">
      <c r="A3073" t="str">
        <f t="shared" si="47"/>
        <v/>
      </c>
      <c r="F3073" s="1"/>
      <c r="H3073" s="1"/>
      <c r="I3073" s="2"/>
      <c r="J3073" s="2"/>
      <c r="N3073" s="2"/>
      <c r="O3073">
        <f>IFERROR(VLOOKUP($A3073,Accounts!$A:$G,3,FALSE),"")</f>
        <v>0</v>
      </c>
    </row>
    <row r="3074" spans="1:15" x14ac:dyDescent="0.2">
      <c r="A3074" t="str">
        <f t="shared" si="47"/>
        <v/>
      </c>
      <c r="F3074" s="1"/>
      <c r="H3074" s="1"/>
      <c r="I3074" s="2"/>
      <c r="J3074" s="2"/>
      <c r="N3074" s="2"/>
      <c r="O3074">
        <f>IFERROR(VLOOKUP($A3074,Accounts!$A:$G,3,FALSE),"")</f>
        <v>0</v>
      </c>
    </row>
    <row r="3075" spans="1:15" x14ac:dyDescent="0.2">
      <c r="A3075" t="str">
        <f t="shared" si="47"/>
        <v/>
      </c>
      <c r="F3075" s="1"/>
      <c r="H3075" s="1"/>
      <c r="I3075" s="2"/>
      <c r="J3075" s="2"/>
      <c r="N3075" s="2"/>
      <c r="O3075">
        <f>IFERROR(VLOOKUP($A3075,Accounts!$A:$G,3,FALSE),"")</f>
        <v>0</v>
      </c>
    </row>
    <row r="3076" spans="1:15" x14ac:dyDescent="0.2">
      <c r="A3076" t="str">
        <f t="shared" si="47"/>
        <v/>
      </c>
      <c r="F3076" s="1"/>
      <c r="H3076" s="1"/>
      <c r="I3076" s="2"/>
      <c r="J3076" s="2"/>
      <c r="N3076" s="2"/>
      <c r="O3076">
        <f>IFERROR(VLOOKUP($A3076,Accounts!$A:$G,3,FALSE),"")</f>
        <v>0</v>
      </c>
    </row>
    <row r="3077" spans="1:15" x14ac:dyDescent="0.2">
      <c r="A3077" t="str">
        <f t="shared" si="47"/>
        <v/>
      </c>
      <c r="F3077" s="1"/>
      <c r="H3077" s="1"/>
      <c r="I3077" s="2"/>
      <c r="J3077" s="2"/>
      <c r="N3077" s="2"/>
      <c r="O3077">
        <f>IFERROR(VLOOKUP($A3077,Accounts!$A:$G,3,FALSE),"")</f>
        <v>0</v>
      </c>
    </row>
    <row r="3078" spans="1:15" x14ac:dyDescent="0.2">
      <c r="A3078" t="str">
        <f t="shared" si="47"/>
        <v/>
      </c>
      <c r="F3078" s="1"/>
      <c r="H3078" s="1"/>
      <c r="I3078" s="2"/>
      <c r="J3078" s="2"/>
      <c r="N3078" s="2"/>
      <c r="O3078">
        <f>IFERROR(VLOOKUP($A3078,Accounts!$A:$G,3,FALSE),"")</f>
        <v>0</v>
      </c>
    </row>
    <row r="3079" spans="1:15" x14ac:dyDescent="0.2">
      <c r="A3079" t="str">
        <f t="shared" si="47"/>
        <v/>
      </c>
      <c r="F3079" s="1"/>
      <c r="H3079" s="1"/>
      <c r="I3079" s="2"/>
      <c r="J3079" s="2"/>
      <c r="N3079" s="2"/>
      <c r="O3079">
        <f>IFERROR(VLOOKUP($A3079,Accounts!$A:$G,3,FALSE),"")</f>
        <v>0</v>
      </c>
    </row>
    <row r="3080" spans="1:15" x14ac:dyDescent="0.2">
      <c r="A3080" t="str">
        <f t="shared" si="47"/>
        <v/>
      </c>
      <c r="F3080" s="1"/>
      <c r="H3080" s="1"/>
      <c r="I3080" s="2"/>
      <c r="J3080" s="2"/>
      <c r="N3080" s="2"/>
      <c r="O3080">
        <f>IFERROR(VLOOKUP($A3080,Accounts!$A:$G,3,FALSE),"")</f>
        <v>0</v>
      </c>
    </row>
    <row r="3081" spans="1:15" x14ac:dyDescent="0.2">
      <c r="A3081" t="str">
        <f t="shared" si="47"/>
        <v/>
      </c>
      <c r="F3081" s="1"/>
      <c r="H3081" s="1"/>
      <c r="I3081" s="2"/>
      <c r="J3081" s="2"/>
      <c r="N3081" s="2"/>
      <c r="O3081">
        <f>IFERROR(VLOOKUP($A3081,Accounts!$A:$G,3,FALSE),"")</f>
        <v>0</v>
      </c>
    </row>
    <row r="3082" spans="1:15" x14ac:dyDescent="0.2">
      <c r="A3082" t="str">
        <f t="shared" ref="A3082:A3145" si="48">IFERROR(IF(J3082=0,E3082&amp;C3082&amp;I3082,G3082&amp;B3082&amp;J3082),"")</f>
        <v/>
      </c>
      <c r="F3082" s="1"/>
      <c r="H3082" s="1"/>
      <c r="I3082" s="2"/>
      <c r="J3082" s="2"/>
      <c r="N3082" s="2"/>
      <c r="O3082">
        <f>IFERROR(VLOOKUP($A3082,Accounts!$A:$G,3,FALSE),"")</f>
        <v>0</v>
      </c>
    </row>
    <row r="3083" spans="1:15" x14ac:dyDescent="0.2">
      <c r="A3083" t="str">
        <f t="shared" si="48"/>
        <v/>
      </c>
      <c r="B3083" s="3"/>
      <c r="C3083" s="3"/>
      <c r="D3083" s="3"/>
      <c r="E3083" s="3"/>
      <c r="F3083" s="4"/>
      <c r="G3083" s="3"/>
      <c r="H3083" s="4"/>
      <c r="I3083" s="5"/>
      <c r="J3083" s="5"/>
      <c r="K3083" s="3"/>
      <c r="L3083" s="3"/>
      <c r="M3083" s="3"/>
      <c r="N3083" s="5"/>
      <c r="O3083">
        <f>IFERROR(VLOOKUP($A3083,Accounts!$A:$G,3,FALSE),"")</f>
        <v>0</v>
      </c>
    </row>
    <row r="3084" spans="1:15" x14ac:dyDescent="0.2">
      <c r="A3084" t="str">
        <f t="shared" si="48"/>
        <v/>
      </c>
      <c r="F3084" s="1"/>
      <c r="H3084" s="1"/>
      <c r="I3084" s="2"/>
      <c r="J3084" s="2"/>
      <c r="N3084" s="2"/>
      <c r="O3084">
        <f>IFERROR(VLOOKUP($A3084,Accounts!$A:$G,3,FALSE),"")</f>
        <v>0</v>
      </c>
    </row>
    <row r="3085" spans="1:15" x14ac:dyDescent="0.2">
      <c r="A3085" t="str">
        <f t="shared" si="48"/>
        <v/>
      </c>
      <c r="B3085" s="3"/>
      <c r="C3085" s="3"/>
      <c r="D3085" s="3"/>
      <c r="E3085" s="3"/>
      <c r="F3085" s="4"/>
      <c r="G3085" s="3"/>
      <c r="H3085" s="4"/>
      <c r="I3085" s="5"/>
      <c r="J3085" s="5"/>
      <c r="K3085" s="3"/>
      <c r="L3085" s="3"/>
      <c r="M3085" s="3"/>
      <c r="N3085" s="5"/>
      <c r="O3085">
        <f>IFERROR(VLOOKUP($A3085,Accounts!$A:$G,3,FALSE),"")</f>
        <v>0</v>
      </c>
    </row>
    <row r="3086" spans="1:15" x14ac:dyDescent="0.2">
      <c r="A3086" t="str">
        <f t="shared" si="48"/>
        <v/>
      </c>
      <c r="F3086" s="1"/>
      <c r="H3086" s="1"/>
      <c r="I3086" s="2"/>
      <c r="J3086" s="2"/>
      <c r="N3086" s="2"/>
      <c r="O3086">
        <f>IFERROR(VLOOKUP($A3086,Accounts!$A:$G,3,FALSE),"")</f>
        <v>0</v>
      </c>
    </row>
    <row r="3087" spans="1:15" x14ac:dyDescent="0.2">
      <c r="A3087" t="str">
        <f t="shared" si="48"/>
        <v/>
      </c>
      <c r="B3087" s="3"/>
      <c r="C3087" s="3"/>
      <c r="D3087" s="3"/>
      <c r="E3087" s="3"/>
      <c r="F3087" s="4"/>
      <c r="G3087" s="3"/>
      <c r="H3087" s="4"/>
      <c r="I3087" s="5"/>
      <c r="J3087" s="5"/>
      <c r="K3087" s="3"/>
      <c r="L3087" s="3"/>
      <c r="M3087" s="3"/>
      <c r="N3087" s="5"/>
      <c r="O3087">
        <f>IFERROR(VLOOKUP($A3087,Accounts!$A:$G,3,FALSE),"")</f>
        <v>0</v>
      </c>
    </row>
    <row r="3088" spans="1:15" x14ac:dyDescent="0.2">
      <c r="A3088" t="str">
        <f t="shared" si="48"/>
        <v/>
      </c>
      <c r="F3088" s="1"/>
      <c r="H3088" s="1"/>
      <c r="I3088" s="2"/>
      <c r="J3088" s="2"/>
      <c r="N3088" s="2"/>
      <c r="O3088">
        <f>IFERROR(VLOOKUP($A3088,Accounts!$A:$G,3,FALSE),"")</f>
        <v>0</v>
      </c>
    </row>
    <row r="3089" spans="1:15" x14ac:dyDescent="0.2">
      <c r="A3089" t="str">
        <f t="shared" si="48"/>
        <v/>
      </c>
      <c r="B3089" s="3"/>
      <c r="C3089" s="3"/>
      <c r="D3089" s="3"/>
      <c r="E3089" s="3"/>
      <c r="F3089" s="4"/>
      <c r="G3089" s="3"/>
      <c r="H3089" s="4"/>
      <c r="I3089" s="5"/>
      <c r="J3089" s="5"/>
      <c r="K3089" s="3"/>
      <c r="L3089" s="3"/>
      <c r="M3089" s="3"/>
      <c r="N3089" s="5"/>
      <c r="O3089">
        <f>IFERROR(VLOOKUP($A3089,Accounts!$A:$G,3,FALSE),"")</f>
        <v>0</v>
      </c>
    </row>
    <row r="3090" spans="1:15" x14ac:dyDescent="0.2">
      <c r="A3090" t="str">
        <f t="shared" si="48"/>
        <v/>
      </c>
      <c r="F3090" s="1"/>
      <c r="H3090" s="1"/>
      <c r="I3090" s="2"/>
      <c r="J3090" s="2"/>
      <c r="N3090" s="2"/>
      <c r="O3090">
        <f>IFERROR(VLOOKUP($A3090,Accounts!$A:$G,3,FALSE),"")</f>
        <v>0</v>
      </c>
    </row>
    <row r="3091" spans="1:15" x14ac:dyDescent="0.2">
      <c r="A3091" t="str">
        <f t="shared" si="48"/>
        <v/>
      </c>
      <c r="F3091" s="1"/>
      <c r="H3091" s="1"/>
      <c r="I3091" s="2"/>
      <c r="J3091" s="2"/>
      <c r="N3091" s="2"/>
      <c r="O3091">
        <f>IFERROR(VLOOKUP($A3091,Accounts!$A:$G,3,FALSE),"")</f>
        <v>0</v>
      </c>
    </row>
    <row r="3092" spans="1:15" x14ac:dyDescent="0.2">
      <c r="A3092" t="str">
        <f t="shared" si="48"/>
        <v/>
      </c>
      <c r="B3092" s="3"/>
      <c r="C3092" s="3"/>
      <c r="D3092" s="3"/>
      <c r="E3092" s="3"/>
      <c r="F3092" s="4"/>
      <c r="G3092" s="3"/>
      <c r="H3092" s="4"/>
      <c r="I3092" s="5"/>
      <c r="J3092" s="5"/>
      <c r="K3092" s="3"/>
      <c r="L3092" s="3"/>
      <c r="M3092" s="3"/>
      <c r="N3092" s="5"/>
      <c r="O3092">
        <f>IFERROR(VLOOKUP($A3092,Accounts!$A:$G,3,FALSE),"")</f>
        <v>0</v>
      </c>
    </row>
    <row r="3093" spans="1:15" x14ac:dyDescent="0.2">
      <c r="A3093" t="str">
        <f t="shared" si="48"/>
        <v/>
      </c>
      <c r="F3093" s="1"/>
      <c r="H3093" s="1"/>
      <c r="I3093" s="2"/>
      <c r="J3093" s="2"/>
      <c r="N3093" s="2"/>
      <c r="O3093">
        <f>IFERROR(VLOOKUP($A3093,Accounts!$A:$G,3,FALSE),"")</f>
        <v>0</v>
      </c>
    </row>
    <row r="3094" spans="1:15" x14ac:dyDescent="0.2">
      <c r="A3094" t="str">
        <f t="shared" si="48"/>
        <v/>
      </c>
      <c r="F3094" s="1"/>
      <c r="H3094" s="1"/>
      <c r="I3094" s="2"/>
      <c r="J3094" s="2"/>
      <c r="N3094" s="2"/>
      <c r="O3094">
        <f>IFERROR(VLOOKUP($A3094,Accounts!$A:$G,3,FALSE),"")</f>
        <v>0</v>
      </c>
    </row>
    <row r="3095" spans="1:15" x14ac:dyDescent="0.2">
      <c r="A3095" t="str">
        <f t="shared" si="48"/>
        <v/>
      </c>
      <c r="F3095" s="1"/>
      <c r="H3095" s="1"/>
      <c r="I3095" s="2"/>
      <c r="J3095" s="2"/>
      <c r="N3095" s="2"/>
      <c r="O3095">
        <f>IFERROR(VLOOKUP($A3095,Accounts!$A:$G,3,FALSE),"")</f>
        <v>0</v>
      </c>
    </row>
    <row r="3096" spans="1:15" x14ac:dyDescent="0.2">
      <c r="A3096" t="str">
        <f t="shared" si="48"/>
        <v/>
      </c>
      <c r="F3096" s="1"/>
      <c r="H3096" s="1"/>
      <c r="I3096" s="2"/>
      <c r="J3096" s="2"/>
      <c r="N3096" s="2"/>
      <c r="O3096">
        <f>IFERROR(VLOOKUP($A3096,Accounts!$A:$G,3,FALSE),"")</f>
        <v>0</v>
      </c>
    </row>
    <row r="3097" spans="1:15" x14ac:dyDescent="0.2">
      <c r="A3097" t="str">
        <f t="shared" si="48"/>
        <v/>
      </c>
      <c r="F3097" s="1"/>
      <c r="H3097" s="1"/>
      <c r="I3097" s="2"/>
      <c r="J3097" s="2"/>
      <c r="N3097" s="2"/>
      <c r="O3097">
        <f>IFERROR(VLOOKUP($A3097,Accounts!$A:$G,3,FALSE),"")</f>
        <v>0</v>
      </c>
    </row>
    <row r="3098" spans="1:15" x14ac:dyDescent="0.2">
      <c r="A3098" t="str">
        <f t="shared" si="48"/>
        <v/>
      </c>
      <c r="F3098" s="1"/>
      <c r="H3098" s="1"/>
      <c r="I3098" s="2"/>
      <c r="J3098" s="2"/>
      <c r="N3098" s="2"/>
      <c r="O3098">
        <f>IFERROR(VLOOKUP($A3098,Accounts!$A:$G,3,FALSE),"")</f>
        <v>0</v>
      </c>
    </row>
    <row r="3099" spans="1:15" x14ac:dyDescent="0.2">
      <c r="A3099" t="str">
        <f t="shared" si="48"/>
        <v/>
      </c>
      <c r="F3099" s="1"/>
      <c r="H3099" s="1"/>
      <c r="I3099" s="2"/>
      <c r="J3099" s="2"/>
      <c r="N3099" s="2"/>
      <c r="O3099">
        <f>IFERROR(VLOOKUP($A3099,Accounts!$A:$G,3,FALSE),"")</f>
        <v>0</v>
      </c>
    </row>
    <row r="3100" spans="1:15" x14ac:dyDescent="0.2">
      <c r="A3100" t="str">
        <f t="shared" si="48"/>
        <v/>
      </c>
      <c r="F3100" s="1"/>
      <c r="H3100" s="1"/>
      <c r="I3100" s="2"/>
      <c r="J3100" s="2"/>
      <c r="N3100" s="2"/>
      <c r="O3100">
        <f>IFERROR(VLOOKUP($A3100,Accounts!$A:$G,3,FALSE),"")</f>
        <v>0</v>
      </c>
    </row>
    <row r="3101" spans="1:15" x14ac:dyDescent="0.2">
      <c r="A3101" t="str">
        <f t="shared" si="48"/>
        <v/>
      </c>
      <c r="F3101" s="1"/>
      <c r="H3101" s="1"/>
      <c r="I3101" s="2"/>
      <c r="J3101" s="2"/>
      <c r="N3101" s="2"/>
      <c r="O3101">
        <f>IFERROR(VLOOKUP($A3101,Accounts!$A:$G,3,FALSE),"")</f>
        <v>0</v>
      </c>
    </row>
    <row r="3102" spans="1:15" x14ac:dyDescent="0.2">
      <c r="A3102" t="str">
        <f t="shared" si="48"/>
        <v/>
      </c>
      <c r="F3102" s="1"/>
      <c r="H3102" s="1"/>
      <c r="I3102" s="2"/>
      <c r="J3102" s="2"/>
      <c r="N3102" s="2"/>
      <c r="O3102">
        <f>IFERROR(VLOOKUP($A3102,Accounts!$A:$G,3,FALSE),"")</f>
        <v>0</v>
      </c>
    </row>
    <row r="3103" spans="1:15" x14ac:dyDescent="0.2">
      <c r="A3103" t="str">
        <f t="shared" si="48"/>
        <v/>
      </c>
      <c r="F3103" s="1"/>
      <c r="H3103" s="1"/>
      <c r="I3103" s="2"/>
      <c r="J3103" s="2"/>
      <c r="N3103" s="2"/>
      <c r="O3103">
        <f>IFERROR(VLOOKUP($A3103,Accounts!$A:$G,3,FALSE),"")</f>
        <v>0</v>
      </c>
    </row>
    <row r="3104" spans="1:15" x14ac:dyDescent="0.2">
      <c r="A3104" t="str">
        <f t="shared" si="48"/>
        <v/>
      </c>
      <c r="F3104" s="1"/>
      <c r="H3104" s="1"/>
      <c r="I3104" s="2"/>
      <c r="J3104" s="2"/>
      <c r="N3104" s="2"/>
      <c r="O3104">
        <f>IFERROR(VLOOKUP($A3104,Accounts!$A:$G,3,FALSE),"")</f>
        <v>0</v>
      </c>
    </row>
    <row r="3105" spans="1:15" x14ac:dyDescent="0.2">
      <c r="A3105" t="str">
        <f t="shared" si="48"/>
        <v/>
      </c>
      <c r="F3105" s="1"/>
      <c r="H3105" s="1"/>
      <c r="I3105" s="2"/>
      <c r="J3105" s="2"/>
      <c r="N3105" s="2"/>
      <c r="O3105">
        <f>IFERROR(VLOOKUP($A3105,Accounts!$A:$G,3,FALSE),"")</f>
        <v>0</v>
      </c>
    </row>
    <row r="3106" spans="1:15" x14ac:dyDescent="0.2">
      <c r="A3106" t="str">
        <f t="shared" si="48"/>
        <v/>
      </c>
      <c r="F3106" s="1"/>
      <c r="H3106" s="1"/>
      <c r="I3106" s="2"/>
      <c r="J3106" s="2"/>
      <c r="N3106" s="2"/>
      <c r="O3106">
        <f>IFERROR(VLOOKUP($A3106,Accounts!$A:$G,3,FALSE),"")</f>
        <v>0</v>
      </c>
    </row>
    <row r="3107" spans="1:15" x14ac:dyDescent="0.2">
      <c r="A3107" t="str">
        <f t="shared" si="48"/>
        <v/>
      </c>
      <c r="F3107" s="1"/>
      <c r="H3107" s="1"/>
      <c r="I3107" s="2"/>
      <c r="J3107" s="2"/>
      <c r="N3107" s="2"/>
      <c r="O3107">
        <f>IFERROR(VLOOKUP($A3107,Accounts!$A:$G,3,FALSE),"")</f>
        <v>0</v>
      </c>
    </row>
    <row r="3108" spans="1:15" x14ac:dyDescent="0.2">
      <c r="A3108" t="str">
        <f t="shared" si="48"/>
        <v/>
      </c>
      <c r="F3108" s="1"/>
      <c r="H3108" s="1"/>
      <c r="I3108" s="2"/>
      <c r="J3108" s="2"/>
      <c r="N3108" s="2"/>
      <c r="O3108">
        <f>IFERROR(VLOOKUP($A3108,Accounts!$A:$G,3,FALSE),"")</f>
        <v>0</v>
      </c>
    </row>
    <row r="3109" spans="1:15" x14ac:dyDescent="0.2">
      <c r="A3109" t="str">
        <f t="shared" si="48"/>
        <v/>
      </c>
      <c r="F3109" s="1"/>
      <c r="H3109" s="1"/>
      <c r="I3109" s="2"/>
      <c r="J3109" s="2"/>
      <c r="N3109" s="2"/>
      <c r="O3109">
        <f>IFERROR(VLOOKUP($A3109,Accounts!$A:$G,3,FALSE),"")</f>
        <v>0</v>
      </c>
    </row>
    <row r="3110" spans="1:15" x14ac:dyDescent="0.2">
      <c r="A3110" t="str">
        <f t="shared" si="48"/>
        <v/>
      </c>
      <c r="F3110" s="1"/>
      <c r="H3110" s="1"/>
      <c r="I3110" s="2"/>
      <c r="J3110" s="2"/>
      <c r="N3110" s="2"/>
      <c r="O3110">
        <f>IFERROR(VLOOKUP($A3110,Accounts!$A:$G,3,FALSE),"")</f>
        <v>0</v>
      </c>
    </row>
    <row r="3111" spans="1:15" x14ac:dyDescent="0.2">
      <c r="A3111" t="str">
        <f t="shared" si="48"/>
        <v/>
      </c>
      <c r="F3111" s="1"/>
      <c r="H3111" s="1"/>
      <c r="I3111" s="2"/>
      <c r="J3111" s="2"/>
      <c r="N3111" s="2"/>
      <c r="O3111">
        <f>IFERROR(VLOOKUP($A3111,Accounts!$A:$G,3,FALSE),"")</f>
        <v>0</v>
      </c>
    </row>
    <row r="3112" spans="1:15" x14ac:dyDescent="0.2">
      <c r="A3112" t="str">
        <f t="shared" si="48"/>
        <v/>
      </c>
      <c r="F3112" s="1"/>
      <c r="H3112" s="1"/>
      <c r="I3112" s="2"/>
      <c r="J3112" s="2"/>
      <c r="N3112" s="2"/>
      <c r="O3112">
        <f>IFERROR(VLOOKUP($A3112,Accounts!$A:$G,3,FALSE),"")</f>
        <v>0</v>
      </c>
    </row>
    <row r="3113" spans="1:15" x14ac:dyDescent="0.2">
      <c r="A3113" t="str">
        <f t="shared" si="48"/>
        <v/>
      </c>
      <c r="F3113" s="1"/>
      <c r="H3113" s="1"/>
      <c r="I3113" s="2"/>
      <c r="J3113" s="2"/>
      <c r="N3113" s="2"/>
      <c r="O3113">
        <f>IFERROR(VLOOKUP($A3113,Accounts!$A:$G,3,FALSE),"")</f>
        <v>0</v>
      </c>
    </row>
    <row r="3114" spans="1:15" x14ac:dyDescent="0.2">
      <c r="A3114" t="str">
        <f t="shared" si="48"/>
        <v/>
      </c>
      <c r="F3114" s="1"/>
      <c r="H3114" s="1"/>
      <c r="I3114" s="2"/>
      <c r="J3114" s="2"/>
      <c r="N3114" s="2"/>
      <c r="O3114">
        <f>IFERROR(VLOOKUP($A3114,Accounts!$A:$G,3,FALSE),"")</f>
        <v>0</v>
      </c>
    </row>
    <row r="3115" spans="1:15" x14ac:dyDescent="0.2">
      <c r="A3115" t="str">
        <f t="shared" si="48"/>
        <v/>
      </c>
      <c r="F3115" s="1"/>
      <c r="H3115" s="1"/>
      <c r="I3115" s="2"/>
      <c r="J3115" s="2"/>
      <c r="N3115" s="2"/>
      <c r="O3115">
        <f>IFERROR(VLOOKUP($A3115,Accounts!$A:$G,3,FALSE),"")</f>
        <v>0</v>
      </c>
    </row>
    <row r="3116" spans="1:15" x14ac:dyDescent="0.2">
      <c r="A3116" t="str">
        <f t="shared" si="48"/>
        <v/>
      </c>
      <c r="F3116" s="1"/>
      <c r="H3116" s="1"/>
      <c r="I3116" s="2"/>
      <c r="J3116" s="2"/>
      <c r="N3116" s="2"/>
      <c r="O3116">
        <f>IFERROR(VLOOKUP($A3116,Accounts!$A:$G,3,FALSE),"")</f>
        <v>0</v>
      </c>
    </row>
    <row r="3117" spans="1:15" x14ac:dyDescent="0.2">
      <c r="A3117" t="str">
        <f t="shared" si="48"/>
        <v/>
      </c>
      <c r="F3117" s="1"/>
      <c r="H3117" s="1"/>
      <c r="I3117" s="2"/>
      <c r="J3117" s="2"/>
      <c r="N3117" s="2"/>
      <c r="O3117">
        <f>IFERROR(VLOOKUP($A3117,Accounts!$A:$G,3,FALSE),"")</f>
        <v>0</v>
      </c>
    </row>
    <row r="3118" spans="1:15" x14ac:dyDescent="0.2">
      <c r="A3118" t="str">
        <f t="shared" si="48"/>
        <v/>
      </c>
      <c r="F3118" s="1"/>
      <c r="H3118" s="1"/>
      <c r="I3118" s="2"/>
      <c r="J3118" s="2"/>
      <c r="N3118" s="2"/>
      <c r="O3118">
        <f>IFERROR(VLOOKUP($A3118,Accounts!$A:$G,3,FALSE),"")</f>
        <v>0</v>
      </c>
    </row>
    <row r="3119" spans="1:15" x14ac:dyDescent="0.2">
      <c r="A3119" t="str">
        <f t="shared" si="48"/>
        <v/>
      </c>
      <c r="F3119" s="1"/>
      <c r="H3119" s="1"/>
      <c r="I3119" s="2"/>
      <c r="J3119" s="2"/>
      <c r="N3119" s="2"/>
      <c r="O3119">
        <f>IFERROR(VLOOKUP($A3119,Accounts!$A:$G,3,FALSE),"")</f>
        <v>0</v>
      </c>
    </row>
    <row r="3120" spans="1:15" x14ac:dyDescent="0.2">
      <c r="A3120" t="str">
        <f t="shared" si="48"/>
        <v/>
      </c>
      <c r="F3120" s="1"/>
      <c r="H3120" s="1"/>
      <c r="I3120" s="2"/>
      <c r="J3120" s="2"/>
      <c r="N3120" s="2"/>
      <c r="O3120">
        <f>IFERROR(VLOOKUP($A3120,Accounts!$A:$G,3,FALSE),"")</f>
        <v>0</v>
      </c>
    </row>
    <row r="3121" spans="1:15" x14ac:dyDescent="0.2">
      <c r="A3121" t="str">
        <f t="shared" si="48"/>
        <v/>
      </c>
      <c r="F3121" s="1"/>
      <c r="H3121" s="1"/>
      <c r="I3121" s="2"/>
      <c r="J3121" s="2"/>
      <c r="N3121" s="2"/>
      <c r="O3121">
        <f>IFERROR(VLOOKUP($A3121,Accounts!$A:$G,3,FALSE),"")</f>
        <v>0</v>
      </c>
    </row>
    <row r="3122" spans="1:15" x14ac:dyDescent="0.2">
      <c r="A3122" t="str">
        <f t="shared" si="48"/>
        <v/>
      </c>
      <c r="F3122" s="1"/>
      <c r="H3122" s="1"/>
      <c r="I3122" s="2"/>
      <c r="J3122" s="2"/>
      <c r="N3122" s="2"/>
      <c r="O3122">
        <f>IFERROR(VLOOKUP($A3122,Accounts!$A:$G,3,FALSE),"")</f>
        <v>0</v>
      </c>
    </row>
    <row r="3123" spans="1:15" x14ac:dyDescent="0.2">
      <c r="A3123" t="str">
        <f t="shared" si="48"/>
        <v/>
      </c>
      <c r="F3123" s="1"/>
      <c r="H3123" s="1"/>
      <c r="I3123" s="2"/>
      <c r="J3123" s="2"/>
      <c r="N3123" s="2"/>
      <c r="O3123">
        <f>IFERROR(VLOOKUP($A3123,Accounts!$A:$G,3,FALSE),"")</f>
        <v>0</v>
      </c>
    </row>
    <row r="3124" spans="1:15" x14ac:dyDescent="0.2">
      <c r="A3124" t="str">
        <f t="shared" si="48"/>
        <v/>
      </c>
      <c r="F3124" s="1"/>
      <c r="H3124" s="1"/>
      <c r="I3124" s="2"/>
      <c r="J3124" s="2"/>
      <c r="N3124" s="2"/>
      <c r="O3124">
        <f>IFERROR(VLOOKUP($A3124,Accounts!$A:$G,3,FALSE),"")</f>
        <v>0</v>
      </c>
    </row>
    <row r="3125" spans="1:15" x14ac:dyDescent="0.2">
      <c r="A3125" t="str">
        <f t="shared" si="48"/>
        <v/>
      </c>
      <c r="F3125" s="1"/>
      <c r="H3125" s="1"/>
      <c r="I3125" s="2"/>
      <c r="J3125" s="2"/>
      <c r="N3125" s="2"/>
      <c r="O3125">
        <f>IFERROR(VLOOKUP($A3125,Accounts!$A:$G,3,FALSE),"")</f>
        <v>0</v>
      </c>
    </row>
    <row r="3126" spans="1:15" x14ac:dyDescent="0.2">
      <c r="A3126" t="str">
        <f t="shared" si="48"/>
        <v/>
      </c>
      <c r="F3126" s="1"/>
      <c r="H3126" s="1"/>
      <c r="I3126" s="2"/>
      <c r="J3126" s="2"/>
      <c r="N3126" s="2"/>
      <c r="O3126">
        <f>IFERROR(VLOOKUP($A3126,Accounts!$A:$G,3,FALSE),"")</f>
        <v>0</v>
      </c>
    </row>
    <row r="3127" spans="1:15" x14ac:dyDescent="0.2">
      <c r="A3127" t="str">
        <f t="shared" si="48"/>
        <v/>
      </c>
      <c r="F3127" s="1"/>
      <c r="H3127" s="1"/>
      <c r="I3127" s="2"/>
      <c r="J3127" s="2"/>
      <c r="N3127" s="2"/>
      <c r="O3127">
        <f>IFERROR(VLOOKUP($A3127,Accounts!$A:$G,3,FALSE),"")</f>
        <v>0</v>
      </c>
    </row>
    <row r="3128" spans="1:15" x14ac:dyDescent="0.2">
      <c r="A3128" t="str">
        <f t="shared" si="48"/>
        <v/>
      </c>
      <c r="F3128" s="1"/>
      <c r="H3128" s="1"/>
      <c r="I3128" s="2"/>
      <c r="J3128" s="2"/>
      <c r="N3128" s="2"/>
      <c r="O3128">
        <f>IFERROR(VLOOKUP($A3128,Accounts!$A:$G,3,FALSE),"")</f>
        <v>0</v>
      </c>
    </row>
    <row r="3129" spans="1:15" x14ac:dyDescent="0.2">
      <c r="A3129" t="str">
        <f t="shared" si="48"/>
        <v/>
      </c>
      <c r="F3129" s="1"/>
      <c r="H3129" s="1"/>
      <c r="I3129" s="2"/>
      <c r="J3129" s="2"/>
      <c r="N3129" s="2"/>
      <c r="O3129">
        <f>IFERROR(VLOOKUP($A3129,Accounts!$A:$G,3,FALSE),"")</f>
        <v>0</v>
      </c>
    </row>
    <row r="3130" spans="1:15" x14ac:dyDescent="0.2">
      <c r="A3130" t="str">
        <f t="shared" si="48"/>
        <v/>
      </c>
      <c r="F3130" s="1"/>
      <c r="H3130" s="1"/>
      <c r="I3130" s="2"/>
      <c r="J3130" s="2"/>
      <c r="N3130" s="2"/>
      <c r="O3130">
        <f>IFERROR(VLOOKUP($A3130,Accounts!$A:$G,3,FALSE),"")</f>
        <v>0</v>
      </c>
    </row>
    <row r="3131" spans="1:15" x14ac:dyDescent="0.2">
      <c r="A3131" t="str">
        <f t="shared" si="48"/>
        <v/>
      </c>
      <c r="F3131" s="1"/>
      <c r="H3131" s="1"/>
      <c r="I3131" s="2"/>
      <c r="J3131" s="2"/>
      <c r="N3131" s="2"/>
      <c r="O3131">
        <f>IFERROR(VLOOKUP($A3131,Accounts!$A:$G,3,FALSE),"")</f>
        <v>0</v>
      </c>
    </row>
    <row r="3132" spans="1:15" x14ac:dyDescent="0.2">
      <c r="A3132" t="str">
        <f t="shared" si="48"/>
        <v/>
      </c>
      <c r="F3132" s="1"/>
      <c r="H3132" s="1"/>
      <c r="I3132" s="2"/>
      <c r="J3132" s="2"/>
      <c r="N3132" s="2"/>
      <c r="O3132">
        <f>IFERROR(VLOOKUP($A3132,Accounts!$A:$G,3,FALSE),"")</f>
        <v>0</v>
      </c>
    </row>
    <row r="3133" spans="1:15" x14ac:dyDescent="0.2">
      <c r="A3133" t="str">
        <f t="shared" si="48"/>
        <v/>
      </c>
      <c r="B3133" s="3"/>
      <c r="C3133" s="3"/>
      <c r="D3133" s="3"/>
      <c r="E3133" s="3"/>
      <c r="F3133" s="4"/>
      <c r="G3133" s="3"/>
      <c r="H3133" s="4"/>
      <c r="I3133" s="5"/>
      <c r="J3133" s="5"/>
      <c r="K3133" s="3"/>
      <c r="L3133" s="3"/>
      <c r="M3133" s="3"/>
      <c r="N3133" s="5"/>
      <c r="O3133">
        <f>IFERROR(VLOOKUP($A3133,Accounts!$A:$G,3,FALSE),"")</f>
        <v>0</v>
      </c>
    </row>
    <row r="3134" spans="1:15" x14ac:dyDescent="0.2">
      <c r="A3134" t="str">
        <f t="shared" si="48"/>
        <v/>
      </c>
      <c r="B3134" s="3"/>
      <c r="C3134" s="3"/>
      <c r="D3134" s="3"/>
      <c r="E3134" s="3"/>
      <c r="F3134" s="4"/>
      <c r="G3134" s="3"/>
      <c r="H3134" s="4"/>
      <c r="I3134" s="5"/>
      <c r="J3134" s="5"/>
      <c r="K3134" s="3"/>
      <c r="L3134" s="3"/>
      <c r="M3134" s="3"/>
      <c r="N3134" s="5"/>
      <c r="O3134">
        <f>IFERROR(VLOOKUP($A3134,Accounts!$A:$G,3,FALSE),"")</f>
        <v>0</v>
      </c>
    </row>
    <row r="3135" spans="1:15" x14ac:dyDescent="0.2">
      <c r="A3135" t="str">
        <f t="shared" si="48"/>
        <v/>
      </c>
      <c r="F3135" s="1"/>
      <c r="H3135" s="1"/>
      <c r="I3135" s="2"/>
      <c r="J3135" s="2"/>
      <c r="N3135" s="2"/>
      <c r="O3135">
        <f>IFERROR(VLOOKUP($A3135,Accounts!$A:$G,3,FALSE),"")</f>
        <v>0</v>
      </c>
    </row>
    <row r="3136" spans="1:15" x14ac:dyDescent="0.2">
      <c r="A3136" t="str">
        <f t="shared" si="48"/>
        <v/>
      </c>
      <c r="B3136" s="3"/>
      <c r="C3136" s="3"/>
      <c r="D3136" s="3"/>
      <c r="E3136" s="3"/>
      <c r="F3136" s="4"/>
      <c r="G3136" s="3"/>
      <c r="H3136" s="4"/>
      <c r="I3136" s="5"/>
      <c r="J3136" s="5"/>
      <c r="K3136" s="3"/>
      <c r="L3136" s="3"/>
      <c r="M3136" s="3"/>
      <c r="N3136" s="5"/>
      <c r="O3136">
        <f>IFERROR(VLOOKUP($A3136,Accounts!$A:$G,3,FALSE),"")</f>
        <v>0</v>
      </c>
    </row>
    <row r="3137" spans="1:15" x14ac:dyDescent="0.2">
      <c r="A3137" t="str">
        <f t="shared" si="48"/>
        <v/>
      </c>
      <c r="F3137" s="1"/>
      <c r="H3137" s="1"/>
      <c r="I3137" s="2"/>
      <c r="J3137" s="2"/>
      <c r="N3137" s="2"/>
      <c r="O3137">
        <f>IFERROR(VLOOKUP($A3137,Accounts!$A:$G,3,FALSE),"")</f>
        <v>0</v>
      </c>
    </row>
    <row r="3138" spans="1:15" x14ac:dyDescent="0.2">
      <c r="A3138" t="str">
        <f t="shared" si="48"/>
        <v/>
      </c>
      <c r="F3138" s="1"/>
      <c r="H3138" s="1"/>
      <c r="I3138" s="2"/>
      <c r="J3138" s="2"/>
      <c r="N3138" s="2"/>
      <c r="O3138">
        <f>IFERROR(VLOOKUP($A3138,Accounts!$A:$G,3,FALSE),"")</f>
        <v>0</v>
      </c>
    </row>
    <row r="3139" spans="1:15" x14ac:dyDescent="0.2">
      <c r="A3139" t="str">
        <f t="shared" si="48"/>
        <v/>
      </c>
      <c r="F3139" s="1"/>
      <c r="H3139" s="1"/>
      <c r="I3139" s="2"/>
      <c r="J3139" s="2"/>
      <c r="N3139" s="2"/>
      <c r="O3139">
        <f>IFERROR(VLOOKUP($A3139,Accounts!$A:$G,3,FALSE),"")</f>
        <v>0</v>
      </c>
    </row>
    <row r="3140" spans="1:15" x14ac:dyDescent="0.2">
      <c r="A3140" t="str">
        <f t="shared" si="48"/>
        <v/>
      </c>
      <c r="B3140" s="3"/>
      <c r="C3140" s="3"/>
      <c r="D3140" s="3"/>
      <c r="E3140" s="3"/>
      <c r="F3140" s="4"/>
      <c r="G3140" s="3"/>
      <c r="H3140" s="4"/>
      <c r="I3140" s="5"/>
      <c r="J3140" s="5"/>
      <c r="K3140" s="3"/>
      <c r="L3140" s="3"/>
      <c r="M3140" s="3"/>
      <c r="N3140" s="5"/>
      <c r="O3140">
        <f>IFERROR(VLOOKUP($A3140,Accounts!$A:$G,3,FALSE),"")</f>
        <v>0</v>
      </c>
    </row>
    <row r="3141" spans="1:15" x14ac:dyDescent="0.2">
      <c r="A3141" t="str">
        <f t="shared" si="48"/>
        <v/>
      </c>
      <c r="F3141" s="1"/>
      <c r="H3141" s="1"/>
      <c r="I3141" s="2"/>
      <c r="J3141" s="2"/>
      <c r="N3141" s="2"/>
      <c r="O3141">
        <f>IFERROR(VLOOKUP($A3141,Accounts!$A:$G,3,FALSE),"")</f>
        <v>0</v>
      </c>
    </row>
    <row r="3142" spans="1:15" x14ac:dyDescent="0.2">
      <c r="A3142" t="str">
        <f t="shared" si="48"/>
        <v/>
      </c>
      <c r="F3142" s="1"/>
      <c r="H3142" s="1"/>
      <c r="I3142" s="2"/>
      <c r="J3142" s="2"/>
      <c r="N3142" s="2"/>
      <c r="O3142">
        <f>IFERROR(VLOOKUP($A3142,Accounts!$A:$G,3,FALSE),"")</f>
        <v>0</v>
      </c>
    </row>
    <row r="3143" spans="1:15" x14ac:dyDescent="0.2">
      <c r="A3143" t="str">
        <f t="shared" si="48"/>
        <v/>
      </c>
      <c r="F3143" s="1"/>
      <c r="H3143" s="1"/>
      <c r="I3143" s="2"/>
      <c r="J3143" s="2"/>
      <c r="N3143" s="2"/>
      <c r="O3143">
        <f>IFERROR(VLOOKUP($A3143,Accounts!$A:$G,3,FALSE),"")</f>
        <v>0</v>
      </c>
    </row>
    <row r="3144" spans="1:15" x14ac:dyDescent="0.2">
      <c r="A3144" t="str">
        <f t="shared" si="48"/>
        <v/>
      </c>
      <c r="F3144" s="1"/>
      <c r="H3144" s="1"/>
      <c r="I3144" s="2"/>
      <c r="J3144" s="2"/>
      <c r="N3144" s="2"/>
      <c r="O3144">
        <f>IFERROR(VLOOKUP($A3144,Accounts!$A:$G,3,FALSE),"")</f>
        <v>0</v>
      </c>
    </row>
    <row r="3145" spans="1:15" x14ac:dyDescent="0.2">
      <c r="A3145" t="str">
        <f t="shared" si="48"/>
        <v/>
      </c>
      <c r="B3145" s="3"/>
      <c r="C3145" s="3"/>
      <c r="D3145" s="3"/>
      <c r="E3145" s="3"/>
      <c r="F3145" s="4"/>
      <c r="G3145" s="3"/>
      <c r="H3145" s="4"/>
      <c r="I3145" s="5"/>
      <c r="J3145" s="5"/>
      <c r="K3145" s="3"/>
      <c r="L3145" s="3"/>
      <c r="M3145" s="3"/>
      <c r="N3145" s="5"/>
      <c r="O3145">
        <f>IFERROR(VLOOKUP($A3145,Accounts!$A:$G,3,FALSE),"")</f>
        <v>0</v>
      </c>
    </row>
    <row r="3146" spans="1:15" x14ac:dyDescent="0.2">
      <c r="A3146" t="str">
        <f t="shared" ref="A3146:A3192" si="49">IFERROR(IF(J3146=0,E3146&amp;C3146&amp;I3146,G3146&amp;B3146&amp;J3146),"")</f>
        <v/>
      </c>
      <c r="F3146" s="1"/>
      <c r="H3146" s="1"/>
      <c r="I3146" s="2"/>
      <c r="J3146" s="2"/>
      <c r="N3146" s="2"/>
      <c r="O3146">
        <f>IFERROR(VLOOKUP($A3146,Accounts!$A:$G,3,FALSE),"")</f>
        <v>0</v>
      </c>
    </row>
    <row r="3147" spans="1:15" x14ac:dyDescent="0.2">
      <c r="A3147" t="str">
        <f t="shared" si="49"/>
        <v/>
      </c>
      <c r="F3147" s="1"/>
      <c r="H3147" s="1"/>
      <c r="I3147" s="2"/>
      <c r="J3147" s="2"/>
      <c r="N3147" s="2"/>
      <c r="O3147">
        <f>IFERROR(VLOOKUP($A3147,Accounts!$A:$G,3,FALSE),"")</f>
        <v>0</v>
      </c>
    </row>
    <row r="3148" spans="1:15" x14ac:dyDescent="0.2">
      <c r="A3148" t="str">
        <f t="shared" si="49"/>
        <v/>
      </c>
      <c r="F3148" s="1"/>
      <c r="H3148" s="1"/>
      <c r="I3148" s="2"/>
      <c r="J3148" s="2"/>
      <c r="N3148" s="2"/>
      <c r="O3148">
        <f>IFERROR(VLOOKUP($A3148,Accounts!$A:$G,3,FALSE),"")</f>
        <v>0</v>
      </c>
    </row>
    <row r="3149" spans="1:15" x14ac:dyDescent="0.2">
      <c r="A3149" t="str">
        <f t="shared" si="49"/>
        <v/>
      </c>
      <c r="F3149" s="1"/>
      <c r="H3149" s="1"/>
      <c r="I3149" s="2"/>
      <c r="J3149" s="2"/>
      <c r="N3149" s="2"/>
      <c r="O3149">
        <f>IFERROR(VLOOKUP($A3149,Accounts!$A:$G,3,FALSE),"")</f>
        <v>0</v>
      </c>
    </row>
    <row r="3150" spans="1:15" x14ac:dyDescent="0.2">
      <c r="A3150" t="str">
        <f t="shared" si="49"/>
        <v/>
      </c>
      <c r="F3150" s="1"/>
      <c r="H3150" s="1"/>
      <c r="I3150" s="2"/>
      <c r="J3150" s="2"/>
      <c r="N3150" s="2"/>
      <c r="O3150">
        <f>IFERROR(VLOOKUP($A3150,Accounts!$A:$G,3,FALSE),"")</f>
        <v>0</v>
      </c>
    </row>
    <row r="3151" spans="1:15" x14ac:dyDescent="0.2">
      <c r="A3151" t="str">
        <f t="shared" si="49"/>
        <v/>
      </c>
      <c r="F3151" s="1"/>
      <c r="H3151" s="1"/>
      <c r="I3151" s="2"/>
      <c r="J3151" s="2"/>
      <c r="N3151" s="2"/>
      <c r="O3151">
        <f>IFERROR(VLOOKUP($A3151,Accounts!$A:$G,3,FALSE),"")</f>
        <v>0</v>
      </c>
    </row>
    <row r="3152" spans="1:15" x14ac:dyDescent="0.2">
      <c r="A3152" t="str">
        <f t="shared" si="49"/>
        <v/>
      </c>
      <c r="B3152" s="3"/>
      <c r="C3152" s="3"/>
      <c r="D3152" s="3"/>
      <c r="E3152" s="3"/>
      <c r="F3152" s="4"/>
      <c r="G3152" s="3"/>
      <c r="H3152" s="4"/>
      <c r="I3152" s="5"/>
      <c r="J3152" s="5"/>
      <c r="K3152" s="3"/>
      <c r="L3152" s="3"/>
      <c r="M3152" s="3"/>
      <c r="N3152" s="5"/>
      <c r="O3152">
        <f>IFERROR(VLOOKUP($A3152,Accounts!$A:$G,3,FALSE),"")</f>
        <v>0</v>
      </c>
    </row>
    <row r="3153" spans="1:15" x14ac:dyDescent="0.2">
      <c r="A3153" t="str">
        <f t="shared" si="49"/>
        <v/>
      </c>
      <c r="F3153" s="1"/>
      <c r="H3153" s="1"/>
      <c r="I3153" s="2"/>
      <c r="J3153" s="2"/>
      <c r="N3153" s="2"/>
      <c r="O3153">
        <f>IFERROR(VLOOKUP($A3153,Accounts!$A:$G,3,FALSE),"")</f>
        <v>0</v>
      </c>
    </row>
    <row r="3154" spans="1:15" x14ac:dyDescent="0.2">
      <c r="A3154" t="str">
        <f t="shared" si="49"/>
        <v/>
      </c>
      <c r="F3154" s="1"/>
      <c r="H3154" s="1"/>
      <c r="I3154" s="2"/>
      <c r="J3154" s="2"/>
      <c r="N3154" s="2"/>
      <c r="O3154">
        <f>IFERROR(VLOOKUP($A3154,Accounts!$A:$G,3,FALSE),"")</f>
        <v>0</v>
      </c>
    </row>
    <row r="3155" spans="1:15" x14ac:dyDescent="0.2">
      <c r="A3155" t="str">
        <f t="shared" si="49"/>
        <v/>
      </c>
      <c r="F3155" s="1"/>
      <c r="H3155" s="1"/>
      <c r="I3155" s="2"/>
      <c r="J3155" s="2"/>
      <c r="N3155" s="2"/>
      <c r="O3155">
        <f>IFERROR(VLOOKUP($A3155,Accounts!$A:$G,3,FALSE),"")</f>
        <v>0</v>
      </c>
    </row>
    <row r="3156" spans="1:15" x14ac:dyDescent="0.2">
      <c r="A3156" t="str">
        <f t="shared" si="49"/>
        <v/>
      </c>
      <c r="F3156" s="1"/>
      <c r="H3156" s="1"/>
      <c r="I3156" s="2"/>
      <c r="J3156" s="2"/>
      <c r="N3156" s="2"/>
      <c r="O3156">
        <f>IFERROR(VLOOKUP($A3156,Accounts!$A:$G,3,FALSE),"")</f>
        <v>0</v>
      </c>
    </row>
    <row r="3157" spans="1:15" x14ac:dyDescent="0.2">
      <c r="A3157" t="str">
        <f t="shared" si="49"/>
        <v/>
      </c>
      <c r="B3157" s="3"/>
      <c r="C3157" s="3"/>
      <c r="D3157" s="3"/>
      <c r="E3157" s="3"/>
      <c r="F3157" s="4"/>
      <c r="G3157" s="3"/>
      <c r="H3157" s="4"/>
      <c r="I3157" s="5"/>
      <c r="J3157" s="5"/>
      <c r="K3157" s="3"/>
      <c r="L3157" s="3"/>
      <c r="M3157" s="3"/>
      <c r="N3157" s="5"/>
      <c r="O3157">
        <f>IFERROR(VLOOKUP($A3157,Accounts!$A:$G,3,FALSE),"")</f>
        <v>0</v>
      </c>
    </row>
    <row r="3158" spans="1:15" x14ac:dyDescent="0.2">
      <c r="A3158" t="str">
        <f t="shared" si="49"/>
        <v/>
      </c>
      <c r="F3158" s="1"/>
      <c r="H3158" s="1"/>
      <c r="I3158" s="2"/>
      <c r="J3158" s="2"/>
      <c r="N3158" s="2"/>
      <c r="O3158">
        <f>IFERROR(VLOOKUP($A3158,Accounts!$A:$G,3,FALSE),"")</f>
        <v>0</v>
      </c>
    </row>
    <row r="3159" spans="1:15" x14ac:dyDescent="0.2">
      <c r="A3159" t="str">
        <f t="shared" si="49"/>
        <v/>
      </c>
      <c r="F3159" s="1"/>
      <c r="H3159" s="1"/>
      <c r="I3159" s="2"/>
      <c r="J3159" s="2"/>
      <c r="N3159" s="2"/>
      <c r="O3159">
        <f>IFERROR(VLOOKUP($A3159,Accounts!$A:$G,3,FALSE),"")</f>
        <v>0</v>
      </c>
    </row>
    <row r="3160" spans="1:15" x14ac:dyDescent="0.2">
      <c r="A3160" t="str">
        <f t="shared" si="49"/>
        <v/>
      </c>
      <c r="F3160" s="1"/>
      <c r="H3160" s="1"/>
      <c r="I3160" s="2"/>
      <c r="J3160" s="2"/>
      <c r="N3160" s="2"/>
      <c r="O3160">
        <f>IFERROR(VLOOKUP($A3160,Accounts!$A:$G,3,FALSE),"")</f>
        <v>0</v>
      </c>
    </row>
    <row r="3161" spans="1:15" x14ac:dyDescent="0.2">
      <c r="A3161" t="str">
        <f t="shared" si="49"/>
        <v/>
      </c>
      <c r="F3161" s="1"/>
      <c r="H3161" s="1"/>
      <c r="I3161" s="2"/>
      <c r="J3161" s="2"/>
      <c r="N3161" s="2"/>
      <c r="O3161">
        <f>IFERROR(VLOOKUP($A3161,Accounts!$A:$G,3,FALSE),"")</f>
        <v>0</v>
      </c>
    </row>
    <row r="3162" spans="1:15" x14ac:dyDescent="0.2">
      <c r="A3162" t="str">
        <f t="shared" si="49"/>
        <v/>
      </c>
      <c r="F3162" s="1"/>
      <c r="H3162" s="1"/>
      <c r="I3162" s="2"/>
      <c r="J3162" s="2"/>
      <c r="N3162" s="2"/>
      <c r="O3162">
        <f>IFERROR(VLOOKUP($A3162,Accounts!$A:$G,3,FALSE),"")</f>
        <v>0</v>
      </c>
    </row>
    <row r="3163" spans="1:15" x14ac:dyDescent="0.2">
      <c r="A3163" t="str">
        <f t="shared" si="49"/>
        <v/>
      </c>
      <c r="F3163" s="1"/>
      <c r="H3163" s="1"/>
      <c r="I3163" s="2"/>
      <c r="J3163" s="2"/>
      <c r="N3163" s="2"/>
      <c r="O3163">
        <f>IFERROR(VLOOKUP($A3163,Accounts!$A:$G,3,FALSE),"")</f>
        <v>0</v>
      </c>
    </row>
    <row r="3164" spans="1:15" x14ac:dyDescent="0.2">
      <c r="A3164" t="str">
        <f t="shared" si="49"/>
        <v/>
      </c>
      <c r="F3164" s="1"/>
      <c r="H3164" s="1"/>
      <c r="I3164" s="2"/>
      <c r="J3164" s="2"/>
      <c r="N3164" s="2"/>
      <c r="O3164">
        <f>IFERROR(VLOOKUP($A3164,Accounts!$A:$G,3,FALSE),"")</f>
        <v>0</v>
      </c>
    </row>
    <row r="3165" spans="1:15" x14ac:dyDescent="0.2">
      <c r="A3165" t="str">
        <f t="shared" si="49"/>
        <v/>
      </c>
      <c r="F3165" s="1"/>
      <c r="H3165" s="1"/>
      <c r="I3165" s="2"/>
      <c r="J3165" s="2"/>
      <c r="N3165" s="2"/>
      <c r="O3165">
        <f>IFERROR(VLOOKUP($A3165,Accounts!$A:$G,3,FALSE),"")</f>
        <v>0</v>
      </c>
    </row>
    <row r="3166" spans="1:15" x14ac:dyDescent="0.2">
      <c r="A3166" t="str">
        <f t="shared" si="49"/>
        <v/>
      </c>
      <c r="F3166" s="1"/>
      <c r="H3166" s="1"/>
      <c r="I3166" s="2"/>
      <c r="J3166" s="2"/>
      <c r="N3166" s="2"/>
      <c r="O3166">
        <f>IFERROR(VLOOKUP($A3166,Accounts!$A:$G,3,FALSE),"")</f>
        <v>0</v>
      </c>
    </row>
    <row r="3167" spans="1:15" x14ac:dyDescent="0.2">
      <c r="A3167" t="str">
        <f t="shared" si="49"/>
        <v/>
      </c>
      <c r="F3167" s="1"/>
      <c r="H3167" s="1"/>
      <c r="I3167" s="2"/>
      <c r="J3167" s="2"/>
      <c r="N3167" s="2"/>
      <c r="O3167">
        <f>IFERROR(VLOOKUP($A3167,Accounts!$A:$G,3,FALSE),"")</f>
        <v>0</v>
      </c>
    </row>
    <row r="3168" spans="1:15" x14ac:dyDescent="0.2">
      <c r="A3168" t="str">
        <f t="shared" si="49"/>
        <v/>
      </c>
      <c r="F3168" s="1"/>
      <c r="H3168" s="1"/>
      <c r="I3168" s="2"/>
      <c r="J3168" s="2"/>
      <c r="N3168" s="2"/>
      <c r="O3168">
        <f>IFERROR(VLOOKUP($A3168,Accounts!$A:$G,3,FALSE),"")</f>
        <v>0</v>
      </c>
    </row>
    <row r="3169" spans="1:15" x14ac:dyDescent="0.2">
      <c r="A3169" t="str">
        <f t="shared" si="49"/>
        <v/>
      </c>
      <c r="F3169" s="1"/>
      <c r="H3169" s="1"/>
      <c r="I3169" s="2"/>
      <c r="J3169" s="2"/>
      <c r="N3169" s="2"/>
      <c r="O3169">
        <f>IFERROR(VLOOKUP($A3169,Accounts!$A:$G,3,FALSE),"")</f>
        <v>0</v>
      </c>
    </row>
    <row r="3170" spans="1:15" x14ac:dyDescent="0.2">
      <c r="A3170" t="str">
        <f t="shared" si="49"/>
        <v/>
      </c>
      <c r="F3170" s="1"/>
      <c r="H3170" s="1"/>
      <c r="I3170" s="2"/>
      <c r="J3170" s="2"/>
      <c r="N3170" s="2"/>
      <c r="O3170">
        <f>IFERROR(VLOOKUP($A3170,Accounts!$A:$G,3,FALSE),"")</f>
        <v>0</v>
      </c>
    </row>
    <row r="3171" spans="1:15" x14ac:dyDescent="0.2">
      <c r="A3171" t="str">
        <f t="shared" si="49"/>
        <v/>
      </c>
      <c r="F3171" s="1"/>
      <c r="H3171" s="1"/>
      <c r="I3171" s="2"/>
      <c r="J3171" s="2"/>
      <c r="N3171" s="2"/>
      <c r="O3171">
        <f>IFERROR(VLOOKUP($A3171,Accounts!$A:$G,3,FALSE),"")</f>
        <v>0</v>
      </c>
    </row>
    <row r="3172" spans="1:15" x14ac:dyDescent="0.2">
      <c r="A3172" t="str">
        <f t="shared" si="49"/>
        <v/>
      </c>
      <c r="B3172" s="3"/>
      <c r="C3172" s="3"/>
      <c r="D3172" s="3"/>
      <c r="E3172" s="3"/>
      <c r="F3172" s="4"/>
      <c r="G3172" s="3"/>
      <c r="H3172" s="4"/>
      <c r="I3172" s="5"/>
      <c r="J3172" s="5"/>
      <c r="K3172" s="3"/>
      <c r="L3172" s="3"/>
      <c r="M3172" s="3"/>
      <c r="N3172" s="5"/>
      <c r="O3172">
        <f>IFERROR(VLOOKUP($A3172,Accounts!$A:$G,3,FALSE),"")</f>
        <v>0</v>
      </c>
    </row>
    <row r="3173" spans="1:15" x14ac:dyDescent="0.2">
      <c r="A3173" t="str">
        <f t="shared" si="49"/>
        <v/>
      </c>
      <c r="F3173" s="1"/>
      <c r="H3173" s="1"/>
      <c r="I3173" s="2"/>
      <c r="J3173" s="2"/>
      <c r="N3173" s="2"/>
      <c r="O3173">
        <f>IFERROR(VLOOKUP($A3173,Accounts!$A:$G,3,FALSE),"")</f>
        <v>0</v>
      </c>
    </row>
    <row r="3174" spans="1:15" x14ac:dyDescent="0.2">
      <c r="A3174" t="str">
        <f t="shared" si="49"/>
        <v/>
      </c>
      <c r="F3174" s="1"/>
      <c r="H3174" s="1"/>
      <c r="I3174" s="2"/>
      <c r="J3174" s="2"/>
      <c r="N3174" s="2"/>
      <c r="O3174">
        <f>IFERROR(VLOOKUP($A3174,Accounts!$A:$G,3,FALSE),"")</f>
        <v>0</v>
      </c>
    </row>
    <row r="3175" spans="1:15" x14ac:dyDescent="0.2">
      <c r="A3175" t="str">
        <f t="shared" si="49"/>
        <v/>
      </c>
      <c r="F3175" s="1"/>
      <c r="H3175" s="1"/>
      <c r="I3175" s="2"/>
      <c r="J3175" s="2"/>
      <c r="N3175" s="2"/>
      <c r="O3175">
        <f>IFERROR(VLOOKUP($A3175,Accounts!$A:$G,3,FALSE),"")</f>
        <v>0</v>
      </c>
    </row>
    <row r="3176" spans="1:15" x14ac:dyDescent="0.2">
      <c r="A3176" t="str">
        <f t="shared" si="49"/>
        <v/>
      </c>
      <c r="F3176" s="1"/>
      <c r="H3176" s="1"/>
      <c r="I3176" s="2"/>
      <c r="J3176" s="2"/>
      <c r="N3176" s="2"/>
      <c r="O3176">
        <f>IFERROR(VLOOKUP($A3176,Accounts!$A:$G,3,FALSE),"")</f>
        <v>0</v>
      </c>
    </row>
    <row r="3177" spans="1:15" x14ac:dyDescent="0.2">
      <c r="A3177" t="str">
        <f t="shared" si="49"/>
        <v/>
      </c>
      <c r="F3177" s="1"/>
      <c r="H3177" s="1"/>
      <c r="I3177" s="2"/>
      <c r="J3177" s="2"/>
      <c r="N3177" s="2"/>
      <c r="O3177">
        <f>IFERROR(VLOOKUP($A3177,Accounts!$A:$G,3,FALSE),"")</f>
        <v>0</v>
      </c>
    </row>
    <row r="3178" spans="1:15" x14ac:dyDescent="0.2">
      <c r="A3178" t="str">
        <f t="shared" si="49"/>
        <v/>
      </c>
      <c r="F3178" s="1"/>
      <c r="H3178" s="1"/>
      <c r="I3178" s="2"/>
      <c r="J3178" s="2"/>
      <c r="N3178" s="2"/>
      <c r="O3178">
        <f>IFERROR(VLOOKUP($A3178,Accounts!$A:$G,3,FALSE),"")</f>
        <v>0</v>
      </c>
    </row>
    <row r="3179" spans="1:15" x14ac:dyDescent="0.2">
      <c r="A3179" t="str">
        <f t="shared" si="49"/>
        <v/>
      </c>
      <c r="F3179" s="1"/>
      <c r="H3179" s="1"/>
      <c r="I3179" s="2"/>
      <c r="J3179" s="2"/>
      <c r="N3179" s="2"/>
      <c r="O3179">
        <f>IFERROR(VLOOKUP($A3179,Accounts!$A:$G,3,FALSE),"")</f>
        <v>0</v>
      </c>
    </row>
    <row r="3180" spans="1:15" x14ac:dyDescent="0.2">
      <c r="A3180" t="str">
        <f t="shared" si="49"/>
        <v/>
      </c>
      <c r="F3180" s="1"/>
      <c r="H3180" s="1"/>
      <c r="I3180" s="2"/>
      <c r="J3180" s="2"/>
      <c r="N3180" s="2"/>
      <c r="O3180">
        <f>IFERROR(VLOOKUP($A3180,Accounts!$A:$G,3,FALSE),"")</f>
        <v>0</v>
      </c>
    </row>
    <row r="3181" spans="1:15" x14ac:dyDescent="0.2">
      <c r="A3181" t="str">
        <f t="shared" si="49"/>
        <v/>
      </c>
      <c r="F3181" s="1"/>
      <c r="H3181" s="1"/>
      <c r="I3181" s="2"/>
      <c r="J3181" s="2"/>
      <c r="N3181" s="2"/>
      <c r="O3181">
        <f>IFERROR(VLOOKUP($A3181,Accounts!$A:$G,3,FALSE),"")</f>
        <v>0</v>
      </c>
    </row>
    <row r="3182" spans="1:15" x14ac:dyDescent="0.2">
      <c r="A3182" t="str">
        <f t="shared" si="49"/>
        <v/>
      </c>
      <c r="F3182" s="1"/>
      <c r="H3182" s="1"/>
      <c r="I3182" s="2"/>
      <c r="J3182" s="2"/>
      <c r="N3182" s="2"/>
      <c r="O3182">
        <f>IFERROR(VLOOKUP($A3182,Accounts!$A:$G,3,FALSE),"")</f>
        <v>0</v>
      </c>
    </row>
    <row r="3183" spans="1:15" x14ac:dyDescent="0.2">
      <c r="A3183" t="str">
        <f t="shared" si="49"/>
        <v/>
      </c>
      <c r="B3183" s="3"/>
      <c r="C3183" s="3"/>
      <c r="D3183" s="3"/>
      <c r="E3183" s="3"/>
      <c r="F3183" s="4"/>
      <c r="G3183" s="3"/>
      <c r="H3183" s="4"/>
      <c r="I3183" s="5"/>
      <c r="J3183" s="5"/>
      <c r="K3183" s="3"/>
      <c r="L3183" s="3"/>
      <c r="M3183" s="3"/>
      <c r="N3183" s="5"/>
      <c r="O3183">
        <f>IFERROR(VLOOKUP($A3183,Accounts!$A:$G,3,FALSE),"")</f>
        <v>0</v>
      </c>
    </row>
    <row r="3184" spans="1:15" x14ac:dyDescent="0.2">
      <c r="A3184" t="str">
        <f t="shared" si="49"/>
        <v/>
      </c>
      <c r="F3184" s="1"/>
      <c r="H3184" s="1"/>
      <c r="I3184" s="2"/>
      <c r="J3184" s="2"/>
      <c r="N3184" s="2"/>
      <c r="O3184">
        <f>IFERROR(VLOOKUP($A3184,Accounts!$A:$G,3,FALSE),"")</f>
        <v>0</v>
      </c>
    </row>
    <row r="3185" spans="1:15" x14ac:dyDescent="0.2">
      <c r="A3185" t="str">
        <f t="shared" si="49"/>
        <v/>
      </c>
      <c r="F3185" s="1"/>
      <c r="H3185" s="1"/>
      <c r="I3185" s="2"/>
      <c r="J3185" s="2"/>
      <c r="N3185" s="2"/>
      <c r="O3185">
        <f>IFERROR(VLOOKUP($A3185,Accounts!$A:$G,3,FALSE),"")</f>
        <v>0</v>
      </c>
    </row>
    <row r="3186" spans="1:15" x14ac:dyDescent="0.2">
      <c r="A3186" t="str">
        <f t="shared" si="49"/>
        <v/>
      </c>
      <c r="F3186" s="1"/>
      <c r="H3186" s="1"/>
      <c r="I3186" s="2"/>
      <c r="J3186" s="2"/>
      <c r="N3186" s="2"/>
      <c r="O3186">
        <f>IFERROR(VLOOKUP($A3186,Accounts!$A:$G,3,FALSE),"")</f>
        <v>0</v>
      </c>
    </row>
    <row r="3187" spans="1:15" x14ac:dyDescent="0.2">
      <c r="A3187" t="str">
        <f t="shared" si="49"/>
        <v/>
      </c>
      <c r="B3187" s="3"/>
      <c r="C3187" s="3"/>
      <c r="D3187" s="3"/>
      <c r="E3187" s="3"/>
      <c r="F3187" s="4"/>
      <c r="G3187" s="3"/>
      <c r="H3187" s="4"/>
      <c r="I3187" s="5"/>
      <c r="J3187" s="5"/>
      <c r="K3187" s="3"/>
      <c r="L3187" s="3"/>
      <c r="M3187" s="3"/>
      <c r="N3187" s="5"/>
      <c r="O3187">
        <f>IFERROR(VLOOKUP($A3187,Accounts!$A:$G,3,FALSE),"")</f>
        <v>0</v>
      </c>
    </row>
    <row r="3188" spans="1:15" x14ac:dyDescent="0.2">
      <c r="A3188" t="str">
        <f t="shared" si="49"/>
        <v/>
      </c>
      <c r="B3188" s="6"/>
      <c r="C3188" s="6"/>
      <c r="D3188" s="6"/>
      <c r="E3188" s="6"/>
      <c r="F3188" s="7"/>
      <c r="G3188" s="6"/>
      <c r="H3188" s="7"/>
      <c r="I3188" s="8"/>
      <c r="J3188" s="8"/>
      <c r="K3188" s="6"/>
      <c r="L3188" s="6"/>
      <c r="M3188" s="6"/>
      <c r="N3188" s="8"/>
      <c r="O3188">
        <f>IFERROR(VLOOKUP($A3188,Accounts!$A:$G,3,FALSE),"")</f>
        <v>0</v>
      </c>
    </row>
    <row r="3189" spans="1:15" x14ac:dyDescent="0.2">
      <c r="A3189" t="str">
        <f t="shared" si="49"/>
        <v/>
      </c>
      <c r="B3189" s="6"/>
      <c r="C3189" s="6"/>
      <c r="D3189" s="6"/>
      <c r="E3189" s="6"/>
      <c r="F3189" s="7"/>
      <c r="G3189" s="6"/>
      <c r="H3189" s="7"/>
      <c r="I3189" s="8"/>
      <c r="J3189" s="8"/>
      <c r="K3189" s="6"/>
      <c r="L3189" s="6"/>
      <c r="M3189" s="6"/>
      <c r="N3189" s="8"/>
      <c r="O3189">
        <f>IFERROR(VLOOKUP($A3189,Accounts!$A:$G,3,FALSE),"")</f>
        <v>0</v>
      </c>
    </row>
    <row r="3190" spans="1:15" x14ac:dyDescent="0.2">
      <c r="A3190" t="str">
        <f t="shared" si="49"/>
        <v/>
      </c>
      <c r="B3190" s="6"/>
      <c r="C3190" s="6"/>
      <c r="D3190" s="6"/>
      <c r="E3190" s="6"/>
      <c r="F3190" s="7"/>
      <c r="G3190" s="6"/>
      <c r="H3190" s="7"/>
      <c r="I3190" s="8"/>
      <c r="J3190" s="8"/>
      <c r="K3190" s="6"/>
      <c r="L3190" s="6"/>
      <c r="M3190" s="6"/>
      <c r="N3190" s="8"/>
      <c r="O3190">
        <f>IFERROR(VLOOKUP($A3190,Accounts!$A:$G,3,FALSE),"")</f>
        <v>0</v>
      </c>
    </row>
    <row r="3191" spans="1:15" x14ac:dyDescent="0.2">
      <c r="A3191" t="str">
        <f t="shared" si="49"/>
        <v/>
      </c>
      <c r="B3191" s="6"/>
      <c r="C3191" s="6"/>
      <c r="D3191" s="6"/>
      <c r="E3191" s="6"/>
      <c r="F3191" s="7"/>
      <c r="G3191" s="6"/>
      <c r="H3191" s="7"/>
      <c r="I3191" s="8"/>
      <c r="J3191" s="8"/>
      <c r="K3191" s="6"/>
      <c r="L3191" s="6"/>
      <c r="M3191" s="6"/>
      <c r="N3191" s="8"/>
      <c r="O3191">
        <f>IFERROR(VLOOKUP($A3191,Accounts!$A:$G,3,FALSE),"")</f>
        <v>0</v>
      </c>
    </row>
    <row r="3192" spans="1:15" x14ac:dyDescent="0.2">
      <c r="A3192" t="str">
        <f t="shared" si="49"/>
        <v/>
      </c>
      <c r="F3192" s="1"/>
      <c r="H3192" s="1"/>
      <c r="I3192" s="2"/>
      <c r="J3192" s="2"/>
      <c r="N3192" s="2"/>
      <c r="O3192">
        <f>IFERROR(VLOOKUP($A3192,Accounts!$A:$G,3,FALSE),"")</f>
        <v>0</v>
      </c>
    </row>
    <row r="3193" spans="1:15" x14ac:dyDescent="0.2">
      <c r="F3193" s="1"/>
      <c r="H3193" s="1"/>
      <c r="I3193" s="2"/>
      <c r="J3193" s="2"/>
      <c r="N3193" s="90"/>
    </row>
    <row r="3194" spans="1:15" x14ac:dyDescent="0.2">
      <c r="F3194" s="1"/>
      <c r="H3194" s="1"/>
      <c r="I3194" s="2"/>
      <c r="J3194" s="2"/>
      <c r="N3194" s="90"/>
    </row>
    <row r="3195" spans="1:15" x14ac:dyDescent="0.2">
      <c r="F3195" s="1"/>
      <c r="H3195" s="1"/>
      <c r="I3195" s="2"/>
      <c r="J3195" s="2"/>
      <c r="N3195" s="90"/>
    </row>
    <row r="3196" spans="1:15" x14ac:dyDescent="0.2">
      <c r="F3196" s="1"/>
      <c r="H3196" s="1"/>
      <c r="I3196" s="2"/>
      <c r="J3196" s="2"/>
      <c r="N3196" s="90"/>
    </row>
    <row r="3197" spans="1:15" x14ac:dyDescent="0.2">
      <c r="F3197" s="1"/>
      <c r="H3197" s="1"/>
      <c r="I3197" s="2"/>
      <c r="J3197" s="2"/>
      <c r="N3197" s="2"/>
    </row>
    <row r="3198" spans="1:15" x14ac:dyDescent="0.2">
      <c r="F3198" s="1"/>
      <c r="H3198" s="1"/>
      <c r="I3198" s="2"/>
      <c r="J3198" s="2"/>
      <c r="N3198" s="2"/>
    </row>
    <row r="3199" spans="1:15" x14ac:dyDescent="0.2">
      <c r="F3199" s="1"/>
      <c r="H3199" s="1"/>
      <c r="I3199" s="1"/>
      <c r="J3199" s="2"/>
      <c r="N3199" s="2"/>
    </row>
    <row r="3200" spans="1:15" x14ac:dyDescent="0.2">
      <c r="F3200" s="1"/>
      <c r="H3200" s="1"/>
      <c r="I3200" s="2"/>
      <c r="J3200" s="2"/>
      <c r="N3200" s="2"/>
    </row>
    <row r="3201" spans="6:14" x14ac:dyDescent="0.2">
      <c r="F3201" s="1"/>
      <c r="H3201" s="1"/>
      <c r="J3201" s="2"/>
      <c r="N3201" s="2"/>
    </row>
    <row r="3202" spans="6:14" x14ac:dyDescent="0.2">
      <c r="F3202" s="1"/>
      <c r="I3202" s="2"/>
      <c r="J3202" s="2"/>
      <c r="N3202" s="2"/>
    </row>
    <row r="3203" spans="6:14" x14ac:dyDescent="0.2">
      <c r="F3203" s="1"/>
      <c r="H3203" s="1"/>
      <c r="I3203" s="2"/>
      <c r="J3203" s="2"/>
      <c r="N3203" s="2"/>
    </row>
    <row r="3204" spans="6:14" x14ac:dyDescent="0.2">
      <c r="F3204" s="1"/>
      <c r="H3204" s="1"/>
      <c r="I3204" s="2"/>
      <c r="J3204" s="2"/>
    </row>
    <row r="3205" spans="6:14" x14ac:dyDescent="0.2">
      <c r="F3205" s="1"/>
      <c r="H3205" s="1"/>
      <c r="I3205" s="2"/>
      <c r="J3205" s="2"/>
      <c r="N3205" s="2"/>
    </row>
    <row r="3206" spans="6:14" x14ac:dyDescent="0.2">
      <c r="F3206" s="1"/>
      <c r="H3206" s="1"/>
      <c r="I3206" s="2"/>
      <c r="J3206" s="2"/>
      <c r="N3206" s="2"/>
    </row>
    <row r="3207" spans="6:14" x14ac:dyDescent="0.2">
      <c r="F3207" s="1"/>
      <c r="H3207" s="1"/>
      <c r="I3207" s="2"/>
      <c r="J3207" s="2"/>
      <c r="N3207" s="2"/>
    </row>
    <row r="3208" spans="6:14" x14ac:dyDescent="0.2">
      <c r="F3208" s="1"/>
      <c r="H3208" s="1"/>
      <c r="I3208" s="2"/>
      <c r="J3208" s="2"/>
      <c r="N3208" s="2"/>
    </row>
    <row r="3209" spans="6:14" x14ac:dyDescent="0.2">
      <c r="F3209" s="1"/>
      <c r="H3209" s="1"/>
      <c r="I3209" s="2"/>
      <c r="J3209" s="2"/>
      <c r="N3209" s="2"/>
    </row>
    <row r="3210" spans="6:14" x14ac:dyDescent="0.2">
      <c r="F3210" s="1"/>
      <c r="H3210" s="1"/>
      <c r="I3210" s="2"/>
      <c r="J3210" s="2"/>
      <c r="N3210" s="2"/>
    </row>
    <row r="3211" spans="6:14" x14ac:dyDescent="0.2">
      <c r="F3211" s="1"/>
      <c r="H3211" s="1"/>
      <c r="I3211" s="2"/>
      <c r="J3211" s="2"/>
      <c r="N3211" s="2"/>
    </row>
    <row r="3212" spans="6:14" x14ac:dyDescent="0.2">
      <c r="F3212" s="1"/>
      <c r="H3212" s="1"/>
      <c r="I3212" s="2"/>
      <c r="J3212" s="2"/>
      <c r="N3212" s="2"/>
    </row>
    <row r="3213" spans="6:14" x14ac:dyDescent="0.2">
      <c r="F3213" s="1"/>
      <c r="H3213" s="1"/>
      <c r="I3213" s="2"/>
      <c r="J3213" s="2"/>
      <c r="N3213" s="2"/>
    </row>
    <row r="3214" spans="6:14" x14ac:dyDescent="0.2">
      <c r="F3214" s="1"/>
      <c r="H3214" s="1"/>
      <c r="I3214" s="2"/>
      <c r="J3214" s="2"/>
      <c r="N3214" s="2"/>
    </row>
    <row r="3215" spans="6:14" x14ac:dyDescent="0.2">
      <c r="F3215" s="1"/>
      <c r="H3215" s="1"/>
      <c r="I3215" s="2"/>
      <c r="J3215" s="2"/>
      <c r="N3215" s="2"/>
    </row>
    <row r="3216" spans="6:14" x14ac:dyDescent="0.2">
      <c r="F3216" s="1"/>
      <c r="H3216" s="1"/>
      <c r="I3216" s="2"/>
      <c r="J3216" s="2"/>
      <c r="N3216" s="2"/>
    </row>
    <row r="3217" spans="6:14" x14ac:dyDescent="0.2">
      <c r="F3217" s="1"/>
      <c r="H3217" s="1"/>
      <c r="I3217" s="2"/>
      <c r="J3217" s="2"/>
      <c r="N3217" s="2"/>
    </row>
    <row r="3218" spans="6:14" x14ac:dyDescent="0.2">
      <c r="F3218" s="1"/>
      <c r="H3218" s="1"/>
      <c r="I3218" s="2"/>
      <c r="J3218" s="2"/>
      <c r="N3218" s="2"/>
    </row>
    <row r="3219" spans="6:14" x14ac:dyDescent="0.2">
      <c r="F3219" s="1"/>
      <c r="H3219" s="1"/>
      <c r="I3219" s="2"/>
      <c r="J3219" s="2"/>
      <c r="N3219" s="2"/>
    </row>
    <row r="3220" spans="6:14" x14ac:dyDescent="0.2">
      <c r="F3220" s="1"/>
      <c r="H3220" s="1"/>
      <c r="I3220" s="2"/>
      <c r="J3220" s="2"/>
      <c r="N3220" s="2"/>
    </row>
    <row r="3221" spans="6:14" x14ac:dyDescent="0.2">
      <c r="F3221" s="1"/>
      <c r="H3221" s="1"/>
      <c r="I3221" s="2"/>
      <c r="J3221" s="2"/>
      <c r="N3221" s="2"/>
    </row>
    <row r="3222" spans="6:14" x14ac:dyDescent="0.2">
      <c r="F3222" s="1"/>
      <c r="H3222" s="1"/>
      <c r="I3222" s="2"/>
      <c r="J3222" s="2"/>
      <c r="N3222" s="2"/>
    </row>
    <row r="3223" spans="6:14" x14ac:dyDescent="0.2">
      <c r="F3223" s="1"/>
      <c r="H3223" s="1"/>
      <c r="I3223" s="2"/>
      <c r="J3223" s="2"/>
      <c r="N3223" s="2"/>
    </row>
    <row r="3224" spans="6:14" x14ac:dyDescent="0.2">
      <c r="F3224" s="1"/>
      <c r="H3224" s="1"/>
      <c r="I3224" s="2"/>
      <c r="J3224" s="2"/>
      <c r="N3224" s="2"/>
    </row>
    <row r="3225" spans="6:14" x14ac:dyDescent="0.2">
      <c r="F3225" s="1"/>
      <c r="H3225" s="1"/>
      <c r="I3225" s="2"/>
      <c r="J3225" s="2"/>
      <c r="N3225" s="2"/>
    </row>
    <row r="3226" spans="6:14" x14ac:dyDescent="0.2">
      <c r="F3226" s="1"/>
      <c r="H3226" s="1"/>
      <c r="I3226" s="2"/>
      <c r="J3226" s="2"/>
      <c r="N3226" s="2"/>
    </row>
    <row r="3227" spans="6:14" x14ac:dyDescent="0.2">
      <c r="F3227" s="1"/>
      <c r="H3227" s="1"/>
      <c r="I3227" s="2"/>
      <c r="J3227" s="2"/>
      <c r="N3227" s="2"/>
    </row>
    <row r="3228" spans="6:14" x14ac:dyDescent="0.2">
      <c r="F3228" s="1"/>
      <c r="H3228" s="1"/>
      <c r="I3228" s="2"/>
      <c r="J3228" s="2"/>
      <c r="N3228" s="2"/>
    </row>
    <row r="3229" spans="6:14" x14ac:dyDescent="0.2">
      <c r="F3229" s="1"/>
      <c r="H3229" s="1"/>
      <c r="I3229" s="2"/>
      <c r="J3229" s="2"/>
      <c r="N3229" s="2"/>
    </row>
    <row r="3230" spans="6:14" x14ac:dyDescent="0.2">
      <c r="F3230" s="1"/>
      <c r="H3230" s="1"/>
      <c r="I3230" s="2"/>
      <c r="J3230" s="2"/>
      <c r="N3230" s="2"/>
    </row>
    <row r="3231" spans="6:14" x14ac:dyDescent="0.2">
      <c r="F3231" s="1"/>
      <c r="H3231" s="1"/>
      <c r="I3231" s="2"/>
      <c r="J3231" s="2"/>
      <c r="N3231" s="2"/>
    </row>
    <row r="3232" spans="6:14" x14ac:dyDescent="0.2">
      <c r="F3232" s="1"/>
      <c r="H3232" s="1"/>
      <c r="I3232" s="2"/>
      <c r="J3232" s="2"/>
      <c r="N3232" s="2"/>
    </row>
    <row r="3233" spans="6:14" x14ac:dyDescent="0.2">
      <c r="F3233" s="1"/>
      <c r="H3233" s="1"/>
      <c r="I3233" s="2"/>
      <c r="J3233" s="2"/>
      <c r="N3233" s="2"/>
    </row>
    <row r="3234" spans="6:14" x14ac:dyDescent="0.2">
      <c r="F3234" s="1"/>
      <c r="H3234" s="1"/>
      <c r="I3234" s="2"/>
      <c r="J3234" s="2"/>
      <c r="N3234" s="2"/>
    </row>
    <row r="3235" spans="6:14" x14ac:dyDescent="0.2">
      <c r="F3235" s="1"/>
      <c r="H3235" s="1"/>
      <c r="I3235" s="2"/>
      <c r="J3235" s="2"/>
      <c r="N3235" s="2"/>
    </row>
    <row r="3236" spans="6:14" x14ac:dyDescent="0.2">
      <c r="F3236" s="1"/>
      <c r="H3236" s="1"/>
      <c r="I3236" s="2"/>
      <c r="J3236" s="2"/>
      <c r="N3236" s="2"/>
    </row>
    <row r="3237" spans="6:14" x14ac:dyDescent="0.2">
      <c r="F3237" s="1"/>
      <c r="H3237" s="1"/>
      <c r="I3237" s="2"/>
      <c r="J3237" s="2"/>
      <c r="N3237" s="2"/>
    </row>
    <row r="3238" spans="6:14" x14ac:dyDescent="0.2">
      <c r="F3238" s="1"/>
      <c r="H3238" s="1"/>
      <c r="I3238" s="2"/>
      <c r="J3238" s="2"/>
      <c r="N3238" s="2"/>
    </row>
    <row r="3239" spans="6:14" x14ac:dyDescent="0.2">
      <c r="F3239" s="1"/>
      <c r="H3239" s="1"/>
      <c r="I3239" s="2"/>
      <c r="J3239" s="2"/>
      <c r="N3239" s="2"/>
    </row>
    <row r="3240" spans="6:14" x14ac:dyDescent="0.2">
      <c r="F3240" s="1"/>
      <c r="H3240" s="1"/>
      <c r="I3240" s="2"/>
      <c r="J3240" s="2"/>
      <c r="N3240" s="2"/>
    </row>
    <row r="3241" spans="6:14" x14ac:dyDescent="0.2">
      <c r="F3241" s="1"/>
      <c r="H3241" s="1"/>
      <c r="I3241" s="2"/>
      <c r="J3241" s="2"/>
      <c r="N3241" s="2"/>
    </row>
    <row r="3242" spans="6:14" x14ac:dyDescent="0.2">
      <c r="F3242" s="1"/>
      <c r="H3242" s="1"/>
      <c r="I3242" s="2"/>
      <c r="J3242" s="2"/>
      <c r="N3242" s="2"/>
    </row>
    <row r="3243" spans="6:14" x14ac:dyDescent="0.2">
      <c r="F3243" s="1"/>
      <c r="H3243" s="1"/>
      <c r="I3243" s="2"/>
      <c r="J3243" s="2"/>
      <c r="N3243" s="2"/>
    </row>
    <row r="3244" spans="6:14" x14ac:dyDescent="0.2">
      <c r="F3244" s="1"/>
      <c r="H3244" s="1"/>
      <c r="I3244" s="2"/>
      <c r="J3244" s="2"/>
      <c r="N3244" s="2"/>
    </row>
    <row r="3245" spans="6:14" x14ac:dyDescent="0.2">
      <c r="F3245" s="1"/>
      <c r="H3245" s="1"/>
      <c r="I3245" s="2"/>
      <c r="J3245" s="2"/>
      <c r="N3245" s="2"/>
    </row>
    <row r="3246" spans="6:14" x14ac:dyDescent="0.2">
      <c r="F3246" s="1"/>
      <c r="H3246" s="1"/>
      <c r="I3246" s="2"/>
      <c r="J3246" s="2"/>
      <c r="N3246" s="2"/>
    </row>
    <row r="3247" spans="6:14" x14ac:dyDescent="0.2">
      <c r="F3247" s="1"/>
      <c r="H3247" s="1"/>
      <c r="I3247" s="2"/>
      <c r="J3247" s="2"/>
      <c r="N3247" s="2"/>
    </row>
    <row r="3248" spans="6:14" x14ac:dyDescent="0.2">
      <c r="F3248" s="1"/>
      <c r="H3248" s="1"/>
      <c r="I3248" s="2"/>
      <c r="J3248" s="2"/>
      <c r="N3248" s="2"/>
    </row>
    <row r="3249" spans="6:14" x14ac:dyDescent="0.2">
      <c r="F3249" s="1"/>
      <c r="H3249" s="1"/>
      <c r="I3249" s="2"/>
      <c r="J3249" s="2"/>
      <c r="N3249" s="2"/>
    </row>
    <row r="3250" spans="6:14" x14ac:dyDescent="0.2">
      <c r="F3250" s="1"/>
      <c r="H3250" s="1"/>
      <c r="I3250" s="2"/>
      <c r="J3250" s="2"/>
      <c r="N3250" s="2"/>
    </row>
    <row r="3251" spans="6:14" x14ac:dyDescent="0.2">
      <c r="F3251" s="1"/>
      <c r="H3251" s="1"/>
      <c r="I3251" s="2"/>
      <c r="J3251" s="2"/>
      <c r="N3251" s="2"/>
    </row>
    <row r="3252" spans="6:14" x14ac:dyDescent="0.2">
      <c r="F3252" s="1"/>
      <c r="H3252" s="1"/>
      <c r="I3252" s="2"/>
      <c r="J3252" s="2"/>
      <c r="N3252" s="2"/>
    </row>
    <row r="3253" spans="6:14" x14ac:dyDescent="0.2">
      <c r="F3253" s="1"/>
      <c r="H3253" s="1"/>
      <c r="I3253" s="2"/>
      <c r="J3253" s="2"/>
      <c r="N3253" s="2"/>
    </row>
    <row r="3254" spans="6:14" x14ac:dyDescent="0.2">
      <c r="F3254" s="1"/>
      <c r="H3254" s="1"/>
      <c r="I3254" s="2"/>
      <c r="J3254" s="2"/>
      <c r="N3254" s="2"/>
    </row>
    <row r="3255" spans="6:14" x14ac:dyDescent="0.2">
      <c r="F3255" s="1"/>
      <c r="H3255" s="1"/>
      <c r="I3255" s="2"/>
      <c r="J3255" s="2"/>
      <c r="N3255" s="2"/>
    </row>
    <row r="3256" spans="6:14" x14ac:dyDescent="0.2">
      <c r="F3256" s="1"/>
      <c r="H3256" s="1"/>
      <c r="I3256" s="2"/>
      <c r="J3256" s="2"/>
      <c r="N3256" s="2"/>
    </row>
    <row r="3257" spans="6:14" x14ac:dyDescent="0.2">
      <c r="F3257" s="1"/>
      <c r="H3257" s="1"/>
      <c r="I3257" s="2"/>
      <c r="J3257" s="2"/>
      <c r="N3257" s="2"/>
    </row>
    <row r="3258" spans="6:14" x14ac:dyDescent="0.2">
      <c r="F3258" s="1"/>
      <c r="H3258" s="1"/>
      <c r="I3258" s="2"/>
      <c r="J3258" s="2"/>
      <c r="N3258" s="2"/>
    </row>
    <row r="3259" spans="6:14" x14ac:dyDescent="0.2">
      <c r="F3259" s="1"/>
      <c r="H3259" s="1"/>
      <c r="I3259" s="2"/>
      <c r="J3259" s="2"/>
      <c r="N3259" s="2"/>
    </row>
    <row r="3260" spans="6:14" x14ac:dyDescent="0.2">
      <c r="F3260" s="1"/>
      <c r="H3260" s="1"/>
      <c r="I3260" s="2"/>
      <c r="J3260" s="2"/>
      <c r="N3260" s="2"/>
    </row>
    <row r="3261" spans="6:14" x14ac:dyDescent="0.2">
      <c r="F3261" s="1"/>
      <c r="H3261" s="1"/>
      <c r="I3261" s="2"/>
      <c r="J3261" s="2"/>
      <c r="N3261" s="2"/>
    </row>
    <row r="3262" spans="6:14" x14ac:dyDescent="0.2">
      <c r="F3262" s="1"/>
      <c r="H3262" s="1"/>
      <c r="I3262" s="2"/>
      <c r="J3262" s="2"/>
      <c r="N3262" s="2"/>
    </row>
    <row r="3263" spans="6:14" x14ac:dyDescent="0.2">
      <c r="F3263" s="1"/>
      <c r="H3263" s="1"/>
      <c r="I3263" s="2"/>
      <c r="J3263" s="2"/>
      <c r="N3263" s="2"/>
    </row>
    <row r="3264" spans="6:14" x14ac:dyDescent="0.2">
      <c r="F3264" s="1"/>
      <c r="H3264" s="1"/>
      <c r="I3264" s="2"/>
      <c r="J3264" s="2"/>
      <c r="N3264" s="2"/>
    </row>
    <row r="3265" spans="6:14" x14ac:dyDescent="0.2">
      <c r="F3265" s="1"/>
      <c r="H3265" s="1"/>
      <c r="I3265" s="2"/>
      <c r="J3265" s="2"/>
      <c r="N3265" s="2"/>
    </row>
    <row r="3266" spans="6:14" x14ac:dyDescent="0.2">
      <c r="F3266" s="1"/>
      <c r="H3266" s="1"/>
      <c r="I3266" s="2"/>
      <c r="J3266" s="2"/>
      <c r="N3266" s="2"/>
    </row>
    <row r="3267" spans="6:14" x14ac:dyDescent="0.2">
      <c r="F3267" s="1"/>
      <c r="H3267" s="1"/>
      <c r="I3267" s="2"/>
      <c r="J3267" s="2"/>
      <c r="N3267" s="2"/>
    </row>
    <row r="3268" spans="6:14" x14ac:dyDescent="0.2">
      <c r="F3268" s="1"/>
      <c r="H3268" s="1"/>
      <c r="I3268" s="2"/>
      <c r="J3268" s="2"/>
      <c r="N3268" s="2"/>
    </row>
    <row r="3269" spans="6:14" x14ac:dyDescent="0.2">
      <c r="F3269" s="1"/>
      <c r="H3269" s="1"/>
      <c r="I3269" s="2"/>
      <c r="J3269" s="2"/>
      <c r="N3269" s="2"/>
    </row>
    <row r="3270" spans="6:14" x14ac:dyDescent="0.2">
      <c r="F3270" s="1"/>
      <c r="H3270" s="1"/>
      <c r="I3270" s="2"/>
      <c r="J3270" s="2"/>
      <c r="N3270" s="2"/>
    </row>
    <row r="3271" spans="6:14" x14ac:dyDescent="0.2">
      <c r="F3271" s="1"/>
      <c r="H3271" s="1"/>
      <c r="I3271" s="2"/>
      <c r="J3271" s="2"/>
      <c r="N3271" s="2"/>
    </row>
    <row r="3272" spans="6:14" x14ac:dyDescent="0.2">
      <c r="F3272" s="1"/>
      <c r="H3272" s="1"/>
      <c r="I3272" s="2"/>
      <c r="J3272" s="2"/>
      <c r="N3272" s="2"/>
    </row>
    <row r="3273" spans="6:14" x14ac:dyDescent="0.2">
      <c r="F3273" s="1"/>
      <c r="H3273" s="1"/>
      <c r="I3273" s="2"/>
      <c r="J3273" s="2"/>
      <c r="N3273" s="2"/>
    </row>
    <row r="3274" spans="6:14" x14ac:dyDescent="0.2">
      <c r="F3274" s="1"/>
      <c r="H3274" s="1"/>
      <c r="I3274" s="2"/>
      <c r="J3274" s="2"/>
      <c r="N3274" s="2"/>
    </row>
    <row r="3275" spans="6:14" x14ac:dyDescent="0.2">
      <c r="F3275" s="1"/>
      <c r="H3275" s="1"/>
      <c r="I3275" s="2"/>
      <c r="J3275" s="2"/>
      <c r="N3275" s="2"/>
    </row>
    <row r="3276" spans="6:14" x14ac:dyDescent="0.2">
      <c r="F3276" s="1"/>
      <c r="H3276" s="1"/>
      <c r="I3276" s="2"/>
      <c r="J3276" s="2"/>
      <c r="N3276" s="2"/>
    </row>
    <row r="3277" spans="6:14" x14ac:dyDescent="0.2">
      <c r="F3277" s="1"/>
      <c r="H3277" s="1"/>
      <c r="I3277" s="2"/>
      <c r="J3277" s="2"/>
      <c r="N3277" s="2"/>
    </row>
    <row r="3278" spans="6:14" x14ac:dyDescent="0.2">
      <c r="F3278" s="1"/>
      <c r="H3278" s="1"/>
      <c r="I3278" s="2"/>
      <c r="J3278" s="2"/>
      <c r="N3278" s="2"/>
    </row>
    <row r="3279" spans="6:14" x14ac:dyDescent="0.2">
      <c r="F3279" s="1"/>
      <c r="H3279" s="1"/>
      <c r="I3279" s="2"/>
      <c r="J3279" s="2"/>
      <c r="N3279" s="2"/>
    </row>
    <row r="3280" spans="6:14" x14ac:dyDescent="0.2">
      <c r="F3280" s="1"/>
      <c r="H3280" s="1"/>
      <c r="I3280" s="2"/>
      <c r="J3280" s="2"/>
      <c r="N3280" s="2"/>
    </row>
    <row r="3281" spans="6:14" x14ac:dyDescent="0.2">
      <c r="F3281" s="1"/>
      <c r="H3281" s="1"/>
      <c r="I3281" s="2"/>
      <c r="J3281" s="2"/>
      <c r="N3281" s="2"/>
    </row>
    <row r="3282" spans="6:14" x14ac:dyDescent="0.2">
      <c r="F3282" s="1"/>
      <c r="H3282" s="1"/>
      <c r="I3282" s="2"/>
      <c r="J3282" s="2"/>
      <c r="N3282" s="2"/>
    </row>
    <row r="3283" spans="6:14" x14ac:dyDescent="0.2">
      <c r="F3283" s="1"/>
      <c r="H3283" s="1"/>
      <c r="I3283" s="2"/>
      <c r="J3283" s="2"/>
      <c r="N3283" s="2"/>
    </row>
    <row r="3284" spans="6:14" x14ac:dyDescent="0.2">
      <c r="F3284" s="1"/>
      <c r="H3284" s="1"/>
      <c r="I3284" s="2"/>
      <c r="J3284" s="2"/>
      <c r="N3284" s="2"/>
    </row>
    <row r="3285" spans="6:14" x14ac:dyDescent="0.2">
      <c r="F3285" s="1"/>
      <c r="H3285" s="1"/>
      <c r="I3285" s="2"/>
      <c r="J3285" s="2"/>
      <c r="N3285" s="2"/>
    </row>
    <row r="3286" spans="6:14" x14ac:dyDescent="0.2">
      <c r="F3286" s="1"/>
      <c r="H3286" s="1"/>
      <c r="I3286" s="2"/>
      <c r="J3286" s="2"/>
      <c r="N3286" s="2"/>
    </row>
    <row r="3287" spans="6:14" x14ac:dyDescent="0.2">
      <c r="F3287" s="1"/>
      <c r="H3287" s="1"/>
      <c r="I3287" s="2"/>
      <c r="J3287" s="2"/>
      <c r="N3287" s="2"/>
    </row>
    <row r="3288" spans="6:14" x14ac:dyDescent="0.2">
      <c r="F3288" s="1"/>
      <c r="H3288" s="1"/>
      <c r="I3288" s="2"/>
      <c r="J3288" s="2"/>
      <c r="N3288" s="2"/>
    </row>
    <row r="3289" spans="6:14" x14ac:dyDescent="0.2">
      <c r="F3289" s="1"/>
      <c r="H3289" s="1"/>
      <c r="I3289" s="2"/>
      <c r="J3289" s="2"/>
      <c r="N3289" s="2"/>
    </row>
    <row r="3290" spans="6:14" x14ac:dyDescent="0.2">
      <c r="F3290" s="1"/>
      <c r="H3290" s="1"/>
      <c r="I3290" s="2"/>
      <c r="J3290" s="2"/>
      <c r="N3290" s="2"/>
    </row>
    <row r="3291" spans="6:14" x14ac:dyDescent="0.2">
      <c r="F3291" s="1"/>
      <c r="H3291" s="1"/>
      <c r="I3291" s="2"/>
      <c r="J3291" s="2"/>
      <c r="N3291" s="2"/>
    </row>
    <row r="3292" spans="6:14" x14ac:dyDescent="0.2">
      <c r="F3292" s="1"/>
      <c r="H3292" s="1"/>
      <c r="I3292" s="2"/>
      <c r="J3292" s="2"/>
      <c r="N3292" s="2"/>
    </row>
    <row r="3293" spans="6:14" x14ac:dyDescent="0.2">
      <c r="F3293" s="1"/>
      <c r="H3293" s="1"/>
      <c r="I3293" s="2"/>
      <c r="J3293" s="2"/>
      <c r="N3293" s="2"/>
    </row>
    <row r="3294" spans="6:14" x14ac:dyDescent="0.2">
      <c r="F3294" s="1"/>
      <c r="H3294" s="1"/>
      <c r="I3294" s="2"/>
      <c r="J3294" s="2"/>
      <c r="N3294" s="2"/>
    </row>
    <row r="3295" spans="6:14" x14ac:dyDescent="0.2">
      <c r="F3295" s="1"/>
      <c r="H3295" s="1"/>
      <c r="I3295" s="2"/>
      <c r="J3295" s="2"/>
      <c r="N3295" s="2"/>
    </row>
    <row r="3296" spans="6:14" x14ac:dyDescent="0.2">
      <c r="F3296" s="1"/>
      <c r="H3296" s="1"/>
      <c r="I3296" s="2"/>
      <c r="J3296" s="2"/>
      <c r="N3296" s="2"/>
    </row>
    <row r="3297" spans="2:14" x14ac:dyDescent="0.2">
      <c r="F3297" s="1"/>
      <c r="H3297" s="1"/>
      <c r="I3297" s="2"/>
      <c r="J3297" s="2"/>
      <c r="N3297" s="2"/>
    </row>
    <row r="3298" spans="2:14" x14ac:dyDescent="0.2">
      <c r="F3298" s="1"/>
      <c r="H3298" s="1"/>
      <c r="I3298" s="2"/>
      <c r="J3298" s="2"/>
      <c r="N3298" s="2"/>
    </row>
    <row r="3299" spans="2:14" x14ac:dyDescent="0.2">
      <c r="F3299" s="1"/>
      <c r="H3299" s="1"/>
      <c r="I3299" s="2"/>
      <c r="J3299" s="2"/>
      <c r="N3299" s="2"/>
    </row>
    <row r="3300" spans="2:14" x14ac:dyDescent="0.2">
      <c r="F3300" s="1"/>
      <c r="H3300" s="1"/>
      <c r="I3300" s="2"/>
      <c r="J3300" s="2"/>
      <c r="N3300" s="2"/>
    </row>
    <row r="3301" spans="2:14" x14ac:dyDescent="0.2">
      <c r="F3301" s="1"/>
      <c r="H3301" s="1"/>
      <c r="I3301" s="2"/>
      <c r="J3301" s="2"/>
      <c r="N3301" s="2"/>
    </row>
    <row r="3302" spans="2:14" x14ac:dyDescent="0.2">
      <c r="F3302" s="1"/>
      <c r="H3302" s="1"/>
      <c r="I3302" s="2"/>
      <c r="J3302" s="2"/>
      <c r="N3302" s="2"/>
    </row>
    <row r="3303" spans="2:14" x14ac:dyDescent="0.2">
      <c r="F3303" s="1"/>
      <c r="H3303" s="1"/>
      <c r="I3303" s="2"/>
      <c r="J3303" s="2"/>
      <c r="N3303" s="2"/>
    </row>
    <row r="3304" spans="2:14" x14ac:dyDescent="0.2">
      <c r="F3304" s="1"/>
      <c r="H3304" s="1"/>
      <c r="I3304" s="2"/>
      <c r="J3304" s="2"/>
      <c r="N3304" s="2"/>
    </row>
    <row r="3305" spans="2:14" x14ac:dyDescent="0.2">
      <c r="F3305" s="1"/>
      <c r="H3305" s="1"/>
      <c r="I3305" s="2"/>
      <c r="J3305" s="2"/>
      <c r="N3305" s="2"/>
    </row>
    <row r="3306" spans="2:14" x14ac:dyDescent="0.2">
      <c r="F3306" s="1"/>
      <c r="H3306" s="1"/>
      <c r="I3306" s="2"/>
      <c r="J3306" s="2"/>
      <c r="N3306" s="2"/>
    </row>
    <row r="3307" spans="2:14" x14ac:dyDescent="0.2">
      <c r="F3307" s="1"/>
      <c r="H3307" s="1"/>
      <c r="I3307" s="2"/>
      <c r="J3307" s="2"/>
      <c r="N3307" s="2"/>
    </row>
    <row r="3308" spans="2:14" x14ac:dyDescent="0.2">
      <c r="F3308" s="1"/>
      <c r="H3308" s="1"/>
      <c r="I3308" s="2"/>
      <c r="J3308" s="2"/>
      <c r="N3308" s="2"/>
    </row>
    <row r="3309" spans="2:14" x14ac:dyDescent="0.2">
      <c r="F3309" s="1"/>
      <c r="H3309" s="1"/>
      <c r="I3309" s="2"/>
      <c r="J3309" s="2"/>
      <c r="N3309" s="2"/>
    </row>
    <row r="3310" spans="2:14" x14ac:dyDescent="0.2">
      <c r="F3310" s="1"/>
      <c r="H3310" s="1"/>
      <c r="I3310" s="2"/>
      <c r="J3310" s="2"/>
      <c r="N3310" s="2"/>
    </row>
    <row r="3311" spans="2:14" x14ac:dyDescent="0.2">
      <c r="B3311" s="3"/>
      <c r="C3311" s="3"/>
      <c r="D3311" s="3"/>
      <c r="E3311" s="3"/>
      <c r="F3311" s="4"/>
      <c r="G3311" s="3"/>
      <c r="H3311" s="4"/>
      <c r="I3311" s="5"/>
      <c r="J3311" s="5"/>
      <c r="K3311" s="3"/>
      <c r="L3311" s="3"/>
      <c r="M3311" s="3"/>
      <c r="N3311" s="5"/>
    </row>
    <row r="3312" spans="2:14" x14ac:dyDescent="0.2">
      <c r="F3312" s="1"/>
      <c r="H3312" s="1"/>
      <c r="I3312" s="2"/>
      <c r="J3312" s="2"/>
      <c r="N3312" s="2"/>
    </row>
    <row r="3313" spans="1:15" x14ac:dyDescent="0.2">
      <c r="F3313" s="1"/>
      <c r="H3313" s="1"/>
      <c r="I3313" s="2"/>
      <c r="J3313" s="2"/>
      <c r="N3313" s="2"/>
    </row>
    <row r="3314" spans="1:15" x14ac:dyDescent="0.2">
      <c r="F3314" s="1"/>
      <c r="H3314" s="1"/>
      <c r="I3314" s="2"/>
      <c r="J3314" s="2"/>
      <c r="N3314" s="2"/>
    </row>
    <row r="3315" spans="1:15" x14ac:dyDescent="0.2">
      <c r="B3315" s="3"/>
      <c r="C3315" s="3"/>
      <c r="D3315" s="3"/>
      <c r="E3315" s="3"/>
      <c r="F3315" s="4"/>
      <c r="G3315" s="3"/>
      <c r="H3315" s="4"/>
      <c r="I3315" s="5"/>
      <c r="J3315" s="5"/>
      <c r="K3315" s="3"/>
      <c r="L3315" s="3"/>
      <c r="M3315" s="3"/>
      <c r="N3315" s="5"/>
    </row>
    <row r="3316" spans="1:15" x14ac:dyDescent="0.2">
      <c r="B3316" s="6"/>
      <c r="C3316" s="6"/>
      <c r="D3316" s="6"/>
      <c r="E3316" s="6"/>
      <c r="F3316" s="7"/>
      <c r="G3316" s="6"/>
      <c r="H3316" s="7"/>
      <c r="I3316" s="8"/>
      <c r="J3316" s="8"/>
      <c r="K3316" s="6"/>
      <c r="L3316" s="6"/>
      <c r="M3316" s="6"/>
      <c r="N3316" s="8"/>
    </row>
    <row r="3317" spans="1:15" x14ac:dyDescent="0.2">
      <c r="B3317" s="6"/>
      <c r="C3317" s="6"/>
      <c r="D3317" s="6"/>
      <c r="E3317" s="6"/>
      <c r="F3317" s="7"/>
      <c r="G3317" s="6"/>
      <c r="H3317" s="7"/>
      <c r="I3317" s="8"/>
      <c r="J3317" s="8"/>
      <c r="K3317" s="6"/>
      <c r="L3317" s="6"/>
      <c r="M3317" s="6"/>
      <c r="N3317" s="8"/>
    </row>
    <row r="3318" spans="1:15" x14ac:dyDescent="0.2">
      <c r="B3318" s="6"/>
      <c r="C3318" s="6"/>
      <c r="D3318" s="6"/>
      <c r="E3318" s="6"/>
      <c r="F3318" s="7"/>
      <c r="G3318" s="6"/>
      <c r="H3318" s="7"/>
      <c r="I3318" s="8"/>
      <c r="J3318" s="8"/>
      <c r="K3318" s="6"/>
      <c r="L3318" s="6"/>
      <c r="M3318" s="6"/>
      <c r="N3318" s="8"/>
    </row>
    <row r="3319" spans="1:15" x14ac:dyDescent="0.2">
      <c r="B3319" s="6"/>
      <c r="C3319" s="6"/>
      <c r="D3319" s="6"/>
      <c r="E3319" s="6"/>
      <c r="F3319" s="7"/>
      <c r="G3319" s="6"/>
      <c r="H3319" s="7"/>
      <c r="I3319" s="8"/>
      <c r="J3319" s="8"/>
      <c r="K3319" s="6"/>
      <c r="L3319" s="6"/>
      <c r="M3319" s="6"/>
      <c r="N3319" s="8"/>
    </row>
    <row r="3320" spans="1:15" x14ac:dyDescent="0.2">
      <c r="A3320" t="str">
        <f t="shared" ref="A3320:A3330" si="50">IFERROR(IF(J3320=0,B3320&amp;D3320&amp;I3320&amp;E3320,C3320&amp;D3320&amp;J3320&amp;G3320),"")</f>
        <v/>
      </c>
      <c r="O3320" t="str">
        <f>IFERROR(VLOOKUP($A3320,Accounts!$A:$G,8,FALSE),"")</f>
        <v/>
      </c>
    </row>
    <row r="3321" spans="1:15" x14ac:dyDescent="0.2">
      <c r="A3321" t="str">
        <f t="shared" si="50"/>
        <v/>
      </c>
      <c r="O3321" t="str">
        <f>IFERROR(VLOOKUP($A3321,Accounts!$A:$G,8,FALSE),"")</f>
        <v/>
      </c>
    </row>
    <row r="3322" spans="1:15" x14ac:dyDescent="0.2">
      <c r="A3322" t="str">
        <f t="shared" si="50"/>
        <v/>
      </c>
      <c r="O3322" t="str">
        <f>IFERROR(VLOOKUP($A3322,Accounts!$A:$G,8,FALSE),"")</f>
        <v/>
      </c>
    </row>
    <row r="3323" spans="1:15" x14ac:dyDescent="0.2">
      <c r="A3323" t="str">
        <f t="shared" si="50"/>
        <v/>
      </c>
      <c r="O3323" t="str">
        <f>IFERROR(VLOOKUP($A3323,Accounts!$A:$G,8,FALSE),"")</f>
        <v/>
      </c>
    </row>
    <row r="3324" spans="1:15" x14ac:dyDescent="0.2">
      <c r="A3324" t="str">
        <f t="shared" si="50"/>
        <v/>
      </c>
      <c r="O3324" t="str">
        <f>IFERROR(VLOOKUP($A3324,Accounts!$A:$G,8,FALSE),"")</f>
        <v/>
      </c>
    </row>
    <row r="3325" spans="1:15" x14ac:dyDescent="0.2">
      <c r="A3325" t="str">
        <f t="shared" si="50"/>
        <v/>
      </c>
      <c r="O3325" t="str">
        <f>IFERROR(VLOOKUP($A3325,Accounts!$A:$G,8,FALSE),"")</f>
        <v/>
      </c>
    </row>
    <row r="3326" spans="1:15" x14ac:dyDescent="0.2">
      <c r="A3326" t="str">
        <f t="shared" si="50"/>
        <v/>
      </c>
      <c r="O3326" t="str">
        <f>IFERROR(VLOOKUP($A3326,Accounts!$A:$G,8,FALSE),"")</f>
        <v/>
      </c>
    </row>
    <row r="3327" spans="1:15" x14ac:dyDescent="0.2">
      <c r="A3327" t="str">
        <f t="shared" si="50"/>
        <v/>
      </c>
      <c r="O3327" t="str">
        <f>IFERROR(VLOOKUP($A3327,Accounts!$A:$G,8,FALSE),"")</f>
        <v/>
      </c>
    </row>
    <row r="3328" spans="1:15" x14ac:dyDescent="0.2">
      <c r="A3328" t="str">
        <f t="shared" si="50"/>
        <v/>
      </c>
      <c r="O3328" t="str">
        <f>IFERROR(VLOOKUP($A3328,Accounts!$A:$G,8,FALSE),"")</f>
        <v/>
      </c>
    </row>
    <row r="3329" spans="1:15" x14ac:dyDescent="0.2">
      <c r="A3329" t="str">
        <f t="shared" si="50"/>
        <v/>
      </c>
      <c r="O3329" t="str">
        <f>IFERROR(VLOOKUP($A3329,Accounts!$A:$G,8,FALSE),"")</f>
        <v/>
      </c>
    </row>
    <row r="3330" spans="1:15" x14ac:dyDescent="0.2">
      <c r="A3330" t="str">
        <f t="shared" si="50"/>
        <v/>
      </c>
      <c r="O3330" t="str">
        <f>IFERROR(VLOOKUP($A3330,Accounts!$A:$G,8,FALSE),"")</f>
        <v/>
      </c>
    </row>
    <row r="3331" spans="1:15" x14ac:dyDescent="0.2">
      <c r="A3331" t="str">
        <f t="shared" ref="A3331:A3394" si="51">IFERROR(IF(J3331=0,B3331&amp;D3331&amp;I3331&amp;E3331,C3331&amp;D3331&amp;J3331&amp;G3331),"")</f>
        <v/>
      </c>
      <c r="O3331" t="str">
        <f>IFERROR(VLOOKUP($A3331,Accounts!$A:$G,8,FALSE),"")</f>
        <v/>
      </c>
    </row>
    <row r="3332" spans="1:15" x14ac:dyDescent="0.2">
      <c r="A3332" t="str">
        <f t="shared" si="51"/>
        <v/>
      </c>
      <c r="O3332" t="str">
        <f>IFERROR(VLOOKUP($A3332,Accounts!$A:$G,8,FALSE),"")</f>
        <v/>
      </c>
    </row>
    <row r="3333" spans="1:15" x14ac:dyDescent="0.2">
      <c r="A3333" t="str">
        <f t="shared" si="51"/>
        <v/>
      </c>
      <c r="O3333" t="str">
        <f>IFERROR(VLOOKUP($A3333,Accounts!$A:$G,8,FALSE),"")</f>
        <v/>
      </c>
    </row>
    <row r="3334" spans="1:15" x14ac:dyDescent="0.2">
      <c r="A3334" t="str">
        <f t="shared" si="51"/>
        <v/>
      </c>
      <c r="O3334" t="str">
        <f>IFERROR(VLOOKUP($A3334,Accounts!$A:$G,8,FALSE),"")</f>
        <v/>
      </c>
    </row>
    <row r="3335" spans="1:15" x14ac:dyDescent="0.2">
      <c r="A3335" t="str">
        <f t="shared" si="51"/>
        <v/>
      </c>
      <c r="O3335" t="str">
        <f>IFERROR(VLOOKUP($A3335,Accounts!$A:$G,8,FALSE),"")</f>
        <v/>
      </c>
    </row>
    <row r="3336" spans="1:15" x14ac:dyDescent="0.2">
      <c r="A3336" t="str">
        <f t="shared" si="51"/>
        <v/>
      </c>
      <c r="O3336" t="str">
        <f>IFERROR(VLOOKUP($A3336,Accounts!$A:$G,8,FALSE),"")</f>
        <v/>
      </c>
    </row>
    <row r="3337" spans="1:15" x14ac:dyDescent="0.2">
      <c r="A3337" t="str">
        <f t="shared" si="51"/>
        <v/>
      </c>
      <c r="O3337" t="str">
        <f>IFERROR(VLOOKUP($A3337,Accounts!$A:$G,8,FALSE),"")</f>
        <v/>
      </c>
    </row>
    <row r="3338" spans="1:15" x14ac:dyDescent="0.2">
      <c r="A3338" t="str">
        <f t="shared" si="51"/>
        <v/>
      </c>
      <c r="O3338" t="str">
        <f>IFERROR(VLOOKUP($A3338,Accounts!$A:$G,8,FALSE),"")</f>
        <v/>
      </c>
    </row>
    <row r="3339" spans="1:15" x14ac:dyDescent="0.2">
      <c r="A3339" t="str">
        <f t="shared" si="51"/>
        <v/>
      </c>
      <c r="O3339" t="str">
        <f>IFERROR(VLOOKUP($A3339,Accounts!$A:$G,8,FALSE),"")</f>
        <v/>
      </c>
    </row>
    <row r="3340" spans="1:15" x14ac:dyDescent="0.2">
      <c r="A3340" t="str">
        <f t="shared" si="51"/>
        <v/>
      </c>
      <c r="O3340" t="str">
        <f>IFERROR(VLOOKUP($A3340,Accounts!$A:$G,8,FALSE),"")</f>
        <v/>
      </c>
    </row>
    <row r="3341" spans="1:15" x14ac:dyDescent="0.2">
      <c r="A3341" t="str">
        <f t="shared" si="51"/>
        <v/>
      </c>
      <c r="O3341" t="str">
        <f>IFERROR(VLOOKUP($A3341,Accounts!$A:$G,8,FALSE),"")</f>
        <v/>
      </c>
    </row>
    <row r="3342" spans="1:15" x14ac:dyDescent="0.2">
      <c r="A3342" t="str">
        <f t="shared" si="51"/>
        <v/>
      </c>
      <c r="O3342" t="str">
        <f>IFERROR(VLOOKUP($A3342,Accounts!$A:$G,8,FALSE),"")</f>
        <v/>
      </c>
    </row>
    <row r="3343" spans="1:15" x14ac:dyDescent="0.2">
      <c r="A3343" t="str">
        <f t="shared" si="51"/>
        <v/>
      </c>
      <c r="O3343" t="str">
        <f>IFERROR(VLOOKUP($A3343,Accounts!$A:$G,8,FALSE),"")</f>
        <v/>
      </c>
    </row>
    <row r="3344" spans="1:15" x14ac:dyDescent="0.2">
      <c r="A3344" t="str">
        <f t="shared" si="51"/>
        <v/>
      </c>
      <c r="O3344" t="str">
        <f>IFERROR(VLOOKUP($A3344,Accounts!$A:$G,8,FALSE),"")</f>
        <v/>
      </c>
    </row>
    <row r="3345" spans="1:15" x14ac:dyDescent="0.2">
      <c r="A3345" t="str">
        <f t="shared" si="51"/>
        <v/>
      </c>
      <c r="O3345" t="str">
        <f>IFERROR(VLOOKUP($A3345,Accounts!$A:$G,8,FALSE),"")</f>
        <v/>
      </c>
    </row>
    <row r="3346" spans="1:15" x14ac:dyDescent="0.2">
      <c r="A3346" t="str">
        <f t="shared" si="51"/>
        <v/>
      </c>
      <c r="O3346" t="str">
        <f>IFERROR(VLOOKUP($A3346,Accounts!$A:$G,8,FALSE),"")</f>
        <v/>
      </c>
    </row>
    <row r="3347" spans="1:15" x14ac:dyDescent="0.2">
      <c r="A3347" t="str">
        <f t="shared" si="51"/>
        <v/>
      </c>
      <c r="O3347" t="str">
        <f>IFERROR(VLOOKUP($A3347,Accounts!$A:$G,8,FALSE),"")</f>
        <v/>
      </c>
    </row>
    <row r="3348" spans="1:15" x14ac:dyDescent="0.2">
      <c r="A3348" t="str">
        <f t="shared" si="51"/>
        <v/>
      </c>
      <c r="O3348" t="str">
        <f>IFERROR(VLOOKUP($A3348,Accounts!$A:$G,8,FALSE),"")</f>
        <v/>
      </c>
    </row>
    <row r="3349" spans="1:15" x14ac:dyDescent="0.2">
      <c r="A3349" t="str">
        <f t="shared" si="51"/>
        <v/>
      </c>
      <c r="O3349" t="str">
        <f>IFERROR(VLOOKUP($A3349,Accounts!$A:$G,8,FALSE),"")</f>
        <v/>
      </c>
    </row>
    <row r="3350" spans="1:15" x14ac:dyDescent="0.2">
      <c r="A3350" t="str">
        <f t="shared" si="51"/>
        <v/>
      </c>
      <c r="O3350" t="str">
        <f>IFERROR(VLOOKUP($A3350,Accounts!$A:$G,8,FALSE),"")</f>
        <v/>
      </c>
    </row>
    <row r="3351" spans="1:15" x14ac:dyDescent="0.2">
      <c r="A3351" t="str">
        <f t="shared" si="51"/>
        <v/>
      </c>
      <c r="O3351" t="str">
        <f>IFERROR(VLOOKUP($A3351,Accounts!$A:$G,8,FALSE),"")</f>
        <v/>
      </c>
    </row>
    <row r="3352" spans="1:15" x14ac:dyDescent="0.2">
      <c r="A3352" t="str">
        <f t="shared" si="51"/>
        <v/>
      </c>
      <c r="O3352" t="str">
        <f>IFERROR(VLOOKUP($A3352,Accounts!$A:$G,8,FALSE),"")</f>
        <v/>
      </c>
    </row>
    <row r="3353" spans="1:15" x14ac:dyDescent="0.2">
      <c r="A3353" t="str">
        <f t="shared" si="51"/>
        <v/>
      </c>
      <c r="O3353" t="str">
        <f>IFERROR(VLOOKUP($A3353,Accounts!$A:$G,8,FALSE),"")</f>
        <v/>
      </c>
    </row>
    <row r="3354" spans="1:15" x14ac:dyDescent="0.2">
      <c r="A3354" t="str">
        <f t="shared" si="51"/>
        <v/>
      </c>
      <c r="O3354" t="str">
        <f>IFERROR(VLOOKUP($A3354,Accounts!$A:$G,8,FALSE),"")</f>
        <v/>
      </c>
    </row>
    <row r="3355" spans="1:15" x14ac:dyDescent="0.2">
      <c r="A3355" t="str">
        <f t="shared" si="51"/>
        <v/>
      </c>
      <c r="O3355" t="str">
        <f>IFERROR(VLOOKUP($A3355,Accounts!$A:$G,8,FALSE),"")</f>
        <v/>
      </c>
    </row>
    <row r="3356" spans="1:15" x14ac:dyDescent="0.2">
      <c r="A3356" t="str">
        <f t="shared" si="51"/>
        <v/>
      </c>
      <c r="O3356" t="str">
        <f>IFERROR(VLOOKUP($A3356,Accounts!$A:$G,8,FALSE),"")</f>
        <v/>
      </c>
    </row>
    <row r="3357" spans="1:15" x14ac:dyDescent="0.2">
      <c r="A3357" t="str">
        <f t="shared" si="51"/>
        <v/>
      </c>
      <c r="O3357" t="str">
        <f>IFERROR(VLOOKUP($A3357,Accounts!$A:$G,8,FALSE),"")</f>
        <v/>
      </c>
    </row>
    <row r="3358" spans="1:15" x14ac:dyDescent="0.2">
      <c r="A3358" t="str">
        <f t="shared" si="51"/>
        <v/>
      </c>
      <c r="O3358" t="str">
        <f>IFERROR(VLOOKUP($A3358,Accounts!$A:$G,8,FALSE),"")</f>
        <v/>
      </c>
    </row>
    <row r="3359" spans="1:15" x14ac:dyDescent="0.2">
      <c r="A3359" t="str">
        <f t="shared" si="51"/>
        <v/>
      </c>
      <c r="O3359" t="str">
        <f>IFERROR(VLOOKUP($A3359,Accounts!$A:$G,8,FALSE),"")</f>
        <v/>
      </c>
    </row>
    <row r="3360" spans="1:15" x14ac:dyDescent="0.2">
      <c r="A3360" t="str">
        <f t="shared" si="51"/>
        <v/>
      </c>
      <c r="O3360" t="str">
        <f>IFERROR(VLOOKUP($A3360,Accounts!$A:$G,8,FALSE),"")</f>
        <v/>
      </c>
    </row>
    <row r="3361" spans="1:15" x14ac:dyDescent="0.2">
      <c r="A3361" t="str">
        <f t="shared" si="51"/>
        <v/>
      </c>
      <c r="O3361" t="str">
        <f>IFERROR(VLOOKUP($A3361,Accounts!$A:$G,8,FALSE),"")</f>
        <v/>
      </c>
    </row>
    <row r="3362" spans="1:15" x14ac:dyDescent="0.2">
      <c r="A3362" t="str">
        <f t="shared" si="51"/>
        <v/>
      </c>
      <c r="O3362" t="str">
        <f>IFERROR(VLOOKUP($A3362,Accounts!$A:$G,8,FALSE),"")</f>
        <v/>
      </c>
    </row>
    <row r="3363" spans="1:15" x14ac:dyDescent="0.2">
      <c r="A3363" t="str">
        <f t="shared" si="51"/>
        <v/>
      </c>
      <c r="O3363" t="str">
        <f>IFERROR(VLOOKUP($A3363,Accounts!$A:$G,8,FALSE),"")</f>
        <v/>
      </c>
    </row>
    <row r="3364" spans="1:15" x14ac:dyDescent="0.2">
      <c r="A3364" t="str">
        <f t="shared" si="51"/>
        <v/>
      </c>
      <c r="O3364" t="str">
        <f>IFERROR(VLOOKUP($A3364,Accounts!$A:$G,8,FALSE),"")</f>
        <v/>
      </c>
    </row>
    <row r="3365" spans="1:15" x14ac:dyDescent="0.2">
      <c r="A3365" t="str">
        <f t="shared" si="51"/>
        <v/>
      </c>
      <c r="O3365" t="str">
        <f>IFERROR(VLOOKUP($A3365,Accounts!$A:$G,8,FALSE),"")</f>
        <v/>
      </c>
    </row>
    <row r="3366" spans="1:15" x14ac:dyDescent="0.2">
      <c r="A3366" t="str">
        <f t="shared" si="51"/>
        <v/>
      </c>
      <c r="O3366" t="str">
        <f>IFERROR(VLOOKUP($A3366,Accounts!$A:$G,8,FALSE),"")</f>
        <v/>
      </c>
    </row>
    <row r="3367" spans="1:15" x14ac:dyDescent="0.2">
      <c r="A3367" t="str">
        <f t="shared" si="51"/>
        <v/>
      </c>
      <c r="O3367" t="str">
        <f>IFERROR(VLOOKUP($A3367,Accounts!$A:$G,8,FALSE),"")</f>
        <v/>
      </c>
    </row>
    <row r="3368" spans="1:15" x14ac:dyDescent="0.2">
      <c r="A3368" t="str">
        <f t="shared" si="51"/>
        <v/>
      </c>
      <c r="O3368" t="str">
        <f>IFERROR(VLOOKUP($A3368,Accounts!$A:$G,8,FALSE),"")</f>
        <v/>
      </c>
    </row>
    <row r="3369" spans="1:15" x14ac:dyDescent="0.2">
      <c r="A3369" t="str">
        <f t="shared" si="51"/>
        <v/>
      </c>
      <c r="O3369" t="str">
        <f>IFERROR(VLOOKUP($A3369,Accounts!$A:$G,8,FALSE),"")</f>
        <v/>
      </c>
    </row>
    <row r="3370" spans="1:15" x14ac:dyDescent="0.2">
      <c r="A3370" t="str">
        <f t="shared" si="51"/>
        <v/>
      </c>
      <c r="O3370" t="str">
        <f>IFERROR(VLOOKUP($A3370,Accounts!$A:$G,8,FALSE),"")</f>
        <v/>
      </c>
    </row>
    <row r="3371" spans="1:15" x14ac:dyDescent="0.2">
      <c r="A3371" t="str">
        <f t="shared" si="51"/>
        <v/>
      </c>
      <c r="O3371" t="str">
        <f>IFERROR(VLOOKUP($A3371,Accounts!$A:$G,8,FALSE),"")</f>
        <v/>
      </c>
    </row>
    <row r="3372" spans="1:15" x14ac:dyDescent="0.2">
      <c r="A3372" t="str">
        <f t="shared" si="51"/>
        <v/>
      </c>
      <c r="O3372" t="str">
        <f>IFERROR(VLOOKUP($A3372,Accounts!$A:$G,8,FALSE),"")</f>
        <v/>
      </c>
    </row>
    <row r="3373" spans="1:15" x14ac:dyDescent="0.2">
      <c r="A3373" t="str">
        <f t="shared" si="51"/>
        <v/>
      </c>
      <c r="O3373" t="str">
        <f>IFERROR(VLOOKUP($A3373,Accounts!$A:$G,8,FALSE),"")</f>
        <v/>
      </c>
    </row>
    <row r="3374" spans="1:15" x14ac:dyDescent="0.2">
      <c r="A3374" t="str">
        <f t="shared" si="51"/>
        <v/>
      </c>
      <c r="O3374" t="str">
        <f>IFERROR(VLOOKUP($A3374,Accounts!$A:$G,8,FALSE),"")</f>
        <v/>
      </c>
    </row>
    <row r="3375" spans="1:15" x14ac:dyDescent="0.2">
      <c r="A3375" t="str">
        <f t="shared" si="51"/>
        <v/>
      </c>
      <c r="O3375" t="str">
        <f>IFERROR(VLOOKUP($A3375,Accounts!$A:$G,8,FALSE),"")</f>
        <v/>
      </c>
    </row>
    <row r="3376" spans="1:15" x14ac:dyDescent="0.2">
      <c r="A3376" t="str">
        <f t="shared" si="51"/>
        <v/>
      </c>
      <c r="O3376" t="str">
        <f>IFERROR(VLOOKUP($A3376,Accounts!$A:$G,8,FALSE),"")</f>
        <v/>
      </c>
    </row>
    <row r="3377" spans="1:15" x14ac:dyDescent="0.2">
      <c r="A3377" t="str">
        <f t="shared" si="51"/>
        <v/>
      </c>
      <c r="O3377" t="str">
        <f>IFERROR(VLOOKUP($A3377,Accounts!$A:$G,8,FALSE),"")</f>
        <v/>
      </c>
    </row>
    <row r="3378" spans="1:15" x14ac:dyDescent="0.2">
      <c r="A3378" t="str">
        <f t="shared" si="51"/>
        <v/>
      </c>
      <c r="O3378" t="str">
        <f>IFERROR(VLOOKUP($A3378,Accounts!$A:$G,8,FALSE),"")</f>
        <v/>
      </c>
    </row>
    <row r="3379" spans="1:15" x14ac:dyDescent="0.2">
      <c r="A3379" t="str">
        <f t="shared" si="51"/>
        <v/>
      </c>
      <c r="O3379" t="str">
        <f>IFERROR(VLOOKUP($A3379,Accounts!$A:$G,8,FALSE),"")</f>
        <v/>
      </c>
    </row>
    <row r="3380" spans="1:15" x14ac:dyDescent="0.2">
      <c r="A3380" t="str">
        <f t="shared" si="51"/>
        <v/>
      </c>
      <c r="O3380" t="str">
        <f>IFERROR(VLOOKUP($A3380,Accounts!$A:$G,8,FALSE),"")</f>
        <v/>
      </c>
    </row>
    <row r="3381" spans="1:15" x14ac:dyDescent="0.2">
      <c r="A3381" t="str">
        <f t="shared" si="51"/>
        <v/>
      </c>
      <c r="O3381" t="str">
        <f>IFERROR(VLOOKUP($A3381,Accounts!$A:$G,8,FALSE),"")</f>
        <v/>
      </c>
    </row>
    <row r="3382" spans="1:15" x14ac:dyDescent="0.2">
      <c r="A3382" t="str">
        <f t="shared" si="51"/>
        <v/>
      </c>
      <c r="O3382" t="str">
        <f>IFERROR(VLOOKUP($A3382,Accounts!$A:$G,8,FALSE),"")</f>
        <v/>
      </c>
    </row>
    <row r="3383" spans="1:15" x14ac:dyDescent="0.2">
      <c r="A3383" t="str">
        <f t="shared" si="51"/>
        <v/>
      </c>
      <c r="O3383" t="str">
        <f>IFERROR(VLOOKUP($A3383,Accounts!$A:$G,8,FALSE),"")</f>
        <v/>
      </c>
    </row>
    <row r="3384" spans="1:15" x14ac:dyDescent="0.2">
      <c r="A3384" t="str">
        <f t="shared" si="51"/>
        <v/>
      </c>
      <c r="O3384" t="str">
        <f>IFERROR(VLOOKUP($A3384,Accounts!$A:$G,8,FALSE),"")</f>
        <v/>
      </c>
    </row>
    <row r="3385" spans="1:15" x14ac:dyDescent="0.2">
      <c r="A3385" t="str">
        <f t="shared" si="51"/>
        <v/>
      </c>
      <c r="O3385" t="str">
        <f>IFERROR(VLOOKUP($A3385,Accounts!$A:$G,8,FALSE),"")</f>
        <v/>
      </c>
    </row>
    <row r="3386" spans="1:15" x14ac:dyDescent="0.2">
      <c r="A3386" t="str">
        <f t="shared" si="51"/>
        <v/>
      </c>
      <c r="O3386" t="str">
        <f>IFERROR(VLOOKUP($A3386,Accounts!$A:$G,8,FALSE),"")</f>
        <v/>
      </c>
    </row>
    <row r="3387" spans="1:15" x14ac:dyDescent="0.2">
      <c r="A3387" t="str">
        <f t="shared" si="51"/>
        <v/>
      </c>
      <c r="O3387" t="str">
        <f>IFERROR(VLOOKUP($A3387,Accounts!$A:$G,8,FALSE),"")</f>
        <v/>
      </c>
    </row>
    <row r="3388" spans="1:15" x14ac:dyDescent="0.2">
      <c r="A3388" t="str">
        <f t="shared" si="51"/>
        <v/>
      </c>
      <c r="O3388" t="str">
        <f>IFERROR(VLOOKUP($A3388,Accounts!$A:$G,8,FALSE),"")</f>
        <v/>
      </c>
    </row>
    <row r="3389" spans="1:15" x14ac:dyDescent="0.2">
      <c r="A3389" t="str">
        <f t="shared" si="51"/>
        <v/>
      </c>
      <c r="O3389" t="str">
        <f>IFERROR(VLOOKUP($A3389,Accounts!$A:$G,8,FALSE),"")</f>
        <v/>
      </c>
    </row>
    <row r="3390" spans="1:15" x14ac:dyDescent="0.2">
      <c r="A3390" t="str">
        <f t="shared" si="51"/>
        <v/>
      </c>
      <c r="O3390" t="str">
        <f>IFERROR(VLOOKUP($A3390,Accounts!$A:$G,8,FALSE),"")</f>
        <v/>
      </c>
    </row>
    <row r="3391" spans="1:15" x14ac:dyDescent="0.2">
      <c r="A3391" t="str">
        <f t="shared" si="51"/>
        <v/>
      </c>
      <c r="O3391" t="str">
        <f>IFERROR(VLOOKUP($A3391,Accounts!$A:$G,8,FALSE),"")</f>
        <v/>
      </c>
    </row>
    <row r="3392" spans="1:15" x14ac:dyDescent="0.2">
      <c r="A3392" t="str">
        <f t="shared" si="51"/>
        <v/>
      </c>
      <c r="O3392" t="str">
        <f>IFERROR(VLOOKUP($A3392,Accounts!$A:$G,8,FALSE),"")</f>
        <v/>
      </c>
    </row>
    <row r="3393" spans="1:15" x14ac:dyDescent="0.2">
      <c r="A3393" t="str">
        <f t="shared" si="51"/>
        <v/>
      </c>
      <c r="O3393" t="str">
        <f>IFERROR(VLOOKUP($A3393,Accounts!$A:$G,8,FALSE),"")</f>
        <v/>
      </c>
    </row>
    <row r="3394" spans="1:15" x14ac:dyDescent="0.2">
      <c r="A3394" t="str">
        <f t="shared" si="51"/>
        <v/>
      </c>
      <c r="O3394" t="str">
        <f>IFERROR(VLOOKUP($A3394,Accounts!$A:$G,8,FALSE),"")</f>
        <v/>
      </c>
    </row>
    <row r="3395" spans="1:15" x14ac:dyDescent="0.2">
      <c r="A3395" t="str">
        <f t="shared" ref="A3395:A3458" si="52">IFERROR(IF(J3395=0,B3395&amp;D3395&amp;I3395&amp;E3395,C3395&amp;D3395&amp;J3395&amp;G3395),"")</f>
        <v/>
      </c>
      <c r="O3395" t="str">
        <f>IFERROR(VLOOKUP($A3395,Accounts!$A:$G,8,FALSE),"")</f>
        <v/>
      </c>
    </row>
    <row r="3396" spans="1:15" x14ac:dyDescent="0.2">
      <c r="A3396" t="str">
        <f t="shared" si="52"/>
        <v/>
      </c>
      <c r="O3396" t="str">
        <f>IFERROR(VLOOKUP($A3396,Accounts!$A:$G,8,FALSE),"")</f>
        <v/>
      </c>
    </row>
    <row r="3397" spans="1:15" x14ac:dyDescent="0.2">
      <c r="A3397" t="str">
        <f t="shared" si="52"/>
        <v/>
      </c>
      <c r="O3397" t="str">
        <f>IFERROR(VLOOKUP($A3397,Accounts!$A:$G,8,FALSE),"")</f>
        <v/>
      </c>
    </row>
    <row r="3398" spans="1:15" x14ac:dyDescent="0.2">
      <c r="A3398" t="str">
        <f t="shared" si="52"/>
        <v/>
      </c>
      <c r="O3398" t="str">
        <f>IFERROR(VLOOKUP($A3398,Accounts!$A:$G,8,FALSE),"")</f>
        <v/>
      </c>
    </row>
    <row r="3399" spans="1:15" x14ac:dyDescent="0.2">
      <c r="A3399" t="str">
        <f t="shared" si="52"/>
        <v/>
      </c>
      <c r="O3399" t="str">
        <f>IFERROR(VLOOKUP($A3399,Accounts!$A:$G,8,FALSE),"")</f>
        <v/>
      </c>
    </row>
    <row r="3400" spans="1:15" x14ac:dyDescent="0.2">
      <c r="A3400" t="str">
        <f t="shared" si="52"/>
        <v/>
      </c>
      <c r="O3400" t="str">
        <f>IFERROR(VLOOKUP($A3400,Accounts!$A:$G,8,FALSE),"")</f>
        <v/>
      </c>
    </row>
    <row r="3401" spans="1:15" x14ac:dyDescent="0.2">
      <c r="A3401" t="str">
        <f t="shared" si="52"/>
        <v/>
      </c>
      <c r="O3401" t="str">
        <f>IFERROR(VLOOKUP($A3401,Accounts!$A:$G,8,FALSE),"")</f>
        <v/>
      </c>
    </row>
    <row r="3402" spans="1:15" x14ac:dyDescent="0.2">
      <c r="A3402" t="str">
        <f t="shared" si="52"/>
        <v/>
      </c>
      <c r="O3402" t="str">
        <f>IFERROR(VLOOKUP($A3402,Accounts!$A:$G,8,FALSE),"")</f>
        <v/>
      </c>
    </row>
    <row r="3403" spans="1:15" x14ac:dyDescent="0.2">
      <c r="A3403" t="str">
        <f t="shared" si="52"/>
        <v/>
      </c>
      <c r="O3403" t="str">
        <f>IFERROR(VLOOKUP($A3403,Accounts!$A:$G,8,FALSE),"")</f>
        <v/>
      </c>
    </row>
    <row r="3404" spans="1:15" x14ac:dyDescent="0.2">
      <c r="A3404" t="str">
        <f t="shared" si="52"/>
        <v/>
      </c>
      <c r="O3404" t="str">
        <f>IFERROR(VLOOKUP($A3404,Accounts!$A:$G,8,FALSE),"")</f>
        <v/>
      </c>
    </row>
    <row r="3405" spans="1:15" x14ac:dyDescent="0.2">
      <c r="A3405" t="str">
        <f t="shared" si="52"/>
        <v/>
      </c>
      <c r="O3405" t="str">
        <f>IFERROR(VLOOKUP($A3405,Accounts!$A:$G,8,FALSE),"")</f>
        <v/>
      </c>
    </row>
    <row r="3406" spans="1:15" x14ac:dyDescent="0.2">
      <c r="A3406" t="str">
        <f t="shared" si="52"/>
        <v/>
      </c>
      <c r="O3406" t="str">
        <f>IFERROR(VLOOKUP($A3406,Accounts!$A:$G,8,FALSE),"")</f>
        <v/>
      </c>
    </row>
    <row r="3407" spans="1:15" x14ac:dyDescent="0.2">
      <c r="A3407" t="str">
        <f t="shared" si="52"/>
        <v/>
      </c>
      <c r="O3407" t="str">
        <f>IFERROR(VLOOKUP($A3407,Accounts!$A:$G,8,FALSE),"")</f>
        <v/>
      </c>
    </row>
    <row r="3408" spans="1:15" x14ac:dyDescent="0.2">
      <c r="A3408" t="str">
        <f t="shared" si="52"/>
        <v/>
      </c>
      <c r="O3408" t="str">
        <f>IFERROR(VLOOKUP($A3408,Accounts!$A:$G,8,FALSE),"")</f>
        <v/>
      </c>
    </row>
    <row r="3409" spans="1:15" x14ac:dyDescent="0.2">
      <c r="A3409" t="str">
        <f t="shared" si="52"/>
        <v/>
      </c>
      <c r="O3409" t="str">
        <f>IFERROR(VLOOKUP($A3409,Accounts!$A:$G,8,FALSE),"")</f>
        <v/>
      </c>
    </row>
    <row r="3410" spans="1:15" x14ac:dyDescent="0.2">
      <c r="A3410" t="str">
        <f t="shared" si="52"/>
        <v/>
      </c>
      <c r="O3410" t="str">
        <f>IFERROR(VLOOKUP($A3410,Accounts!$A:$G,8,FALSE),"")</f>
        <v/>
      </c>
    </row>
    <row r="3411" spans="1:15" x14ac:dyDescent="0.2">
      <c r="A3411" t="str">
        <f t="shared" si="52"/>
        <v/>
      </c>
      <c r="O3411" t="str">
        <f>IFERROR(VLOOKUP($A3411,Accounts!$A:$G,8,FALSE),"")</f>
        <v/>
      </c>
    </row>
    <row r="3412" spans="1:15" x14ac:dyDescent="0.2">
      <c r="A3412" t="str">
        <f t="shared" si="52"/>
        <v/>
      </c>
      <c r="O3412" t="str">
        <f>IFERROR(VLOOKUP($A3412,Accounts!$A:$G,8,FALSE),"")</f>
        <v/>
      </c>
    </row>
    <row r="3413" spans="1:15" x14ac:dyDescent="0.2">
      <c r="A3413" t="str">
        <f t="shared" si="52"/>
        <v/>
      </c>
      <c r="O3413" t="str">
        <f>IFERROR(VLOOKUP($A3413,Accounts!$A:$G,8,FALSE),"")</f>
        <v/>
      </c>
    </row>
    <row r="3414" spans="1:15" x14ac:dyDescent="0.2">
      <c r="A3414" t="str">
        <f t="shared" si="52"/>
        <v/>
      </c>
      <c r="O3414" t="str">
        <f>IFERROR(VLOOKUP($A3414,Accounts!$A:$G,8,FALSE),"")</f>
        <v/>
      </c>
    </row>
    <row r="3415" spans="1:15" x14ac:dyDescent="0.2">
      <c r="A3415" t="str">
        <f t="shared" si="52"/>
        <v/>
      </c>
      <c r="O3415" t="str">
        <f>IFERROR(VLOOKUP($A3415,Accounts!$A:$G,8,FALSE),"")</f>
        <v/>
      </c>
    </row>
    <row r="3416" spans="1:15" x14ac:dyDescent="0.2">
      <c r="A3416" t="str">
        <f t="shared" si="52"/>
        <v/>
      </c>
      <c r="O3416" t="str">
        <f>IFERROR(VLOOKUP($A3416,Accounts!$A:$G,8,FALSE),"")</f>
        <v/>
      </c>
    </row>
    <row r="3417" spans="1:15" x14ac:dyDescent="0.2">
      <c r="A3417" t="str">
        <f t="shared" si="52"/>
        <v/>
      </c>
      <c r="O3417" t="str">
        <f>IFERROR(VLOOKUP($A3417,Accounts!$A:$G,8,FALSE),"")</f>
        <v/>
      </c>
    </row>
    <row r="3418" spans="1:15" x14ac:dyDescent="0.2">
      <c r="A3418" t="str">
        <f t="shared" si="52"/>
        <v/>
      </c>
      <c r="O3418" t="str">
        <f>IFERROR(VLOOKUP($A3418,Accounts!$A:$G,8,FALSE),"")</f>
        <v/>
      </c>
    </row>
    <row r="3419" spans="1:15" x14ac:dyDescent="0.2">
      <c r="A3419" t="str">
        <f t="shared" si="52"/>
        <v/>
      </c>
      <c r="O3419" t="str">
        <f>IFERROR(VLOOKUP($A3419,Accounts!$A:$G,8,FALSE),"")</f>
        <v/>
      </c>
    </row>
    <row r="3420" spans="1:15" x14ac:dyDescent="0.2">
      <c r="A3420" t="str">
        <f t="shared" si="52"/>
        <v/>
      </c>
      <c r="O3420" t="str">
        <f>IFERROR(VLOOKUP($A3420,Accounts!$A:$G,8,FALSE),"")</f>
        <v/>
      </c>
    </row>
    <row r="3421" spans="1:15" x14ac:dyDescent="0.2">
      <c r="A3421" t="str">
        <f t="shared" si="52"/>
        <v/>
      </c>
      <c r="O3421" t="str">
        <f>IFERROR(VLOOKUP($A3421,Accounts!$A:$G,8,FALSE),"")</f>
        <v/>
      </c>
    </row>
    <row r="3422" spans="1:15" x14ac:dyDescent="0.2">
      <c r="A3422" t="str">
        <f t="shared" si="52"/>
        <v/>
      </c>
      <c r="O3422" t="str">
        <f>IFERROR(VLOOKUP($A3422,Accounts!$A:$G,8,FALSE),"")</f>
        <v/>
      </c>
    </row>
    <row r="3423" spans="1:15" x14ac:dyDescent="0.2">
      <c r="A3423" t="str">
        <f t="shared" si="52"/>
        <v/>
      </c>
      <c r="O3423" t="str">
        <f>IFERROR(VLOOKUP($A3423,Accounts!$A:$G,8,FALSE),"")</f>
        <v/>
      </c>
    </row>
    <row r="3424" spans="1:15" x14ac:dyDescent="0.2">
      <c r="A3424" t="str">
        <f t="shared" si="52"/>
        <v/>
      </c>
      <c r="O3424" t="str">
        <f>IFERROR(VLOOKUP($A3424,Accounts!$A:$G,8,FALSE),"")</f>
        <v/>
      </c>
    </row>
    <row r="3425" spans="1:15" x14ac:dyDescent="0.2">
      <c r="A3425" t="str">
        <f t="shared" si="52"/>
        <v/>
      </c>
      <c r="O3425" t="str">
        <f>IFERROR(VLOOKUP($A3425,Accounts!$A:$G,8,FALSE),"")</f>
        <v/>
      </c>
    </row>
    <row r="3426" spans="1:15" x14ac:dyDescent="0.2">
      <c r="A3426" t="str">
        <f t="shared" si="52"/>
        <v/>
      </c>
      <c r="O3426" t="str">
        <f>IFERROR(VLOOKUP($A3426,Accounts!$A:$G,8,FALSE),"")</f>
        <v/>
      </c>
    </row>
    <row r="3427" spans="1:15" x14ac:dyDescent="0.2">
      <c r="A3427" t="str">
        <f t="shared" si="52"/>
        <v/>
      </c>
      <c r="O3427" t="str">
        <f>IFERROR(VLOOKUP($A3427,Accounts!$A:$G,8,FALSE),"")</f>
        <v/>
      </c>
    </row>
    <row r="3428" spans="1:15" x14ac:dyDescent="0.2">
      <c r="A3428" t="str">
        <f t="shared" si="52"/>
        <v/>
      </c>
      <c r="O3428" t="str">
        <f>IFERROR(VLOOKUP($A3428,Accounts!$A:$G,8,FALSE),"")</f>
        <v/>
      </c>
    </row>
    <row r="3429" spans="1:15" x14ac:dyDescent="0.2">
      <c r="A3429" t="str">
        <f t="shared" si="52"/>
        <v/>
      </c>
      <c r="O3429" t="str">
        <f>IFERROR(VLOOKUP($A3429,Accounts!$A:$G,8,FALSE),"")</f>
        <v/>
      </c>
    </row>
    <row r="3430" spans="1:15" x14ac:dyDescent="0.2">
      <c r="A3430" t="str">
        <f t="shared" si="52"/>
        <v/>
      </c>
      <c r="O3430" t="str">
        <f>IFERROR(VLOOKUP($A3430,Accounts!$A:$G,8,FALSE),"")</f>
        <v/>
      </c>
    </row>
    <row r="3431" spans="1:15" x14ac:dyDescent="0.2">
      <c r="A3431" t="str">
        <f t="shared" si="52"/>
        <v/>
      </c>
      <c r="O3431" t="str">
        <f>IFERROR(VLOOKUP($A3431,Accounts!$A:$G,8,FALSE),"")</f>
        <v/>
      </c>
    </row>
    <row r="3432" spans="1:15" x14ac:dyDescent="0.2">
      <c r="A3432" t="str">
        <f t="shared" si="52"/>
        <v/>
      </c>
      <c r="O3432" t="str">
        <f>IFERROR(VLOOKUP($A3432,Accounts!$A:$G,8,FALSE),"")</f>
        <v/>
      </c>
    </row>
    <row r="3433" spans="1:15" x14ac:dyDescent="0.2">
      <c r="A3433" t="str">
        <f t="shared" si="52"/>
        <v/>
      </c>
      <c r="O3433" t="str">
        <f>IFERROR(VLOOKUP($A3433,Accounts!$A:$G,8,FALSE),"")</f>
        <v/>
      </c>
    </row>
    <row r="3434" spans="1:15" x14ac:dyDescent="0.2">
      <c r="A3434" t="str">
        <f t="shared" si="52"/>
        <v/>
      </c>
      <c r="O3434" t="str">
        <f>IFERROR(VLOOKUP($A3434,Accounts!$A:$G,8,FALSE),"")</f>
        <v/>
      </c>
    </row>
    <row r="3435" spans="1:15" x14ac:dyDescent="0.2">
      <c r="A3435" t="str">
        <f t="shared" si="52"/>
        <v/>
      </c>
      <c r="O3435" t="str">
        <f>IFERROR(VLOOKUP($A3435,Accounts!$A:$G,8,FALSE),"")</f>
        <v/>
      </c>
    </row>
    <row r="3436" spans="1:15" x14ac:dyDescent="0.2">
      <c r="A3436" t="str">
        <f t="shared" si="52"/>
        <v/>
      </c>
      <c r="O3436" t="str">
        <f>IFERROR(VLOOKUP($A3436,Accounts!$A:$G,8,FALSE),"")</f>
        <v/>
      </c>
    </row>
    <row r="3437" spans="1:15" x14ac:dyDescent="0.2">
      <c r="A3437" t="str">
        <f t="shared" si="52"/>
        <v/>
      </c>
      <c r="O3437" t="str">
        <f>IFERROR(VLOOKUP($A3437,Accounts!$A:$G,8,FALSE),"")</f>
        <v/>
      </c>
    </row>
    <row r="3438" spans="1:15" x14ac:dyDescent="0.2">
      <c r="A3438" t="str">
        <f t="shared" si="52"/>
        <v/>
      </c>
      <c r="O3438" t="str">
        <f>IFERROR(VLOOKUP($A3438,Accounts!$A:$G,8,FALSE),"")</f>
        <v/>
      </c>
    </row>
    <row r="3439" spans="1:15" x14ac:dyDescent="0.2">
      <c r="A3439" t="str">
        <f t="shared" si="52"/>
        <v/>
      </c>
      <c r="O3439" t="str">
        <f>IFERROR(VLOOKUP($A3439,Accounts!$A:$G,8,FALSE),"")</f>
        <v/>
      </c>
    </row>
    <row r="3440" spans="1:15" x14ac:dyDescent="0.2">
      <c r="A3440" t="str">
        <f t="shared" si="52"/>
        <v/>
      </c>
      <c r="O3440" t="str">
        <f>IFERROR(VLOOKUP($A3440,Accounts!$A:$G,8,FALSE),"")</f>
        <v/>
      </c>
    </row>
    <row r="3441" spans="1:15" x14ac:dyDescent="0.2">
      <c r="A3441" t="str">
        <f t="shared" si="52"/>
        <v/>
      </c>
      <c r="O3441" t="str">
        <f>IFERROR(VLOOKUP($A3441,Accounts!$A:$G,8,FALSE),"")</f>
        <v/>
      </c>
    </row>
    <row r="3442" spans="1:15" x14ac:dyDescent="0.2">
      <c r="A3442" t="str">
        <f t="shared" si="52"/>
        <v/>
      </c>
      <c r="O3442" t="str">
        <f>IFERROR(VLOOKUP($A3442,Accounts!$A:$G,8,FALSE),"")</f>
        <v/>
      </c>
    </row>
    <row r="3443" spans="1:15" x14ac:dyDescent="0.2">
      <c r="A3443" t="str">
        <f t="shared" si="52"/>
        <v/>
      </c>
      <c r="O3443" t="str">
        <f>IFERROR(VLOOKUP($A3443,Accounts!$A:$G,8,FALSE),"")</f>
        <v/>
      </c>
    </row>
    <row r="3444" spans="1:15" x14ac:dyDescent="0.2">
      <c r="A3444" t="str">
        <f t="shared" si="52"/>
        <v/>
      </c>
      <c r="O3444" t="str">
        <f>IFERROR(VLOOKUP($A3444,Accounts!$A:$G,8,FALSE),"")</f>
        <v/>
      </c>
    </row>
    <row r="3445" spans="1:15" x14ac:dyDescent="0.2">
      <c r="A3445" t="str">
        <f t="shared" si="52"/>
        <v/>
      </c>
      <c r="O3445" t="str">
        <f>IFERROR(VLOOKUP($A3445,Accounts!$A:$G,8,FALSE),"")</f>
        <v/>
      </c>
    </row>
    <row r="3446" spans="1:15" x14ac:dyDescent="0.2">
      <c r="A3446" t="str">
        <f t="shared" si="52"/>
        <v/>
      </c>
      <c r="O3446" t="str">
        <f>IFERROR(VLOOKUP($A3446,Accounts!$A:$G,8,FALSE),"")</f>
        <v/>
      </c>
    </row>
    <row r="3447" spans="1:15" x14ac:dyDescent="0.2">
      <c r="A3447" t="str">
        <f t="shared" si="52"/>
        <v/>
      </c>
      <c r="O3447" t="str">
        <f>IFERROR(VLOOKUP($A3447,Accounts!$A:$G,8,FALSE),"")</f>
        <v/>
      </c>
    </row>
    <row r="3448" spans="1:15" x14ac:dyDescent="0.2">
      <c r="A3448" t="str">
        <f t="shared" si="52"/>
        <v/>
      </c>
      <c r="O3448" t="str">
        <f>IFERROR(VLOOKUP($A3448,Accounts!$A:$G,8,FALSE),"")</f>
        <v/>
      </c>
    </row>
    <row r="3449" spans="1:15" x14ac:dyDescent="0.2">
      <c r="A3449" t="str">
        <f t="shared" si="52"/>
        <v/>
      </c>
      <c r="O3449" t="str">
        <f>IFERROR(VLOOKUP($A3449,Accounts!$A:$G,8,FALSE),"")</f>
        <v/>
      </c>
    </row>
    <row r="3450" spans="1:15" x14ac:dyDescent="0.2">
      <c r="A3450" t="str">
        <f t="shared" si="52"/>
        <v/>
      </c>
      <c r="O3450" t="str">
        <f>IFERROR(VLOOKUP($A3450,Accounts!$A:$G,8,FALSE),"")</f>
        <v/>
      </c>
    </row>
    <row r="3451" spans="1:15" x14ac:dyDescent="0.2">
      <c r="A3451" t="str">
        <f t="shared" si="52"/>
        <v/>
      </c>
      <c r="O3451" t="str">
        <f>IFERROR(VLOOKUP($A3451,Accounts!$A:$G,8,FALSE),"")</f>
        <v/>
      </c>
    </row>
    <row r="3452" spans="1:15" x14ac:dyDescent="0.2">
      <c r="A3452" t="str">
        <f t="shared" si="52"/>
        <v/>
      </c>
      <c r="O3452" t="str">
        <f>IFERROR(VLOOKUP($A3452,Accounts!$A:$G,8,FALSE),"")</f>
        <v/>
      </c>
    </row>
    <row r="3453" spans="1:15" x14ac:dyDescent="0.2">
      <c r="A3453" t="str">
        <f t="shared" si="52"/>
        <v/>
      </c>
      <c r="O3453" t="str">
        <f>IFERROR(VLOOKUP($A3453,Accounts!$A:$G,8,FALSE),"")</f>
        <v/>
      </c>
    </row>
    <row r="3454" spans="1:15" x14ac:dyDescent="0.2">
      <c r="A3454" t="str">
        <f t="shared" si="52"/>
        <v/>
      </c>
      <c r="O3454" t="str">
        <f>IFERROR(VLOOKUP($A3454,Accounts!$A:$G,8,FALSE),"")</f>
        <v/>
      </c>
    </row>
    <row r="3455" spans="1:15" x14ac:dyDescent="0.2">
      <c r="A3455" t="str">
        <f t="shared" si="52"/>
        <v/>
      </c>
      <c r="O3455" t="str">
        <f>IFERROR(VLOOKUP($A3455,Accounts!$A:$G,8,FALSE),"")</f>
        <v/>
      </c>
    </row>
    <row r="3456" spans="1:15" x14ac:dyDescent="0.2">
      <c r="A3456" t="str">
        <f t="shared" si="52"/>
        <v/>
      </c>
      <c r="O3456" t="str">
        <f>IFERROR(VLOOKUP($A3456,Accounts!$A:$G,8,FALSE),"")</f>
        <v/>
      </c>
    </row>
    <row r="3457" spans="1:15" x14ac:dyDescent="0.2">
      <c r="A3457" t="str">
        <f t="shared" si="52"/>
        <v/>
      </c>
      <c r="O3457" t="str">
        <f>IFERROR(VLOOKUP($A3457,Accounts!$A:$G,8,FALSE),"")</f>
        <v/>
      </c>
    </row>
    <row r="3458" spans="1:15" x14ac:dyDescent="0.2">
      <c r="A3458" t="str">
        <f t="shared" si="52"/>
        <v/>
      </c>
      <c r="O3458" t="str">
        <f>IFERROR(VLOOKUP($A3458,Accounts!$A:$G,8,FALSE),"")</f>
        <v/>
      </c>
    </row>
    <row r="3459" spans="1:15" x14ac:dyDescent="0.2">
      <c r="A3459" t="str">
        <f t="shared" ref="A3459:A3522" si="53">IFERROR(IF(J3459=0,B3459&amp;D3459&amp;I3459&amp;E3459,C3459&amp;D3459&amp;J3459&amp;G3459),"")</f>
        <v/>
      </c>
      <c r="O3459" t="str">
        <f>IFERROR(VLOOKUP($A3459,Accounts!$A:$G,8,FALSE),"")</f>
        <v/>
      </c>
    </row>
    <row r="3460" spans="1:15" x14ac:dyDescent="0.2">
      <c r="A3460" t="str">
        <f t="shared" si="53"/>
        <v/>
      </c>
      <c r="O3460" t="str">
        <f>IFERROR(VLOOKUP($A3460,Accounts!$A:$G,8,FALSE),"")</f>
        <v/>
      </c>
    </row>
    <row r="3461" spans="1:15" x14ac:dyDescent="0.2">
      <c r="A3461" t="str">
        <f t="shared" si="53"/>
        <v/>
      </c>
      <c r="O3461" t="str">
        <f>IFERROR(VLOOKUP($A3461,Accounts!$A:$G,8,FALSE),"")</f>
        <v/>
      </c>
    </row>
    <row r="3462" spans="1:15" x14ac:dyDescent="0.2">
      <c r="A3462" t="str">
        <f t="shared" si="53"/>
        <v/>
      </c>
      <c r="O3462" t="str">
        <f>IFERROR(VLOOKUP($A3462,Accounts!$A:$G,8,FALSE),"")</f>
        <v/>
      </c>
    </row>
    <row r="3463" spans="1:15" x14ac:dyDescent="0.2">
      <c r="A3463" t="str">
        <f t="shared" si="53"/>
        <v/>
      </c>
      <c r="O3463" t="str">
        <f>IFERROR(VLOOKUP($A3463,Accounts!$A:$G,8,FALSE),"")</f>
        <v/>
      </c>
    </row>
    <row r="3464" spans="1:15" x14ac:dyDescent="0.2">
      <c r="A3464" t="str">
        <f t="shared" si="53"/>
        <v/>
      </c>
      <c r="O3464" t="str">
        <f>IFERROR(VLOOKUP($A3464,Accounts!$A:$G,8,FALSE),"")</f>
        <v/>
      </c>
    </row>
    <row r="3465" spans="1:15" x14ac:dyDescent="0.2">
      <c r="A3465" t="str">
        <f t="shared" si="53"/>
        <v/>
      </c>
      <c r="O3465" t="str">
        <f>IFERROR(VLOOKUP($A3465,Accounts!$A:$G,8,FALSE),"")</f>
        <v/>
      </c>
    </row>
    <row r="3466" spans="1:15" x14ac:dyDescent="0.2">
      <c r="A3466" t="str">
        <f t="shared" si="53"/>
        <v/>
      </c>
      <c r="O3466" t="str">
        <f>IFERROR(VLOOKUP($A3466,Accounts!$A:$G,8,FALSE),"")</f>
        <v/>
      </c>
    </row>
    <row r="3467" spans="1:15" x14ac:dyDescent="0.2">
      <c r="A3467" t="str">
        <f t="shared" si="53"/>
        <v/>
      </c>
      <c r="O3467" t="str">
        <f>IFERROR(VLOOKUP($A3467,Accounts!$A:$G,8,FALSE),"")</f>
        <v/>
      </c>
    </row>
    <row r="3468" spans="1:15" x14ac:dyDescent="0.2">
      <c r="A3468" t="str">
        <f t="shared" si="53"/>
        <v/>
      </c>
      <c r="O3468" t="str">
        <f>IFERROR(VLOOKUP($A3468,Accounts!$A:$G,8,FALSE),"")</f>
        <v/>
      </c>
    </row>
    <row r="3469" spans="1:15" x14ac:dyDescent="0.2">
      <c r="A3469" t="str">
        <f t="shared" si="53"/>
        <v/>
      </c>
      <c r="O3469" t="str">
        <f>IFERROR(VLOOKUP($A3469,Accounts!$A:$G,8,FALSE),"")</f>
        <v/>
      </c>
    </row>
    <row r="3470" spans="1:15" x14ac:dyDescent="0.2">
      <c r="A3470" t="str">
        <f t="shared" si="53"/>
        <v/>
      </c>
      <c r="O3470" t="str">
        <f>IFERROR(VLOOKUP($A3470,Accounts!$A:$G,8,FALSE),"")</f>
        <v/>
      </c>
    </row>
    <row r="3471" spans="1:15" x14ac:dyDescent="0.2">
      <c r="A3471" t="str">
        <f t="shared" si="53"/>
        <v/>
      </c>
      <c r="O3471" t="str">
        <f>IFERROR(VLOOKUP($A3471,Accounts!$A:$G,8,FALSE),"")</f>
        <v/>
      </c>
    </row>
    <row r="3472" spans="1:15" x14ac:dyDescent="0.2">
      <c r="A3472" t="str">
        <f t="shared" si="53"/>
        <v/>
      </c>
      <c r="O3472" t="str">
        <f>IFERROR(VLOOKUP($A3472,Accounts!$A:$G,8,FALSE),"")</f>
        <v/>
      </c>
    </row>
    <row r="3473" spans="1:15" x14ac:dyDescent="0.2">
      <c r="A3473" t="str">
        <f t="shared" si="53"/>
        <v/>
      </c>
      <c r="O3473" t="str">
        <f>IFERROR(VLOOKUP($A3473,Accounts!$A:$G,8,FALSE),"")</f>
        <v/>
      </c>
    </row>
    <row r="3474" spans="1:15" x14ac:dyDescent="0.2">
      <c r="A3474" t="str">
        <f t="shared" si="53"/>
        <v/>
      </c>
      <c r="O3474" t="str">
        <f>IFERROR(VLOOKUP($A3474,Accounts!$A:$G,8,FALSE),"")</f>
        <v/>
      </c>
    </row>
    <row r="3475" spans="1:15" x14ac:dyDescent="0.2">
      <c r="A3475" t="str">
        <f t="shared" si="53"/>
        <v/>
      </c>
      <c r="O3475" t="str">
        <f>IFERROR(VLOOKUP($A3475,Accounts!$A:$G,8,FALSE),"")</f>
        <v/>
      </c>
    </row>
    <row r="3476" spans="1:15" x14ac:dyDescent="0.2">
      <c r="A3476" t="str">
        <f t="shared" si="53"/>
        <v/>
      </c>
      <c r="O3476" t="str">
        <f>IFERROR(VLOOKUP($A3476,Accounts!$A:$G,8,FALSE),"")</f>
        <v/>
      </c>
    </row>
    <row r="3477" spans="1:15" x14ac:dyDescent="0.2">
      <c r="A3477" t="str">
        <f t="shared" si="53"/>
        <v/>
      </c>
      <c r="O3477" t="str">
        <f>IFERROR(VLOOKUP($A3477,Accounts!$A:$G,8,FALSE),"")</f>
        <v/>
      </c>
    </row>
    <row r="3478" spans="1:15" x14ac:dyDescent="0.2">
      <c r="A3478" t="str">
        <f t="shared" si="53"/>
        <v/>
      </c>
      <c r="O3478" t="str">
        <f>IFERROR(VLOOKUP($A3478,Accounts!$A:$G,8,FALSE),"")</f>
        <v/>
      </c>
    </row>
    <row r="3479" spans="1:15" x14ac:dyDescent="0.2">
      <c r="A3479" t="str">
        <f t="shared" si="53"/>
        <v/>
      </c>
      <c r="O3479" t="str">
        <f>IFERROR(VLOOKUP($A3479,Accounts!$A:$G,8,FALSE),"")</f>
        <v/>
      </c>
    </row>
    <row r="3480" spans="1:15" x14ac:dyDescent="0.2">
      <c r="A3480" t="str">
        <f t="shared" si="53"/>
        <v/>
      </c>
      <c r="O3480" t="str">
        <f>IFERROR(VLOOKUP($A3480,Accounts!$A:$G,8,FALSE),"")</f>
        <v/>
      </c>
    </row>
    <row r="3481" spans="1:15" x14ac:dyDescent="0.2">
      <c r="A3481" t="str">
        <f t="shared" si="53"/>
        <v/>
      </c>
      <c r="O3481" t="str">
        <f>IFERROR(VLOOKUP($A3481,Accounts!$A:$G,8,FALSE),"")</f>
        <v/>
      </c>
    </row>
    <row r="3482" spans="1:15" x14ac:dyDescent="0.2">
      <c r="A3482" t="str">
        <f t="shared" si="53"/>
        <v/>
      </c>
      <c r="O3482" t="str">
        <f>IFERROR(VLOOKUP($A3482,Accounts!$A:$G,8,FALSE),"")</f>
        <v/>
      </c>
    </row>
    <row r="3483" spans="1:15" x14ac:dyDescent="0.2">
      <c r="A3483" t="str">
        <f t="shared" si="53"/>
        <v/>
      </c>
      <c r="O3483" t="str">
        <f>IFERROR(VLOOKUP($A3483,Accounts!$A:$G,8,FALSE),"")</f>
        <v/>
      </c>
    </row>
    <row r="3484" spans="1:15" x14ac:dyDescent="0.2">
      <c r="A3484" t="str">
        <f t="shared" si="53"/>
        <v/>
      </c>
      <c r="O3484" t="str">
        <f>IFERROR(VLOOKUP($A3484,Accounts!$A:$G,8,FALSE),"")</f>
        <v/>
      </c>
    </row>
    <row r="3485" spans="1:15" x14ac:dyDescent="0.2">
      <c r="A3485" t="str">
        <f t="shared" si="53"/>
        <v/>
      </c>
      <c r="O3485" t="str">
        <f>IFERROR(VLOOKUP($A3485,Accounts!$A:$G,8,FALSE),"")</f>
        <v/>
      </c>
    </row>
    <row r="3486" spans="1:15" x14ac:dyDescent="0.2">
      <c r="A3486" t="str">
        <f t="shared" si="53"/>
        <v/>
      </c>
      <c r="O3486" t="str">
        <f>IFERROR(VLOOKUP($A3486,Accounts!$A:$G,8,FALSE),"")</f>
        <v/>
      </c>
    </row>
    <row r="3487" spans="1:15" x14ac:dyDescent="0.2">
      <c r="A3487" t="str">
        <f t="shared" si="53"/>
        <v/>
      </c>
      <c r="O3487" t="str">
        <f>IFERROR(VLOOKUP($A3487,Accounts!$A:$G,8,FALSE),"")</f>
        <v/>
      </c>
    </row>
    <row r="3488" spans="1:15" x14ac:dyDescent="0.2">
      <c r="A3488" t="str">
        <f t="shared" si="53"/>
        <v/>
      </c>
      <c r="O3488" t="str">
        <f>IFERROR(VLOOKUP($A3488,Accounts!$A:$G,8,FALSE),"")</f>
        <v/>
      </c>
    </row>
    <row r="3489" spans="1:15" x14ac:dyDescent="0.2">
      <c r="A3489" t="str">
        <f t="shared" si="53"/>
        <v/>
      </c>
      <c r="O3489" t="str">
        <f>IFERROR(VLOOKUP($A3489,Accounts!$A:$G,8,FALSE),"")</f>
        <v/>
      </c>
    </row>
    <row r="3490" spans="1:15" x14ac:dyDescent="0.2">
      <c r="A3490" t="str">
        <f t="shared" si="53"/>
        <v/>
      </c>
      <c r="O3490" t="str">
        <f>IFERROR(VLOOKUP($A3490,Accounts!$A:$G,8,FALSE),"")</f>
        <v/>
      </c>
    </row>
    <row r="3491" spans="1:15" x14ac:dyDescent="0.2">
      <c r="A3491" t="str">
        <f t="shared" si="53"/>
        <v/>
      </c>
      <c r="O3491" t="str">
        <f>IFERROR(VLOOKUP($A3491,Accounts!$A:$G,8,FALSE),"")</f>
        <v/>
      </c>
    </row>
    <row r="3492" spans="1:15" x14ac:dyDescent="0.2">
      <c r="A3492" t="str">
        <f t="shared" si="53"/>
        <v/>
      </c>
      <c r="O3492" t="str">
        <f>IFERROR(VLOOKUP($A3492,Accounts!$A:$G,8,FALSE),"")</f>
        <v/>
      </c>
    </row>
    <row r="3493" spans="1:15" x14ac:dyDescent="0.2">
      <c r="A3493" t="str">
        <f t="shared" si="53"/>
        <v/>
      </c>
      <c r="O3493" t="str">
        <f>IFERROR(VLOOKUP($A3493,Accounts!$A:$G,8,FALSE),"")</f>
        <v/>
      </c>
    </row>
    <row r="3494" spans="1:15" x14ac:dyDescent="0.2">
      <c r="A3494" t="str">
        <f t="shared" si="53"/>
        <v/>
      </c>
      <c r="O3494" t="str">
        <f>IFERROR(VLOOKUP($A3494,Accounts!$A:$G,8,FALSE),"")</f>
        <v/>
      </c>
    </row>
    <row r="3495" spans="1:15" x14ac:dyDescent="0.2">
      <c r="A3495" t="str">
        <f t="shared" si="53"/>
        <v/>
      </c>
      <c r="O3495" t="str">
        <f>IFERROR(VLOOKUP($A3495,Accounts!$A:$G,8,FALSE),"")</f>
        <v/>
      </c>
    </row>
    <row r="3496" spans="1:15" x14ac:dyDescent="0.2">
      <c r="A3496" t="str">
        <f t="shared" si="53"/>
        <v/>
      </c>
      <c r="O3496" t="str">
        <f>IFERROR(VLOOKUP($A3496,Accounts!$A:$G,8,FALSE),"")</f>
        <v/>
      </c>
    </row>
    <row r="3497" spans="1:15" x14ac:dyDescent="0.2">
      <c r="A3497" t="str">
        <f t="shared" si="53"/>
        <v/>
      </c>
      <c r="O3497" t="str">
        <f>IFERROR(VLOOKUP($A3497,Accounts!$A:$G,8,FALSE),"")</f>
        <v/>
      </c>
    </row>
    <row r="3498" spans="1:15" x14ac:dyDescent="0.2">
      <c r="A3498" t="str">
        <f t="shared" si="53"/>
        <v/>
      </c>
      <c r="O3498" t="str">
        <f>IFERROR(VLOOKUP($A3498,Accounts!$A:$G,8,FALSE),"")</f>
        <v/>
      </c>
    </row>
    <row r="3499" spans="1:15" x14ac:dyDescent="0.2">
      <c r="A3499" t="str">
        <f t="shared" si="53"/>
        <v/>
      </c>
      <c r="O3499" t="str">
        <f>IFERROR(VLOOKUP($A3499,Accounts!$A:$G,8,FALSE),"")</f>
        <v/>
      </c>
    </row>
    <row r="3500" spans="1:15" x14ac:dyDescent="0.2">
      <c r="A3500" t="str">
        <f t="shared" si="53"/>
        <v/>
      </c>
      <c r="O3500" t="str">
        <f>IFERROR(VLOOKUP($A3500,Accounts!$A:$G,8,FALSE),"")</f>
        <v/>
      </c>
    </row>
    <row r="3501" spans="1:15" x14ac:dyDescent="0.2">
      <c r="A3501" t="str">
        <f t="shared" si="53"/>
        <v/>
      </c>
      <c r="O3501" t="str">
        <f>IFERROR(VLOOKUP($A3501,Accounts!$A:$G,8,FALSE),"")</f>
        <v/>
      </c>
    </row>
    <row r="3502" spans="1:15" x14ac:dyDescent="0.2">
      <c r="A3502" t="str">
        <f t="shared" si="53"/>
        <v/>
      </c>
      <c r="O3502" t="str">
        <f>IFERROR(VLOOKUP($A3502,Accounts!$A:$G,8,FALSE),"")</f>
        <v/>
      </c>
    </row>
    <row r="3503" spans="1:15" x14ac:dyDescent="0.2">
      <c r="A3503" t="str">
        <f t="shared" si="53"/>
        <v/>
      </c>
      <c r="O3503" t="str">
        <f>IFERROR(VLOOKUP($A3503,Accounts!$A:$G,8,FALSE),"")</f>
        <v/>
      </c>
    </row>
    <row r="3504" spans="1:15" x14ac:dyDescent="0.2">
      <c r="A3504" t="str">
        <f t="shared" si="53"/>
        <v/>
      </c>
      <c r="O3504" t="str">
        <f>IFERROR(VLOOKUP($A3504,Accounts!$A:$G,8,FALSE),"")</f>
        <v/>
      </c>
    </row>
    <row r="3505" spans="1:15" x14ac:dyDescent="0.2">
      <c r="A3505" t="str">
        <f t="shared" si="53"/>
        <v/>
      </c>
      <c r="O3505" t="str">
        <f>IFERROR(VLOOKUP($A3505,Accounts!$A:$G,8,FALSE),"")</f>
        <v/>
      </c>
    </row>
    <row r="3506" spans="1:15" x14ac:dyDescent="0.2">
      <c r="A3506" t="str">
        <f t="shared" si="53"/>
        <v/>
      </c>
      <c r="O3506" t="str">
        <f>IFERROR(VLOOKUP($A3506,Accounts!$A:$G,8,FALSE),"")</f>
        <v/>
      </c>
    </row>
    <row r="3507" spans="1:15" x14ac:dyDescent="0.2">
      <c r="A3507" t="str">
        <f t="shared" si="53"/>
        <v/>
      </c>
      <c r="O3507" t="str">
        <f>IFERROR(VLOOKUP($A3507,Accounts!$A:$G,8,FALSE),"")</f>
        <v/>
      </c>
    </row>
    <row r="3508" spans="1:15" x14ac:dyDescent="0.2">
      <c r="A3508" t="str">
        <f t="shared" si="53"/>
        <v/>
      </c>
      <c r="O3508" t="str">
        <f>IFERROR(VLOOKUP($A3508,Accounts!$A:$G,8,FALSE),"")</f>
        <v/>
      </c>
    </row>
    <row r="3509" spans="1:15" x14ac:dyDescent="0.2">
      <c r="A3509" t="str">
        <f t="shared" si="53"/>
        <v/>
      </c>
      <c r="O3509" t="str">
        <f>IFERROR(VLOOKUP($A3509,Accounts!$A:$G,8,FALSE),"")</f>
        <v/>
      </c>
    </row>
    <row r="3510" spans="1:15" x14ac:dyDescent="0.2">
      <c r="A3510" t="str">
        <f t="shared" si="53"/>
        <v/>
      </c>
      <c r="O3510" t="str">
        <f>IFERROR(VLOOKUP($A3510,Accounts!$A:$G,8,FALSE),"")</f>
        <v/>
      </c>
    </row>
    <row r="3511" spans="1:15" x14ac:dyDescent="0.2">
      <c r="A3511" t="str">
        <f t="shared" si="53"/>
        <v/>
      </c>
      <c r="O3511" t="str">
        <f>IFERROR(VLOOKUP($A3511,Accounts!$A:$G,8,FALSE),"")</f>
        <v/>
      </c>
    </row>
    <row r="3512" spans="1:15" x14ac:dyDescent="0.2">
      <c r="A3512" t="str">
        <f t="shared" si="53"/>
        <v/>
      </c>
      <c r="O3512" t="str">
        <f>IFERROR(VLOOKUP($A3512,Accounts!$A:$G,8,FALSE),"")</f>
        <v/>
      </c>
    </row>
    <row r="3513" spans="1:15" x14ac:dyDescent="0.2">
      <c r="A3513" t="str">
        <f t="shared" si="53"/>
        <v/>
      </c>
      <c r="O3513" t="str">
        <f>IFERROR(VLOOKUP($A3513,Accounts!$A:$G,8,FALSE),"")</f>
        <v/>
      </c>
    </row>
    <row r="3514" spans="1:15" x14ac:dyDescent="0.2">
      <c r="A3514" t="str">
        <f t="shared" si="53"/>
        <v/>
      </c>
      <c r="O3514" t="str">
        <f>IFERROR(VLOOKUP($A3514,Accounts!$A:$G,8,FALSE),"")</f>
        <v/>
      </c>
    </row>
    <row r="3515" spans="1:15" x14ac:dyDescent="0.2">
      <c r="A3515" t="str">
        <f t="shared" si="53"/>
        <v/>
      </c>
      <c r="O3515" t="str">
        <f>IFERROR(VLOOKUP($A3515,Accounts!$A:$G,8,FALSE),"")</f>
        <v/>
      </c>
    </row>
    <row r="3516" spans="1:15" x14ac:dyDescent="0.2">
      <c r="A3516" t="str">
        <f t="shared" si="53"/>
        <v/>
      </c>
      <c r="O3516" t="str">
        <f>IFERROR(VLOOKUP($A3516,Accounts!$A:$G,8,FALSE),"")</f>
        <v/>
      </c>
    </row>
    <row r="3517" spans="1:15" x14ac:dyDescent="0.2">
      <c r="A3517" t="str">
        <f t="shared" si="53"/>
        <v/>
      </c>
      <c r="O3517" t="str">
        <f>IFERROR(VLOOKUP($A3517,Accounts!$A:$G,8,FALSE),"")</f>
        <v/>
      </c>
    </row>
    <row r="3518" spans="1:15" x14ac:dyDescent="0.2">
      <c r="A3518" t="str">
        <f t="shared" si="53"/>
        <v/>
      </c>
      <c r="O3518" t="str">
        <f>IFERROR(VLOOKUP($A3518,Accounts!$A:$G,8,FALSE),"")</f>
        <v/>
      </c>
    </row>
    <row r="3519" spans="1:15" x14ac:dyDescent="0.2">
      <c r="A3519" t="str">
        <f t="shared" si="53"/>
        <v/>
      </c>
      <c r="O3519" t="str">
        <f>IFERROR(VLOOKUP($A3519,Accounts!$A:$G,8,FALSE),"")</f>
        <v/>
      </c>
    </row>
    <row r="3520" spans="1:15" x14ac:dyDescent="0.2">
      <c r="A3520" t="str">
        <f t="shared" si="53"/>
        <v/>
      </c>
      <c r="O3520" t="str">
        <f>IFERROR(VLOOKUP($A3520,Accounts!$A:$G,8,FALSE),"")</f>
        <v/>
      </c>
    </row>
    <row r="3521" spans="1:15" x14ac:dyDescent="0.2">
      <c r="A3521" t="str">
        <f t="shared" si="53"/>
        <v/>
      </c>
      <c r="O3521" t="str">
        <f>IFERROR(VLOOKUP($A3521,Accounts!$A:$G,8,FALSE),"")</f>
        <v/>
      </c>
    </row>
    <row r="3522" spans="1:15" x14ac:dyDescent="0.2">
      <c r="A3522" t="str">
        <f t="shared" si="53"/>
        <v/>
      </c>
      <c r="O3522" t="str">
        <f>IFERROR(VLOOKUP($A3522,Accounts!$A:$G,8,FALSE),"")</f>
        <v/>
      </c>
    </row>
    <row r="3523" spans="1:15" x14ac:dyDescent="0.2">
      <c r="A3523" t="str">
        <f t="shared" ref="A3523:A3586" si="54">IFERROR(IF(J3523=0,B3523&amp;D3523&amp;I3523&amp;E3523,C3523&amp;D3523&amp;J3523&amp;G3523),"")</f>
        <v/>
      </c>
      <c r="O3523" t="str">
        <f>IFERROR(VLOOKUP($A3523,Accounts!$A:$G,8,FALSE),"")</f>
        <v/>
      </c>
    </row>
    <row r="3524" spans="1:15" x14ac:dyDescent="0.2">
      <c r="A3524" t="str">
        <f t="shared" si="54"/>
        <v/>
      </c>
      <c r="O3524" t="str">
        <f>IFERROR(VLOOKUP($A3524,Accounts!$A:$G,8,FALSE),"")</f>
        <v/>
      </c>
    </row>
    <row r="3525" spans="1:15" x14ac:dyDescent="0.2">
      <c r="A3525" t="str">
        <f t="shared" si="54"/>
        <v/>
      </c>
      <c r="O3525" t="str">
        <f>IFERROR(VLOOKUP($A3525,Accounts!$A:$G,8,FALSE),"")</f>
        <v/>
      </c>
    </row>
    <row r="3526" spans="1:15" x14ac:dyDescent="0.2">
      <c r="A3526" t="str">
        <f t="shared" si="54"/>
        <v/>
      </c>
      <c r="O3526" t="str">
        <f>IFERROR(VLOOKUP($A3526,Accounts!$A:$G,8,FALSE),"")</f>
        <v/>
      </c>
    </row>
    <row r="3527" spans="1:15" x14ac:dyDescent="0.2">
      <c r="A3527" t="str">
        <f t="shared" si="54"/>
        <v/>
      </c>
      <c r="O3527" t="str">
        <f>IFERROR(VLOOKUP($A3527,Accounts!$A:$G,8,FALSE),"")</f>
        <v/>
      </c>
    </row>
    <row r="3528" spans="1:15" x14ac:dyDescent="0.2">
      <c r="A3528" t="str">
        <f t="shared" si="54"/>
        <v/>
      </c>
      <c r="O3528" t="str">
        <f>IFERROR(VLOOKUP($A3528,Accounts!$A:$G,8,FALSE),"")</f>
        <v/>
      </c>
    </row>
    <row r="3529" spans="1:15" x14ac:dyDescent="0.2">
      <c r="A3529" t="str">
        <f t="shared" si="54"/>
        <v/>
      </c>
      <c r="O3529" t="str">
        <f>IFERROR(VLOOKUP($A3529,Accounts!$A:$G,8,FALSE),"")</f>
        <v/>
      </c>
    </row>
    <row r="3530" spans="1:15" x14ac:dyDescent="0.2">
      <c r="A3530" t="str">
        <f t="shared" si="54"/>
        <v/>
      </c>
      <c r="O3530" t="str">
        <f>IFERROR(VLOOKUP($A3530,Accounts!$A:$G,8,FALSE),"")</f>
        <v/>
      </c>
    </row>
    <row r="3531" spans="1:15" x14ac:dyDescent="0.2">
      <c r="A3531" t="str">
        <f t="shared" si="54"/>
        <v/>
      </c>
      <c r="O3531" t="str">
        <f>IFERROR(VLOOKUP($A3531,Accounts!$A:$G,8,FALSE),"")</f>
        <v/>
      </c>
    </row>
    <row r="3532" spans="1:15" x14ac:dyDescent="0.2">
      <c r="A3532" t="str">
        <f t="shared" si="54"/>
        <v/>
      </c>
      <c r="O3532" t="str">
        <f>IFERROR(VLOOKUP($A3532,Accounts!$A:$G,8,FALSE),"")</f>
        <v/>
      </c>
    </row>
    <row r="3533" spans="1:15" x14ac:dyDescent="0.2">
      <c r="A3533" t="str">
        <f t="shared" si="54"/>
        <v/>
      </c>
      <c r="O3533" t="str">
        <f>IFERROR(VLOOKUP($A3533,Accounts!$A:$G,8,FALSE),"")</f>
        <v/>
      </c>
    </row>
    <row r="3534" spans="1:15" x14ac:dyDescent="0.2">
      <c r="A3534" t="str">
        <f t="shared" si="54"/>
        <v/>
      </c>
      <c r="O3534" t="str">
        <f>IFERROR(VLOOKUP($A3534,Accounts!$A:$G,8,FALSE),"")</f>
        <v/>
      </c>
    </row>
    <row r="3535" spans="1:15" x14ac:dyDescent="0.2">
      <c r="A3535" t="str">
        <f t="shared" si="54"/>
        <v/>
      </c>
      <c r="O3535" t="str">
        <f>IFERROR(VLOOKUP($A3535,Accounts!$A:$G,8,FALSE),"")</f>
        <v/>
      </c>
    </row>
    <row r="3536" spans="1:15" x14ac:dyDescent="0.2">
      <c r="A3536" t="str">
        <f t="shared" si="54"/>
        <v/>
      </c>
      <c r="O3536" t="str">
        <f>IFERROR(VLOOKUP($A3536,Accounts!$A:$G,8,FALSE),"")</f>
        <v/>
      </c>
    </row>
    <row r="3537" spans="1:15" x14ac:dyDescent="0.2">
      <c r="A3537" t="str">
        <f t="shared" si="54"/>
        <v/>
      </c>
      <c r="O3537" t="str">
        <f>IFERROR(VLOOKUP($A3537,Accounts!$A:$G,8,FALSE),"")</f>
        <v/>
      </c>
    </row>
    <row r="3538" spans="1:15" x14ac:dyDescent="0.2">
      <c r="A3538" t="str">
        <f t="shared" si="54"/>
        <v/>
      </c>
      <c r="O3538" t="str">
        <f>IFERROR(VLOOKUP($A3538,Accounts!$A:$G,8,FALSE),"")</f>
        <v/>
      </c>
    </row>
    <row r="3539" spans="1:15" x14ac:dyDescent="0.2">
      <c r="A3539" t="str">
        <f t="shared" si="54"/>
        <v/>
      </c>
      <c r="O3539" t="str">
        <f>IFERROR(VLOOKUP($A3539,Accounts!$A:$G,8,FALSE),"")</f>
        <v/>
      </c>
    </row>
    <row r="3540" spans="1:15" x14ac:dyDescent="0.2">
      <c r="A3540" t="str">
        <f t="shared" si="54"/>
        <v/>
      </c>
      <c r="O3540" t="str">
        <f>IFERROR(VLOOKUP($A3540,Accounts!$A:$G,8,FALSE),"")</f>
        <v/>
      </c>
    </row>
    <row r="3541" spans="1:15" x14ac:dyDescent="0.2">
      <c r="A3541" t="str">
        <f t="shared" si="54"/>
        <v/>
      </c>
      <c r="O3541" t="str">
        <f>IFERROR(VLOOKUP($A3541,Accounts!$A:$G,8,FALSE),"")</f>
        <v/>
      </c>
    </row>
    <row r="3542" spans="1:15" x14ac:dyDescent="0.2">
      <c r="A3542" t="str">
        <f t="shared" si="54"/>
        <v/>
      </c>
      <c r="O3542" t="str">
        <f>IFERROR(VLOOKUP($A3542,Accounts!$A:$G,8,FALSE),"")</f>
        <v/>
      </c>
    </row>
    <row r="3543" spans="1:15" x14ac:dyDescent="0.2">
      <c r="A3543" t="str">
        <f t="shared" si="54"/>
        <v/>
      </c>
      <c r="O3543" t="str">
        <f>IFERROR(VLOOKUP($A3543,Accounts!$A:$G,8,FALSE),"")</f>
        <v/>
      </c>
    </row>
    <row r="3544" spans="1:15" x14ac:dyDescent="0.2">
      <c r="A3544" t="str">
        <f t="shared" si="54"/>
        <v/>
      </c>
      <c r="O3544" t="str">
        <f>IFERROR(VLOOKUP($A3544,Accounts!$A:$G,8,FALSE),"")</f>
        <v/>
      </c>
    </row>
    <row r="3545" spans="1:15" x14ac:dyDescent="0.2">
      <c r="A3545" t="str">
        <f t="shared" si="54"/>
        <v/>
      </c>
      <c r="O3545" t="str">
        <f>IFERROR(VLOOKUP($A3545,Accounts!$A:$G,8,FALSE),"")</f>
        <v/>
      </c>
    </row>
    <row r="3546" spans="1:15" x14ac:dyDescent="0.2">
      <c r="A3546" t="str">
        <f t="shared" si="54"/>
        <v/>
      </c>
      <c r="O3546" t="str">
        <f>IFERROR(VLOOKUP($A3546,Accounts!$A:$G,8,FALSE),"")</f>
        <v/>
      </c>
    </row>
    <row r="3547" spans="1:15" x14ac:dyDescent="0.2">
      <c r="A3547" t="str">
        <f t="shared" si="54"/>
        <v/>
      </c>
      <c r="O3547" t="str">
        <f>IFERROR(VLOOKUP($A3547,Accounts!$A:$G,8,FALSE),"")</f>
        <v/>
      </c>
    </row>
    <row r="3548" spans="1:15" x14ac:dyDescent="0.2">
      <c r="A3548" t="str">
        <f t="shared" si="54"/>
        <v/>
      </c>
      <c r="O3548" t="str">
        <f>IFERROR(VLOOKUP($A3548,Accounts!$A:$G,8,FALSE),"")</f>
        <v/>
      </c>
    </row>
    <row r="3549" spans="1:15" x14ac:dyDescent="0.2">
      <c r="A3549" t="str">
        <f t="shared" si="54"/>
        <v/>
      </c>
      <c r="O3549" t="str">
        <f>IFERROR(VLOOKUP($A3549,Accounts!$A:$G,8,FALSE),"")</f>
        <v/>
      </c>
    </row>
    <row r="3550" spans="1:15" x14ac:dyDescent="0.2">
      <c r="A3550" t="str">
        <f t="shared" si="54"/>
        <v/>
      </c>
      <c r="O3550" t="str">
        <f>IFERROR(VLOOKUP($A3550,Accounts!$A:$G,8,FALSE),"")</f>
        <v/>
      </c>
    </row>
    <row r="3551" spans="1:15" x14ac:dyDescent="0.2">
      <c r="A3551" t="str">
        <f t="shared" si="54"/>
        <v/>
      </c>
      <c r="O3551" t="str">
        <f>IFERROR(VLOOKUP($A3551,Accounts!$A:$G,8,FALSE),"")</f>
        <v/>
      </c>
    </row>
    <row r="3552" spans="1:15" x14ac:dyDescent="0.2">
      <c r="A3552" t="str">
        <f t="shared" si="54"/>
        <v/>
      </c>
      <c r="O3552" t="str">
        <f>IFERROR(VLOOKUP($A3552,Accounts!$A:$G,8,FALSE),"")</f>
        <v/>
      </c>
    </row>
    <row r="3553" spans="1:15" x14ac:dyDescent="0.2">
      <c r="A3553" t="str">
        <f t="shared" si="54"/>
        <v/>
      </c>
      <c r="O3553" t="str">
        <f>IFERROR(VLOOKUP($A3553,Accounts!$A:$G,8,FALSE),"")</f>
        <v/>
      </c>
    </row>
    <row r="3554" spans="1:15" x14ac:dyDescent="0.2">
      <c r="A3554" t="str">
        <f t="shared" si="54"/>
        <v/>
      </c>
      <c r="O3554" t="str">
        <f>IFERROR(VLOOKUP($A3554,Accounts!$A:$G,8,FALSE),"")</f>
        <v/>
      </c>
    </row>
    <row r="3555" spans="1:15" x14ac:dyDescent="0.2">
      <c r="A3555" t="str">
        <f t="shared" si="54"/>
        <v/>
      </c>
      <c r="O3555" t="str">
        <f>IFERROR(VLOOKUP($A3555,Accounts!$A:$G,8,FALSE),"")</f>
        <v/>
      </c>
    </row>
    <row r="3556" spans="1:15" x14ac:dyDescent="0.2">
      <c r="A3556" t="str">
        <f t="shared" si="54"/>
        <v/>
      </c>
      <c r="O3556" t="str">
        <f>IFERROR(VLOOKUP($A3556,Accounts!$A:$G,8,FALSE),"")</f>
        <v/>
      </c>
    </row>
    <row r="3557" spans="1:15" x14ac:dyDescent="0.2">
      <c r="A3557" t="str">
        <f t="shared" si="54"/>
        <v/>
      </c>
      <c r="O3557" t="str">
        <f>IFERROR(VLOOKUP($A3557,Accounts!$A:$G,8,FALSE),"")</f>
        <v/>
      </c>
    </row>
    <row r="3558" spans="1:15" x14ac:dyDescent="0.2">
      <c r="A3558" t="str">
        <f t="shared" si="54"/>
        <v/>
      </c>
      <c r="O3558" t="str">
        <f>IFERROR(VLOOKUP($A3558,Accounts!$A:$G,8,FALSE),"")</f>
        <v/>
      </c>
    </row>
    <row r="3559" spans="1:15" x14ac:dyDescent="0.2">
      <c r="A3559" t="str">
        <f t="shared" si="54"/>
        <v/>
      </c>
      <c r="O3559" t="str">
        <f>IFERROR(VLOOKUP($A3559,Accounts!$A:$G,8,FALSE),"")</f>
        <v/>
      </c>
    </row>
    <row r="3560" spans="1:15" x14ac:dyDescent="0.2">
      <c r="A3560" t="str">
        <f t="shared" si="54"/>
        <v/>
      </c>
      <c r="O3560" t="str">
        <f>IFERROR(VLOOKUP($A3560,Accounts!$A:$G,8,FALSE),"")</f>
        <v/>
      </c>
    </row>
    <row r="3561" spans="1:15" x14ac:dyDescent="0.2">
      <c r="A3561" t="str">
        <f t="shared" si="54"/>
        <v/>
      </c>
      <c r="O3561" t="str">
        <f>IFERROR(VLOOKUP($A3561,Accounts!$A:$G,8,FALSE),"")</f>
        <v/>
      </c>
    </row>
    <row r="3562" spans="1:15" x14ac:dyDescent="0.2">
      <c r="A3562" t="str">
        <f t="shared" si="54"/>
        <v/>
      </c>
      <c r="O3562" t="str">
        <f>IFERROR(VLOOKUP($A3562,Accounts!$A:$G,8,FALSE),"")</f>
        <v/>
      </c>
    </row>
    <row r="3563" spans="1:15" x14ac:dyDescent="0.2">
      <c r="A3563" t="str">
        <f t="shared" si="54"/>
        <v/>
      </c>
      <c r="O3563" t="str">
        <f>IFERROR(VLOOKUP($A3563,Accounts!$A:$G,8,FALSE),"")</f>
        <v/>
      </c>
    </row>
    <row r="3564" spans="1:15" x14ac:dyDescent="0.2">
      <c r="A3564" t="str">
        <f t="shared" si="54"/>
        <v/>
      </c>
      <c r="O3564" t="str">
        <f>IFERROR(VLOOKUP($A3564,Accounts!$A:$G,8,FALSE),"")</f>
        <v/>
      </c>
    </row>
    <row r="3565" spans="1:15" x14ac:dyDescent="0.2">
      <c r="A3565" t="str">
        <f t="shared" si="54"/>
        <v/>
      </c>
      <c r="O3565" t="str">
        <f>IFERROR(VLOOKUP($A3565,Accounts!$A:$G,8,FALSE),"")</f>
        <v/>
      </c>
    </row>
    <row r="3566" spans="1:15" x14ac:dyDescent="0.2">
      <c r="A3566" t="str">
        <f t="shared" si="54"/>
        <v/>
      </c>
      <c r="O3566" t="str">
        <f>IFERROR(VLOOKUP($A3566,Accounts!$A:$G,8,FALSE),"")</f>
        <v/>
      </c>
    </row>
    <row r="3567" spans="1:15" x14ac:dyDescent="0.2">
      <c r="A3567" t="str">
        <f t="shared" si="54"/>
        <v/>
      </c>
      <c r="O3567" t="str">
        <f>IFERROR(VLOOKUP($A3567,Accounts!$A:$G,8,FALSE),"")</f>
        <v/>
      </c>
    </row>
    <row r="3568" spans="1:15" x14ac:dyDescent="0.2">
      <c r="A3568" t="str">
        <f t="shared" si="54"/>
        <v/>
      </c>
      <c r="O3568" t="str">
        <f>IFERROR(VLOOKUP($A3568,Accounts!$A:$G,8,FALSE),"")</f>
        <v/>
      </c>
    </row>
    <row r="3569" spans="1:15" x14ac:dyDescent="0.2">
      <c r="A3569" t="str">
        <f t="shared" si="54"/>
        <v/>
      </c>
      <c r="O3569" t="str">
        <f>IFERROR(VLOOKUP($A3569,Accounts!$A:$G,8,FALSE),"")</f>
        <v/>
      </c>
    </row>
    <row r="3570" spans="1:15" x14ac:dyDescent="0.2">
      <c r="A3570" t="str">
        <f t="shared" si="54"/>
        <v/>
      </c>
      <c r="O3570" t="str">
        <f>IFERROR(VLOOKUP($A3570,Accounts!$A:$G,8,FALSE),"")</f>
        <v/>
      </c>
    </row>
    <row r="3571" spans="1:15" x14ac:dyDescent="0.2">
      <c r="A3571" t="str">
        <f t="shared" si="54"/>
        <v/>
      </c>
      <c r="O3571" t="str">
        <f>IFERROR(VLOOKUP($A3571,Accounts!$A:$G,8,FALSE),"")</f>
        <v/>
      </c>
    </row>
    <row r="3572" spans="1:15" x14ac:dyDescent="0.2">
      <c r="A3572" t="str">
        <f t="shared" si="54"/>
        <v/>
      </c>
      <c r="O3572" t="str">
        <f>IFERROR(VLOOKUP($A3572,Accounts!$A:$G,8,FALSE),"")</f>
        <v/>
      </c>
    </row>
    <row r="3573" spans="1:15" x14ac:dyDescent="0.2">
      <c r="A3573" t="str">
        <f t="shared" si="54"/>
        <v/>
      </c>
      <c r="O3573" t="str">
        <f>IFERROR(VLOOKUP($A3573,Accounts!$A:$G,8,FALSE),"")</f>
        <v/>
      </c>
    </row>
    <row r="3574" spans="1:15" x14ac:dyDescent="0.2">
      <c r="A3574" t="str">
        <f t="shared" si="54"/>
        <v/>
      </c>
      <c r="O3574" t="str">
        <f>IFERROR(VLOOKUP($A3574,Accounts!$A:$G,8,FALSE),"")</f>
        <v/>
      </c>
    </row>
    <row r="3575" spans="1:15" x14ac:dyDescent="0.2">
      <c r="A3575" t="str">
        <f t="shared" si="54"/>
        <v/>
      </c>
      <c r="O3575" t="str">
        <f>IFERROR(VLOOKUP($A3575,Accounts!$A:$G,8,FALSE),"")</f>
        <v/>
      </c>
    </row>
    <row r="3576" spans="1:15" x14ac:dyDescent="0.2">
      <c r="A3576" t="str">
        <f t="shared" si="54"/>
        <v/>
      </c>
      <c r="O3576" t="str">
        <f>IFERROR(VLOOKUP($A3576,Accounts!$A:$G,8,FALSE),"")</f>
        <v/>
      </c>
    </row>
    <row r="3577" spans="1:15" x14ac:dyDescent="0.2">
      <c r="A3577" t="str">
        <f t="shared" si="54"/>
        <v/>
      </c>
      <c r="O3577" t="str">
        <f>IFERROR(VLOOKUP($A3577,Accounts!$A:$G,8,FALSE),"")</f>
        <v/>
      </c>
    </row>
    <row r="3578" spans="1:15" x14ac:dyDescent="0.2">
      <c r="A3578" t="str">
        <f t="shared" si="54"/>
        <v/>
      </c>
      <c r="O3578" t="str">
        <f>IFERROR(VLOOKUP($A3578,Accounts!$A:$G,8,FALSE),"")</f>
        <v/>
      </c>
    </row>
    <row r="3579" spans="1:15" x14ac:dyDescent="0.2">
      <c r="A3579" t="str">
        <f t="shared" si="54"/>
        <v/>
      </c>
      <c r="O3579" t="str">
        <f>IFERROR(VLOOKUP($A3579,Accounts!$A:$G,8,FALSE),"")</f>
        <v/>
      </c>
    </row>
    <row r="3580" spans="1:15" x14ac:dyDescent="0.2">
      <c r="A3580" t="str">
        <f t="shared" si="54"/>
        <v/>
      </c>
      <c r="O3580" t="str">
        <f>IFERROR(VLOOKUP($A3580,Accounts!$A:$G,8,FALSE),"")</f>
        <v/>
      </c>
    </row>
    <row r="3581" spans="1:15" x14ac:dyDescent="0.2">
      <c r="A3581" t="str">
        <f t="shared" si="54"/>
        <v/>
      </c>
      <c r="O3581" t="str">
        <f>IFERROR(VLOOKUP($A3581,Accounts!$A:$G,8,FALSE),"")</f>
        <v/>
      </c>
    </row>
    <row r="3582" spans="1:15" x14ac:dyDescent="0.2">
      <c r="A3582" t="str">
        <f t="shared" si="54"/>
        <v/>
      </c>
      <c r="O3582" t="str">
        <f>IFERROR(VLOOKUP($A3582,Accounts!$A:$G,8,FALSE),"")</f>
        <v/>
      </c>
    </row>
    <row r="3583" spans="1:15" x14ac:dyDescent="0.2">
      <c r="A3583" t="str">
        <f t="shared" si="54"/>
        <v/>
      </c>
      <c r="O3583" t="str">
        <f>IFERROR(VLOOKUP($A3583,Accounts!$A:$G,8,FALSE),"")</f>
        <v/>
      </c>
    </row>
    <row r="3584" spans="1:15" x14ac:dyDescent="0.2">
      <c r="A3584" t="str">
        <f t="shared" si="54"/>
        <v/>
      </c>
      <c r="O3584" t="str">
        <f>IFERROR(VLOOKUP($A3584,Accounts!$A:$G,8,FALSE),"")</f>
        <v/>
      </c>
    </row>
    <row r="3585" spans="1:15" x14ac:dyDescent="0.2">
      <c r="A3585" t="str">
        <f t="shared" si="54"/>
        <v/>
      </c>
      <c r="O3585" t="str">
        <f>IFERROR(VLOOKUP($A3585,Accounts!$A:$G,8,FALSE),"")</f>
        <v/>
      </c>
    </row>
    <row r="3586" spans="1:15" x14ac:dyDescent="0.2">
      <c r="A3586" t="str">
        <f t="shared" si="54"/>
        <v/>
      </c>
      <c r="O3586" t="str">
        <f>IFERROR(VLOOKUP($A3586,Accounts!$A:$G,8,FALSE),"")</f>
        <v/>
      </c>
    </row>
    <row r="3587" spans="1:15" x14ac:dyDescent="0.2">
      <c r="A3587" t="str">
        <f t="shared" ref="A3587:A3650" si="55">IFERROR(IF(J3587=0,B3587&amp;D3587&amp;I3587&amp;E3587,C3587&amp;D3587&amp;J3587&amp;G3587),"")</f>
        <v/>
      </c>
      <c r="O3587" t="str">
        <f>IFERROR(VLOOKUP($A3587,Accounts!$A:$G,8,FALSE),"")</f>
        <v/>
      </c>
    </row>
    <row r="3588" spans="1:15" x14ac:dyDescent="0.2">
      <c r="A3588" t="str">
        <f t="shared" si="55"/>
        <v/>
      </c>
      <c r="O3588" t="str">
        <f>IFERROR(VLOOKUP($A3588,Accounts!$A:$G,8,FALSE),"")</f>
        <v/>
      </c>
    </row>
    <row r="3589" spans="1:15" x14ac:dyDescent="0.2">
      <c r="A3589" t="str">
        <f t="shared" si="55"/>
        <v/>
      </c>
      <c r="O3589" t="str">
        <f>IFERROR(VLOOKUP($A3589,Accounts!$A:$G,8,FALSE),"")</f>
        <v/>
      </c>
    </row>
    <row r="3590" spans="1:15" x14ac:dyDescent="0.2">
      <c r="A3590" t="str">
        <f t="shared" si="55"/>
        <v/>
      </c>
      <c r="O3590" t="str">
        <f>IFERROR(VLOOKUP($A3590,Accounts!$A:$G,8,FALSE),"")</f>
        <v/>
      </c>
    </row>
    <row r="3591" spans="1:15" x14ac:dyDescent="0.2">
      <c r="A3591" t="str">
        <f t="shared" si="55"/>
        <v/>
      </c>
      <c r="O3591" t="str">
        <f>IFERROR(VLOOKUP($A3591,Accounts!$A:$G,8,FALSE),"")</f>
        <v/>
      </c>
    </row>
    <row r="3592" spans="1:15" x14ac:dyDescent="0.2">
      <c r="A3592" t="str">
        <f t="shared" si="55"/>
        <v/>
      </c>
      <c r="O3592" t="str">
        <f>IFERROR(VLOOKUP($A3592,Accounts!$A:$G,8,FALSE),"")</f>
        <v/>
      </c>
    </row>
    <row r="3593" spans="1:15" x14ac:dyDescent="0.2">
      <c r="A3593" t="str">
        <f t="shared" si="55"/>
        <v/>
      </c>
      <c r="O3593" t="str">
        <f>IFERROR(VLOOKUP($A3593,Accounts!$A:$G,8,FALSE),"")</f>
        <v/>
      </c>
    </row>
    <row r="3594" spans="1:15" x14ac:dyDescent="0.2">
      <c r="A3594" t="str">
        <f t="shared" si="55"/>
        <v/>
      </c>
      <c r="O3594" t="str">
        <f>IFERROR(VLOOKUP($A3594,Accounts!$A:$G,8,FALSE),"")</f>
        <v/>
      </c>
    </row>
    <row r="3595" spans="1:15" x14ac:dyDescent="0.2">
      <c r="A3595" t="str">
        <f t="shared" si="55"/>
        <v/>
      </c>
      <c r="O3595" t="str">
        <f>IFERROR(VLOOKUP($A3595,Accounts!$A:$G,8,FALSE),"")</f>
        <v/>
      </c>
    </row>
    <row r="3596" spans="1:15" x14ac:dyDescent="0.2">
      <c r="A3596" t="str">
        <f t="shared" si="55"/>
        <v/>
      </c>
      <c r="O3596" t="str">
        <f>IFERROR(VLOOKUP($A3596,Accounts!$A:$G,8,FALSE),"")</f>
        <v/>
      </c>
    </row>
    <row r="3597" spans="1:15" x14ac:dyDescent="0.2">
      <c r="A3597" t="str">
        <f t="shared" si="55"/>
        <v/>
      </c>
      <c r="O3597" t="str">
        <f>IFERROR(VLOOKUP($A3597,Accounts!$A:$G,8,FALSE),"")</f>
        <v/>
      </c>
    </row>
    <row r="3598" spans="1:15" x14ac:dyDescent="0.2">
      <c r="A3598" t="str">
        <f t="shared" si="55"/>
        <v/>
      </c>
      <c r="O3598" t="str">
        <f>IFERROR(VLOOKUP($A3598,Accounts!$A:$G,8,FALSE),"")</f>
        <v/>
      </c>
    </row>
    <row r="3599" spans="1:15" x14ac:dyDescent="0.2">
      <c r="A3599" t="str">
        <f t="shared" si="55"/>
        <v/>
      </c>
      <c r="O3599" t="str">
        <f>IFERROR(VLOOKUP($A3599,Accounts!$A:$G,8,FALSE),"")</f>
        <v/>
      </c>
    </row>
    <row r="3600" spans="1:15" x14ac:dyDescent="0.2">
      <c r="A3600" t="str">
        <f t="shared" si="55"/>
        <v/>
      </c>
      <c r="O3600" t="str">
        <f>IFERROR(VLOOKUP($A3600,Accounts!$A:$G,8,FALSE),"")</f>
        <v/>
      </c>
    </row>
    <row r="3601" spans="1:15" x14ac:dyDescent="0.2">
      <c r="A3601" t="str">
        <f t="shared" si="55"/>
        <v/>
      </c>
      <c r="O3601" t="str">
        <f>IFERROR(VLOOKUP($A3601,Accounts!$A:$G,8,FALSE),"")</f>
        <v/>
      </c>
    </row>
    <row r="3602" spans="1:15" x14ac:dyDescent="0.2">
      <c r="A3602" t="str">
        <f t="shared" si="55"/>
        <v/>
      </c>
      <c r="O3602" t="str">
        <f>IFERROR(VLOOKUP($A3602,Accounts!$A:$G,8,FALSE),"")</f>
        <v/>
      </c>
    </row>
    <row r="3603" spans="1:15" x14ac:dyDescent="0.2">
      <c r="A3603" t="str">
        <f t="shared" si="55"/>
        <v/>
      </c>
      <c r="O3603" t="str">
        <f>IFERROR(VLOOKUP($A3603,Accounts!$A:$G,8,FALSE),"")</f>
        <v/>
      </c>
    </row>
    <row r="3604" spans="1:15" x14ac:dyDescent="0.2">
      <c r="A3604" t="str">
        <f t="shared" si="55"/>
        <v/>
      </c>
      <c r="O3604" t="str">
        <f>IFERROR(VLOOKUP($A3604,Accounts!$A:$G,8,FALSE),"")</f>
        <v/>
      </c>
    </row>
    <row r="3605" spans="1:15" x14ac:dyDescent="0.2">
      <c r="A3605" t="str">
        <f t="shared" si="55"/>
        <v/>
      </c>
      <c r="O3605" t="str">
        <f>IFERROR(VLOOKUP($A3605,Accounts!$A:$G,8,FALSE),"")</f>
        <v/>
      </c>
    </row>
    <row r="3606" spans="1:15" x14ac:dyDescent="0.2">
      <c r="A3606" t="str">
        <f t="shared" si="55"/>
        <v/>
      </c>
      <c r="O3606" t="str">
        <f>IFERROR(VLOOKUP($A3606,Accounts!$A:$G,8,FALSE),"")</f>
        <v/>
      </c>
    </row>
    <row r="3607" spans="1:15" x14ac:dyDescent="0.2">
      <c r="A3607" t="str">
        <f t="shared" si="55"/>
        <v/>
      </c>
      <c r="O3607" t="str">
        <f>IFERROR(VLOOKUP($A3607,Accounts!$A:$G,8,FALSE),"")</f>
        <v/>
      </c>
    </row>
    <row r="3608" spans="1:15" x14ac:dyDescent="0.2">
      <c r="A3608" t="str">
        <f t="shared" si="55"/>
        <v/>
      </c>
      <c r="O3608" t="str">
        <f>IFERROR(VLOOKUP($A3608,Accounts!$A:$G,8,FALSE),"")</f>
        <v/>
      </c>
    </row>
    <row r="3609" spans="1:15" x14ac:dyDescent="0.2">
      <c r="A3609" t="str">
        <f t="shared" si="55"/>
        <v/>
      </c>
      <c r="O3609" t="str">
        <f>IFERROR(VLOOKUP($A3609,Accounts!$A:$G,8,FALSE),"")</f>
        <v/>
      </c>
    </row>
    <row r="3610" spans="1:15" x14ac:dyDescent="0.2">
      <c r="A3610" t="str">
        <f t="shared" si="55"/>
        <v/>
      </c>
      <c r="O3610" t="str">
        <f>IFERROR(VLOOKUP($A3610,Accounts!$A:$G,8,FALSE),"")</f>
        <v/>
      </c>
    </row>
    <row r="3611" spans="1:15" x14ac:dyDescent="0.2">
      <c r="A3611" t="str">
        <f t="shared" si="55"/>
        <v/>
      </c>
      <c r="O3611" t="str">
        <f>IFERROR(VLOOKUP($A3611,Accounts!$A:$G,8,FALSE),"")</f>
        <v/>
      </c>
    </row>
    <row r="3612" spans="1:15" x14ac:dyDescent="0.2">
      <c r="A3612" t="str">
        <f t="shared" si="55"/>
        <v/>
      </c>
      <c r="O3612" t="str">
        <f>IFERROR(VLOOKUP($A3612,Accounts!$A:$G,8,FALSE),"")</f>
        <v/>
      </c>
    </row>
    <row r="3613" spans="1:15" x14ac:dyDescent="0.2">
      <c r="A3613" t="str">
        <f t="shared" si="55"/>
        <v/>
      </c>
      <c r="O3613" t="str">
        <f>IFERROR(VLOOKUP($A3613,Accounts!$A:$G,8,FALSE),"")</f>
        <v/>
      </c>
    </row>
    <row r="3614" spans="1:15" x14ac:dyDescent="0.2">
      <c r="A3614" t="str">
        <f t="shared" si="55"/>
        <v/>
      </c>
      <c r="O3614" t="str">
        <f>IFERROR(VLOOKUP($A3614,Accounts!$A:$G,8,FALSE),"")</f>
        <v/>
      </c>
    </row>
    <row r="3615" spans="1:15" x14ac:dyDescent="0.2">
      <c r="A3615" t="str">
        <f t="shared" si="55"/>
        <v/>
      </c>
      <c r="O3615" t="str">
        <f>IFERROR(VLOOKUP($A3615,Accounts!$A:$G,8,FALSE),"")</f>
        <v/>
      </c>
    </row>
    <row r="3616" spans="1:15" x14ac:dyDescent="0.2">
      <c r="A3616" t="str">
        <f t="shared" si="55"/>
        <v/>
      </c>
      <c r="O3616" t="str">
        <f>IFERROR(VLOOKUP($A3616,Accounts!$A:$G,8,FALSE),"")</f>
        <v/>
      </c>
    </row>
    <row r="3617" spans="1:15" x14ac:dyDescent="0.2">
      <c r="A3617" t="str">
        <f t="shared" si="55"/>
        <v/>
      </c>
      <c r="O3617" t="str">
        <f>IFERROR(VLOOKUP($A3617,Accounts!$A:$G,8,FALSE),"")</f>
        <v/>
      </c>
    </row>
    <row r="3618" spans="1:15" x14ac:dyDescent="0.2">
      <c r="A3618" t="str">
        <f t="shared" si="55"/>
        <v/>
      </c>
      <c r="O3618" t="str">
        <f>IFERROR(VLOOKUP($A3618,Accounts!$A:$G,8,FALSE),"")</f>
        <v/>
      </c>
    </row>
    <row r="3619" spans="1:15" x14ac:dyDescent="0.2">
      <c r="A3619" t="str">
        <f t="shared" si="55"/>
        <v/>
      </c>
      <c r="O3619" t="str">
        <f>IFERROR(VLOOKUP($A3619,Accounts!$A:$G,8,FALSE),"")</f>
        <v/>
      </c>
    </row>
    <row r="3620" spans="1:15" x14ac:dyDescent="0.2">
      <c r="A3620" t="str">
        <f t="shared" si="55"/>
        <v/>
      </c>
      <c r="O3620" t="str">
        <f>IFERROR(VLOOKUP($A3620,Accounts!$A:$G,8,FALSE),"")</f>
        <v/>
      </c>
    </row>
    <row r="3621" spans="1:15" x14ac:dyDescent="0.2">
      <c r="A3621" t="str">
        <f t="shared" si="55"/>
        <v/>
      </c>
      <c r="O3621" t="str">
        <f>IFERROR(VLOOKUP($A3621,Accounts!$A:$G,8,FALSE),"")</f>
        <v/>
      </c>
    </row>
    <row r="3622" spans="1:15" x14ac:dyDescent="0.2">
      <c r="A3622" t="str">
        <f t="shared" si="55"/>
        <v/>
      </c>
      <c r="O3622" t="str">
        <f>IFERROR(VLOOKUP($A3622,Accounts!$A:$G,8,FALSE),"")</f>
        <v/>
      </c>
    </row>
    <row r="3623" spans="1:15" x14ac:dyDescent="0.2">
      <c r="A3623" t="str">
        <f t="shared" si="55"/>
        <v/>
      </c>
      <c r="O3623" t="str">
        <f>IFERROR(VLOOKUP($A3623,Accounts!$A:$G,8,FALSE),"")</f>
        <v/>
      </c>
    </row>
    <row r="3624" spans="1:15" x14ac:dyDescent="0.2">
      <c r="A3624" t="str">
        <f t="shared" si="55"/>
        <v/>
      </c>
      <c r="O3624" t="str">
        <f>IFERROR(VLOOKUP($A3624,Accounts!$A:$G,8,FALSE),"")</f>
        <v/>
      </c>
    </row>
    <row r="3625" spans="1:15" x14ac:dyDescent="0.2">
      <c r="A3625" t="str">
        <f t="shared" si="55"/>
        <v/>
      </c>
      <c r="O3625" t="str">
        <f>IFERROR(VLOOKUP($A3625,Accounts!$A:$G,8,FALSE),"")</f>
        <v/>
      </c>
    </row>
    <row r="3626" spans="1:15" x14ac:dyDescent="0.2">
      <c r="A3626" t="str">
        <f t="shared" si="55"/>
        <v/>
      </c>
      <c r="O3626" t="str">
        <f>IFERROR(VLOOKUP($A3626,Accounts!$A:$G,8,FALSE),"")</f>
        <v/>
      </c>
    </row>
    <row r="3627" spans="1:15" x14ac:dyDescent="0.2">
      <c r="A3627" t="str">
        <f t="shared" si="55"/>
        <v/>
      </c>
      <c r="O3627" t="str">
        <f>IFERROR(VLOOKUP($A3627,Accounts!$A:$G,8,FALSE),"")</f>
        <v/>
      </c>
    </row>
    <row r="3628" spans="1:15" x14ac:dyDescent="0.2">
      <c r="A3628" t="str">
        <f t="shared" si="55"/>
        <v/>
      </c>
      <c r="O3628" t="str">
        <f>IFERROR(VLOOKUP($A3628,Accounts!$A:$G,8,FALSE),"")</f>
        <v/>
      </c>
    </row>
    <row r="3629" spans="1:15" x14ac:dyDescent="0.2">
      <c r="A3629" t="str">
        <f t="shared" si="55"/>
        <v/>
      </c>
      <c r="O3629" t="str">
        <f>IFERROR(VLOOKUP($A3629,Accounts!$A:$G,8,FALSE),"")</f>
        <v/>
      </c>
    </row>
    <row r="3630" spans="1:15" x14ac:dyDescent="0.2">
      <c r="A3630" t="str">
        <f t="shared" si="55"/>
        <v/>
      </c>
      <c r="O3630" t="str">
        <f>IFERROR(VLOOKUP($A3630,Accounts!$A:$G,8,FALSE),"")</f>
        <v/>
      </c>
    </row>
    <row r="3631" spans="1:15" x14ac:dyDescent="0.2">
      <c r="A3631" t="str">
        <f t="shared" si="55"/>
        <v/>
      </c>
      <c r="O3631" t="str">
        <f>IFERROR(VLOOKUP($A3631,Accounts!$A:$G,8,FALSE),"")</f>
        <v/>
      </c>
    </row>
    <row r="3632" spans="1:15" x14ac:dyDescent="0.2">
      <c r="A3632" t="str">
        <f t="shared" si="55"/>
        <v/>
      </c>
      <c r="O3632" t="str">
        <f>IFERROR(VLOOKUP($A3632,Accounts!$A:$G,8,FALSE),"")</f>
        <v/>
      </c>
    </row>
    <row r="3633" spans="1:15" x14ac:dyDescent="0.2">
      <c r="A3633" t="str">
        <f t="shared" si="55"/>
        <v/>
      </c>
      <c r="O3633" t="str">
        <f>IFERROR(VLOOKUP($A3633,Accounts!$A:$G,8,FALSE),"")</f>
        <v/>
      </c>
    </row>
    <row r="3634" spans="1:15" x14ac:dyDescent="0.2">
      <c r="A3634" t="str">
        <f t="shared" si="55"/>
        <v/>
      </c>
      <c r="O3634" t="str">
        <f>IFERROR(VLOOKUP($A3634,Accounts!$A:$G,8,FALSE),"")</f>
        <v/>
      </c>
    </row>
    <row r="3635" spans="1:15" x14ac:dyDescent="0.2">
      <c r="A3635" t="str">
        <f t="shared" si="55"/>
        <v/>
      </c>
      <c r="O3635" t="str">
        <f>IFERROR(VLOOKUP($A3635,Accounts!$A:$G,8,FALSE),"")</f>
        <v/>
      </c>
    </row>
    <row r="3636" spans="1:15" x14ac:dyDescent="0.2">
      <c r="A3636" t="str">
        <f t="shared" si="55"/>
        <v/>
      </c>
      <c r="O3636" t="str">
        <f>IFERROR(VLOOKUP($A3636,Accounts!$A:$G,8,FALSE),"")</f>
        <v/>
      </c>
    </row>
    <row r="3637" spans="1:15" x14ac:dyDescent="0.2">
      <c r="A3637" t="str">
        <f t="shared" si="55"/>
        <v/>
      </c>
      <c r="O3637" t="str">
        <f>IFERROR(VLOOKUP($A3637,Accounts!$A:$G,8,FALSE),"")</f>
        <v/>
      </c>
    </row>
    <row r="3638" spans="1:15" x14ac:dyDescent="0.2">
      <c r="A3638" t="str">
        <f t="shared" si="55"/>
        <v/>
      </c>
      <c r="O3638" t="str">
        <f>IFERROR(VLOOKUP($A3638,Accounts!$A:$G,8,FALSE),"")</f>
        <v/>
      </c>
    </row>
    <row r="3639" spans="1:15" x14ac:dyDescent="0.2">
      <c r="A3639" t="str">
        <f t="shared" si="55"/>
        <v/>
      </c>
      <c r="O3639" t="str">
        <f>IFERROR(VLOOKUP($A3639,Accounts!$A:$G,8,FALSE),"")</f>
        <v/>
      </c>
    </row>
    <row r="3640" spans="1:15" x14ac:dyDescent="0.2">
      <c r="A3640" t="str">
        <f t="shared" si="55"/>
        <v/>
      </c>
      <c r="O3640" t="str">
        <f>IFERROR(VLOOKUP($A3640,Accounts!$A:$G,8,FALSE),"")</f>
        <v/>
      </c>
    </row>
    <row r="3641" spans="1:15" x14ac:dyDescent="0.2">
      <c r="A3641" t="str">
        <f t="shared" si="55"/>
        <v/>
      </c>
      <c r="O3641" t="str">
        <f>IFERROR(VLOOKUP($A3641,Accounts!$A:$G,8,FALSE),"")</f>
        <v/>
      </c>
    </row>
    <row r="3642" spans="1:15" x14ac:dyDescent="0.2">
      <c r="A3642" t="str">
        <f t="shared" si="55"/>
        <v/>
      </c>
      <c r="O3642" t="str">
        <f>IFERROR(VLOOKUP($A3642,Accounts!$A:$G,8,FALSE),"")</f>
        <v/>
      </c>
    </row>
    <row r="3643" spans="1:15" x14ac:dyDescent="0.2">
      <c r="A3643" t="str">
        <f t="shared" si="55"/>
        <v/>
      </c>
      <c r="O3643" t="str">
        <f>IFERROR(VLOOKUP($A3643,Accounts!$A:$G,8,FALSE),"")</f>
        <v/>
      </c>
    </row>
    <row r="3644" spans="1:15" x14ac:dyDescent="0.2">
      <c r="A3644" t="str">
        <f t="shared" si="55"/>
        <v/>
      </c>
      <c r="O3644" t="str">
        <f>IFERROR(VLOOKUP($A3644,Accounts!$A:$G,8,FALSE),"")</f>
        <v/>
      </c>
    </row>
    <row r="3645" spans="1:15" x14ac:dyDescent="0.2">
      <c r="A3645" t="str">
        <f t="shared" si="55"/>
        <v/>
      </c>
      <c r="O3645" t="str">
        <f>IFERROR(VLOOKUP($A3645,Accounts!$A:$G,8,FALSE),"")</f>
        <v/>
      </c>
    </row>
    <row r="3646" spans="1:15" x14ac:dyDescent="0.2">
      <c r="A3646" t="str">
        <f t="shared" si="55"/>
        <v/>
      </c>
      <c r="O3646" t="str">
        <f>IFERROR(VLOOKUP($A3646,Accounts!$A:$G,8,FALSE),"")</f>
        <v/>
      </c>
    </row>
    <row r="3647" spans="1:15" x14ac:dyDescent="0.2">
      <c r="A3647" t="str">
        <f t="shared" si="55"/>
        <v/>
      </c>
      <c r="O3647" t="str">
        <f>IFERROR(VLOOKUP($A3647,Accounts!$A:$G,8,FALSE),"")</f>
        <v/>
      </c>
    </row>
    <row r="3648" spans="1:15" x14ac:dyDescent="0.2">
      <c r="A3648" t="str">
        <f t="shared" si="55"/>
        <v/>
      </c>
      <c r="O3648" t="str">
        <f>IFERROR(VLOOKUP($A3648,Accounts!$A:$G,8,FALSE),"")</f>
        <v/>
      </c>
    </row>
    <row r="3649" spans="1:15" x14ac:dyDescent="0.2">
      <c r="A3649" t="str">
        <f t="shared" si="55"/>
        <v/>
      </c>
      <c r="O3649" t="str">
        <f>IFERROR(VLOOKUP($A3649,Accounts!$A:$G,8,FALSE),"")</f>
        <v/>
      </c>
    </row>
    <row r="3650" spans="1:15" x14ac:dyDescent="0.2">
      <c r="A3650" t="str">
        <f t="shared" si="55"/>
        <v/>
      </c>
      <c r="O3650" t="str">
        <f>IFERROR(VLOOKUP($A3650,Accounts!$A:$G,8,FALSE),"")</f>
        <v/>
      </c>
    </row>
    <row r="3651" spans="1:15" x14ac:dyDescent="0.2">
      <c r="A3651" t="str">
        <f t="shared" ref="A3651:A3714" si="56">IFERROR(IF(J3651=0,B3651&amp;D3651&amp;I3651&amp;E3651,C3651&amp;D3651&amp;J3651&amp;G3651),"")</f>
        <v/>
      </c>
      <c r="O3651" t="str">
        <f>IFERROR(VLOOKUP($A3651,Accounts!$A:$G,8,FALSE),"")</f>
        <v/>
      </c>
    </row>
    <row r="3652" spans="1:15" x14ac:dyDescent="0.2">
      <c r="A3652" t="str">
        <f t="shared" si="56"/>
        <v/>
      </c>
      <c r="O3652" t="str">
        <f>IFERROR(VLOOKUP($A3652,Accounts!$A:$G,8,FALSE),"")</f>
        <v/>
      </c>
    </row>
    <row r="3653" spans="1:15" x14ac:dyDescent="0.2">
      <c r="A3653" t="str">
        <f t="shared" si="56"/>
        <v/>
      </c>
      <c r="O3653" t="str">
        <f>IFERROR(VLOOKUP($A3653,Accounts!$A:$G,8,FALSE),"")</f>
        <v/>
      </c>
    </row>
    <row r="3654" spans="1:15" x14ac:dyDescent="0.2">
      <c r="A3654" t="str">
        <f t="shared" si="56"/>
        <v/>
      </c>
      <c r="O3654" t="str">
        <f>IFERROR(VLOOKUP($A3654,Accounts!$A:$G,8,FALSE),"")</f>
        <v/>
      </c>
    </row>
    <row r="3655" spans="1:15" x14ac:dyDescent="0.2">
      <c r="A3655" t="str">
        <f t="shared" si="56"/>
        <v/>
      </c>
      <c r="O3655" t="str">
        <f>IFERROR(VLOOKUP($A3655,Accounts!$A:$G,8,FALSE),"")</f>
        <v/>
      </c>
    </row>
    <row r="3656" spans="1:15" x14ac:dyDescent="0.2">
      <c r="A3656" t="str">
        <f t="shared" si="56"/>
        <v/>
      </c>
      <c r="O3656" t="str">
        <f>IFERROR(VLOOKUP($A3656,Accounts!$A:$G,8,FALSE),"")</f>
        <v/>
      </c>
    </row>
    <row r="3657" spans="1:15" x14ac:dyDescent="0.2">
      <c r="A3657" t="str">
        <f t="shared" si="56"/>
        <v/>
      </c>
      <c r="O3657" t="str">
        <f>IFERROR(VLOOKUP($A3657,Accounts!$A:$G,8,FALSE),"")</f>
        <v/>
      </c>
    </row>
    <row r="3658" spans="1:15" x14ac:dyDescent="0.2">
      <c r="A3658" t="str">
        <f t="shared" si="56"/>
        <v/>
      </c>
      <c r="O3658" t="str">
        <f>IFERROR(VLOOKUP($A3658,Accounts!$A:$G,8,FALSE),"")</f>
        <v/>
      </c>
    </row>
    <row r="3659" spans="1:15" x14ac:dyDescent="0.2">
      <c r="A3659" t="str">
        <f t="shared" si="56"/>
        <v/>
      </c>
      <c r="O3659" t="str">
        <f>IFERROR(VLOOKUP($A3659,Accounts!$A:$G,8,FALSE),"")</f>
        <v/>
      </c>
    </row>
    <row r="3660" spans="1:15" x14ac:dyDescent="0.2">
      <c r="A3660" t="str">
        <f t="shared" si="56"/>
        <v/>
      </c>
      <c r="O3660" t="str">
        <f>IFERROR(VLOOKUP($A3660,Accounts!$A:$G,8,FALSE),"")</f>
        <v/>
      </c>
    </row>
    <row r="3661" spans="1:15" x14ac:dyDescent="0.2">
      <c r="A3661" t="str">
        <f t="shared" si="56"/>
        <v/>
      </c>
      <c r="O3661" t="str">
        <f>IFERROR(VLOOKUP($A3661,Accounts!$A:$G,8,FALSE),"")</f>
        <v/>
      </c>
    </row>
    <row r="3662" spans="1:15" x14ac:dyDescent="0.2">
      <c r="A3662" t="str">
        <f t="shared" si="56"/>
        <v/>
      </c>
      <c r="O3662" t="str">
        <f>IFERROR(VLOOKUP($A3662,Accounts!$A:$G,8,FALSE),"")</f>
        <v/>
      </c>
    </row>
    <row r="3663" spans="1:15" x14ac:dyDescent="0.2">
      <c r="A3663" t="str">
        <f t="shared" si="56"/>
        <v/>
      </c>
      <c r="O3663" t="str">
        <f>IFERROR(VLOOKUP($A3663,Accounts!$A:$G,8,FALSE),"")</f>
        <v/>
      </c>
    </row>
    <row r="3664" spans="1:15" x14ac:dyDescent="0.2">
      <c r="A3664" t="str">
        <f t="shared" si="56"/>
        <v/>
      </c>
      <c r="O3664" t="str">
        <f>IFERROR(VLOOKUP($A3664,Accounts!$A:$G,8,FALSE),"")</f>
        <v/>
      </c>
    </row>
    <row r="3665" spans="1:15" x14ac:dyDescent="0.2">
      <c r="A3665" t="str">
        <f t="shared" si="56"/>
        <v/>
      </c>
      <c r="O3665" t="str">
        <f>IFERROR(VLOOKUP($A3665,Accounts!$A:$G,8,FALSE),"")</f>
        <v/>
      </c>
    </row>
    <row r="3666" spans="1:15" x14ac:dyDescent="0.2">
      <c r="A3666" t="str">
        <f t="shared" si="56"/>
        <v/>
      </c>
      <c r="O3666" t="str">
        <f>IFERROR(VLOOKUP($A3666,Accounts!$A:$G,8,FALSE),"")</f>
        <v/>
      </c>
    </row>
    <row r="3667" spans="1:15" x14ac:dyDescent="0.2">
      <c r="A3667" t="str">
        <f t="shared" si="56"/>
        <v/>
      </c>
      <c r="O3667" t="str">
        <f>IFERROR(VLOOKUP($A3667,Accounts!$A:$G,8,FALSE),"")</f>
        <v/>
      </c>
    </row>
    <row r="3668" spans="1:15" x14ac:dyDescent="0.2">
      <c r="A3668" t="str">
        <f t="shared" si="56"/>
        <v/>
      </c>
      <c r="O3668" t="str">
        <f>IFERROR(VLOOKUP($A3668,Accounts!$A:$G,8,FALSE),"")</f>
        <v/>
      </c>
    </row>
    <row r="3669" spans="1:15" x14ac:dyDescent="0.2">
      <c r="A3669" t="str">
        <f t="shared" si="56"/>
        <v/>
      </c>
      <c r="O3669" t="str">
        <f>IFERROR(VLOOKUP($A3669,Accounts!$A:$G,8,FALSE),"")</f>
        <v/>
      </c>
    </row>
    <row r="3670" spans="1:15" x14ac:dyDescent="0.2">
      <c r="A3670" t="str">
        <f t="shared" si="56"/>
        <v/>
      </c>
      <c r="O3670" t="str">
        <f>IFERROR(VLOOKUP($A3670,Accounts!$A:$G,8,FALSE),"")</f>
        <v/>
      </c>
    </row>
    <row r="3671" spans="1:15" x14ac:dyDescent="0.2">
      <c r="A3671" t="str">
        <f t="shared" si="56"/>
        <v/>
      </c>
      <c r="O3671" t="str">
        <f>IFERROR(VLOOKUP($A3671,Accounts!$A:$G,8,FALSE),"")</f>
        <v/>
      </c>
    </row>
    <row r="3672" spans="1:15" x14ac:dyDescent="0.2">
      <c r="A3672" t="str">
        <f t="shared" si="56"/>
        <v/>
      </c>
      <c r="O3672" t="str">
        <f>IFERROR(VLOOKUP($A3672,Accounts!$A:$G,8,FALSE),"")</f>
        <v/>
      </c>
    </row>
    <row r="3673" spans="1:15" x14ac:dyDescent="0.2">
      <c r="A3673" t="str">
        <f t="shared" si="56"/>
        <v/>
      </c>
      <c r="O3673" t="str">
        <f>IFERROR(VLOOKUP($A3673,Accounts!$A:$G,8,FALSE),"")</f>
        <v/>
      </c>
    </row>
    <row r="3674" spans="1:15" x14ac:dyDescent="0.2">
      <c r="A3674" t="str">
        <f t="shared" si="56"/>
        <v/>
      </c>
      <c r="O3674" t="str">
        <f>IFERROR(VLOOKUP($A3674,Accounts!$A:$G,8,FALSE),"")</f>
        <v/>
      </c>
    </row>
    <row r="3675" spans="1:15" x14ac:dyDescent="0.2">
      <c r="A3675" t="str">
        <f t="shared" si="56"/>
        <v/>
      </c>
      <c r="O3675" t="str">
        <f>IFERROR(VLOOKUP($A3675,Accounts!$A:$G,8,FALSE),"")</f>
        <v/>
      </c>
    </row>
    <row r="3676" spans="1:15" x14ac:dyDescent="0.2">
      <c r="A3676" t="str">
        <f t="shared" si="56"/>
        <v/>
      </c>
      <c r="O3676" t="str">
        <f>IFERROR(VLOOKUP($A3676,Accounts!$A:$G,8,FALSE),"")</f>
        <v/>
      </c>
    </row>
    <row r="3677" spans="1:15" x14ac:dyDescent="0.2">
      <c r="A3677" t="str">
        <f t="shared" si="56"/>
        <v/>
      </c>
      <c r="O3677" t="str">
        <f>IFERROR(VLOOKUP($A3677,Accounts!$A:$G,8,FALSE),"")</f>
        <v/>
      </c>
    </row>
    <row r="3678" spans="1:15" x14ac:dyDescent="0.2">
      <c r="A3678" t="str">
        <f t="shared" si="56"/>
        <v/>
      </c>
      <c r="O3678" t="str">
        <f>IFERROR(VLOOKUP($A3678,Accounts!$A:$G,8,FALSE),"")</f>
        <v/>
      </c>
    </row>
    <row r="3679" spans="1:15" x14ac:dyDescent="0.2">
      <c r="A3679" t="str">
        <f t="shared" si="56"/>
        <v/>
      </c>
      <c r="O3679" t="str">
        <f>IFERROR(VLOOKUP($A3679,Accounts!$A:$G,8,FALSE),"")</f>
        <v/>
      </c>
    </row>
    <row r="3680" spans="1:15" x14ac:dyDescent="0.2">
      <c r="A3680" t="str">
        <f t="shared" si="56"/>
        <v/>
      </c>
      <c r="O3680" t="str">
        <f>IFERROR(VLOOKUP($A3680,Accounts!$A:$G,8,FALSE),"")</f>
        <v/>
      </c>
    </row>
    <row r="3681" spans="1:15" x14ac:dyDescent="0.2">
      <c r="A3681" t="str">
        <f t="shared" si="56"/>
        <v/>
      </c>
      <c r="O3681" t="str">
        <f>IFERROR(VLOOKUP($A3681,Accounts!$A:$G,8,FALSE),"")</f>
        <v/>
      </c>
    </row>
    <row r="3682" spans="1:15" x14ac:dyDescent="0.2">
      <c r="A3682" t="str">
        <f t="shared" si="56"/>
        <v/>
      </c>
      <c r="O3682" t="str">
        <f>IFERROR(VLOOKUP($A3682,Accounts!$A:$G,8,FALSE),"")</f>
        <v/>
      </c>
    </row>
    <row r="3683" spans="1:15" x14ac:dyDescent="0.2">
      <c r="A3683" t="str">
        <f t="shared" si="56"/>
        <v/>
      </c>
      <c r="O3683" t="str">
        <f>IFERROR(VLOOKUP($A3683,Accounts!$A:$G,8,FALSE),"")</f>
        <v/>
      </c>
    </row>
    <row r="3684" spans="1:15" x14ac:dyDescent="0.2">
      <c r="A3684" t="str">
        <f t="shared" si="56"/>
        <v/>
      </c>
      <c r="O3684" t="str">
        <f>IFERROR(VLOOKUP($A3684,Accounts!$A:$G,8,FALSE),"")</f>
        <v/>
      </c>
    </row>
    <row r="3685" spans="1:15" x14ac:dyDescent="0.2">
      <c r="A3685" t="str">
        <f t="shared" si="56"/>
        <v/>
      </c>
      <c r="O3685" t="str">
        <f>IFERROR(VLOOKUP($A3685,Accounts!$A:$G,8,FALSE),"")</f>
        <v/>
      </c>
    </row>
    <row r="3686" spans="1:15" x14ac:dyDescent="0.2">
      <c r="A3686" t="str">
        <f t="shared" si="56"/>
        <v/>
      </c>
      <c r="O3686" t="str">
        <f>IFERROR(VLOOKUP($A3686,Accounts!$A:$G,8,FALSE),"")</f>
        <v/>
      </c>
    </row>
    <row r="3687" spans="1:15" x14ac:dyDescent="0.2">
      <c r="A3687" t="str">
        <f t="shared" si="56"/>
        <v/>
      </c>
      <c r="O3687" t="str">
        <f>IFERROR(VLOOKUP($A3687,Accounts!$A:$G,8,FALSE),"")</f>
        <v/>
      </c>
    </row>
    <row r="3688" spans="1:15" x14ac:dyDescent="0.2">
      <c r="A3688" t="str">
        <f t="shared" si="56"/>
        <v/>
      </c>
      <c r="O3688" t="str">
        <f>IFERROR(VLOOKUP($A3688,Accounts!$A:$G,8,FALSE),"")</f>
        <v/>
      </c>
    </row>
    <row r="3689" spans="1:15" x14ac:dyDescent="0.2">
      <c r="A3689" t="str">
        <f t="shared" si="56"/>
        <v/>
      </c>
      <c r="O3689" t="str">
        <f>IFERROR(VLOOKUP($A3689,Accounts!$A:$G,8,FALSE),"")</f>
        <v/>
      </c>
    </row>
    <row r="3690" spans="1:15" x14ac:dyDescent="0.2">
      <c r="A3690" t="str">
        <f t="shared" si="56"/>
        <v/>
      </c>
      <c r="O3690" t="str">
        <f>IFERROR(VLOOKUP($A3690,Accounts!$A:$G,8,FALSE),"")</f>
        <v/>
      </c>
    </row>
    <row r="3691" spans="1:15" x14ac:dyDescent="0.2">
      <c r="A3691" t="str">
        <f t="shared" si="56"/>
        <v/>
      </c>
      <c r="O3691" t="str">
        <f>IFERROR(VLOOKUP($A3691,Accounts!$A:$G,8,FALSE),"")</f>
        <v/>
      </c>
    </row>
    <row r="3692" spans="1:15" x14ac:dyDescent="0.2">
      <c r="A3692" t="str">
        <f t="shared" si="56"/>
        <v/>
      </c>
      <c r="O3692" t="str">
        <f>IFERROR(VLOOKUP($A3692,Accounts!$A:$G,8,FALSE),"")</f>
        <v/>
      </c>
    </row>
    <row r="3693" spans="1:15" x14ac:dyDescent="0.2">
      <c r="A3693" t="str">
        <f t="shared" si="56"/>
        <v/>
      </c>
      <c r="O3693" t="str">
        <f>IFERROR(VLOOKUP($A3693,Accounts!$A:$G,8,FALSE),"")</f>
        <v/>
      </c>
    </row>
    <row r="3694" spans="1:15" x14ac:dyDescent="0.2">
      <c r="A3694" t="str">
        <f t="shared" si="56"/>
        <v/>
      </c>
      <c r="O3694" t="str">
        <f>IFERROR(VLOOKUP($A3694,Accounts!$A:$G,8,FALSE),"")</f>
        <v/>
      </c>
    </row>
    <row r="3695" spans="1:15" x14ac:dyDescent="0.2">
      <c r="A3695" t="str">
        <f t="shared" si="56"/>
        <v/>
      </c>
      <c r="O3695" t="str">
        <f>IFERROR(VLOOKUP($A3695,Accounts!$A:$G,8,FALSE),"")</f>
        <v/>
      </c>
    </row>
    <row r="3696" spans="1:15" x14ac:dyDescent="0.2">
      <c r="A3696" t="str">
        <f t="shared" si="56"/>
        <v/>
      </c>
      <c r="O3696" t="str">
        <f>IFERROR(VLOOKUP($A3696,Accounts!$A:$G,8,FALSE),"")</f>
        <v/>
      </c>
    </row>
    <row r="3697" spans="1:15" x14ac:dyDescent="0.2">
      <c r="A3697" t="str">
        <f t="shared" si="56"/>
        <v/>
      </c>
      <c r="O3697" t="str">
        <f>IFERROR(VLOOKUP($A3697,Accounts!$A:$G,8,FALSE),"")</f>
        <v/>
      </c>
    </row>
    <row r="3698" spans="1:15" x14ac:dyDescent="0.2">
      <c r="A3698" t="str">
        <f t="shared" si="56"/>
        <v/>
      </c>
      <c r="O3698" t="str">
        <f>IFERROR(VLOOKUP($A3698,Accounts!$A:$G,8,FALSE),"")</f>
        <v/>
      </c>
    </row>
    <row r="3699" spans="1:15" x14ac:dyDescent="0.2">
      <c r="A3699" t="str">
        <f t="shared" si="56"/>
        <v/>
      </c>
      <c r="O3699" t="str">
        <f>IFERROR(VLOOKUP($A3699,Accounts!$A:$G,8,FALSE),"")</f>
        <v/>
      </c>
    </row>
    <row r="3700" spans="1:15" x14ac:dyDescent="0.2">
      <c r="A3700" t="str">
        <f t="shared" si="56"/>
        <v/>
      </c>
      <c r="O3700" t="str">
        <f>IFERROR(VLOOKUP($A3700,Accounts!$A:$G,8,FALSE),"")</f>
        <v/>
      </c>
    </row>
    <row r="3701" spans="1:15" x14ac:dyDescent="0.2">
      <c r="A3701" t="str">
        <f t="shared" si="56"/>
        <v/>
      </c>
      <c r="O3701" t="str">
        <f>IFERROR(VLOOKUP($A3701,Accounts!$A:$G,8,FALSE),"")</f>
        <v/>
      </c>
    </row>
    <row r="3702" spans="1:15" x14ac:dyDescent="0.2">
      <c r="A3702" t="str">
        <f t="shared" si="56"/>
        <v/>
      </c>
      <c r="O3702" t="str">
        <f>IFERROR(VLOOKUP($A3702,Accounts!$A:$G,8,FALSE),"")</f>
        <v/>
      </c>
    </row>
    <row r="3703" spans="1:15" x14ac:dyDescent="0.2">
      <c r="A3703" t="str">
        <f t="shared" si="56"/>
        <v/>
      </c>
      <c r="O3703" t="str">
        <f>IFERROR(VLOOKUP($A3703,Accounts!$A:$G,8,FALSE),"")</f>
        <v/>
      </c>
    </row>
    <row r="3704" spans="1:15" x14ac:dyDescent="0.2">
      <c r="A3704" t="str">
        <f t="shared" si="56"/>
        <v/>
      </c>
      <c r="O3704" t="str">
        <f>IFERROR(VLOOKUP($A3704,Accounts!$A:$G,8,FALSE),"")</f>
        <v/>
      </c>
    </row>
    <row r="3705" spans="1:15" x14ac:dyDescent="0.2">
      <c r="A3705" t="str">
        <f t="shared" si="56"/>
        <v/>
      </c>
      <c r="O3705" t="str">
        <f>IFERROR(VLOOKUP($A3705,Accounts!$A:$G,8,FALSE),"")</f>
        <v/>
      </c>
    </row>
    <row r="3706" spans="1:15" x14ac:dyDescent="0.2">
      <c r="A3706" t="str">
        <f t="shared" si="56"/>
        <v/>
      </c>
      <c r="O3706" t="str">
        <f>IFERROR(VLOOKUP($A3706,Accounts!$A:$G,8,FALSE),"")</f>
        <v/>
      </c>
    </row>
    <row r="3707" spans="1:15" x14ac:dyDescent="0.2">
      <c r="A3707" t="str">
        <f t="shared" si="56"/>
        <v/>
      </c>
      <c r="O3707" t="str">
        <f>IFERROR(VLOOKUP($A3707,Accounts!$A:$G,8,FALSE),"")</f>
        <v/>
      </c>
    </row>
    <row r="3708" spans="1:15" x14ac:dyDescent="0.2">
      <c r="A3708" t="str">
        <f t="shared" si="56"/>
        <v/>
      </c>
      <c r="O3708" t="str">
        <f>IFERROR(VLOOKUP($A3708,Accounts!$A:$G,8,FALSE),"")</f>
        <v/>
      </c>
    </row>
    <row r="3709" spans="1:15" x14ac:dyDescent="0.2">
      <c r="A3709" t="str">
        <f t="shared" si="56"/>
        <v/>
      </c>
      <c r="O3709" t="str">
        <f>IFERROR(VLOOKUP($A3709,Accounts!$A:$G,8,FALSE),"")</f>
        <v/>
      </c>
    </row>
    <row r="3710" spans="1:15" x14ac:dyDescent="0.2">
      <c r="A3710" t="str">
        <f t="shared" si="56"/>
        <v/>
      </c>
      <c r="O3710" t="str">
        <f>IFERROR(VLOOKUP($A3710,Accounts!$A:$G,8,FALSE),"")</f>
        <v/>
      </c>
    </row>
    <row r="3711" spans="1:15" x14ac:dyDescent="0.2">
      <c r="A3711" t="str">
        <f t="shared" si="56"/>
        <v/>
      </c>
      <c r="O3711" t="str">
        <f>IFERROR(VLOOKUP($A3711,Accounts!$A:$G,8,FALSE),"")</f>
        <v/>
      </c>
    </row>
    <row r="3712" spans="1:15" x14ac:dyDescent="0.2">
      <c r="A3712" t="str">
        <f t="shared" si="56"/>
        <v/>
      </c>
      <c r="O3712" t="str">
        <f>IFERROR(VLOOKUP($A3712,Accounts!$A:$G,8,FALSE),"")</f>
        <v/>
      </c>
    </row>
    <row r="3713" spans="1:15" x14ac:dyDescent="0.2">
      <c r="A3713" t="str">
        <f t="shared" si="56"/>
        <v/>
      </c>
      <c r="O3713" t="str">
        <f>IFERROR(VLOOKUP($A3713,Accounts!$A:$G,8,FALSE),"")</f>
        <v/>
      </c>
    </row>
    <row r="3714" spans="1:15" x14ac:dyDescent="0.2">
      <c r="A3714" t="str">
        <f t="shared" si="56"/>
        <v/>
      </c>
      <c r="O3714" t="str">
        <f>IFERROR(VLOOKUP($A3714,Accounts!$A:$G,8,FALSE),"")</f>
        <v/>
      </c>
    </row>
    <row r="3715" spans="1:15" x14ac:dyDescent="0.2">
      <c r="A3715" t="str">
        <f t="shared" ref="A3715:A3778" si="57">IFERROR(IF(J3715=0,B3715&amp;D3715&amp;I3715&amp;E3715,C3715&amp;D3715&amp;J3715&amp;G3715),"")</f>
        <v/>
      </c>
      <c r="O3715" t="str">
        <f>IFERROR(VLOOKUP($A3715,Accounts!$A:$G,8,FALSE),"")</f>
        <v/>
      </c>
    </row>
    <row r="3716" spans="1:15" x14ac:dyDescent="0.2">
      <c r="A3716" t="str">
        <f t="shared" si="57"/>
        <v/>
      </c>
      <c r="O3716" t="str">
        <f>IFERROR(VLOOKUP($A3716,Accounts!$A:$G,8,FALSE),"")</f>
        <v/>
      </c>
    </row>
    <row r="3717" spans="1:15" x14ac:dyDescent="0.2">
      <c r="A3717" t="str">
        <f t="shared" si="57"/>
        <v/>
      </c>
      <c r="O3717" t="str">
        <f>IFERROR(VLOOKUP($A3717,Accounts!$A:$G,8,FALSE),"")</f>
        <v/>
      </c>
    </row>
    <row r="3718" spans="1:15" x14ac:dyDescent="0.2">
      <c r="A3718" t="str">
        <f t="shared" si="57"/>
        <v/>
      </c>
      <c r="O3718" t="str">
        <f>IFERROR(VLOOKUP($A3718,Accounts!$A:$G,8,FALSE),"")</f>
        <v/>
      </c>
    </row>
    <row r="3719" spans="1:15" x14ac:dyDescent="0.2">
      <c r="A3719" t="str">
        <f t="shared" si="57"/>
        <v/>
      </c>
      <c r="O3719" t="str">
        <f>IFERROR(VLOOKUP($A3719,Accounts!$A:$G,8,FALSE),"")</f>
        <v/>
      </c>
    </row>
    <row r="3720" spans="1:15" x14ac:dyDescent="0.2">
      <c r="A3720" t="str">
        <f t="shared" si="57"/>
        <v/>
      </c>
      <c r="O3720" t="str">
        <f>IFERROR(VLOOKUP($A3720,Accounts!$A:$G,8,FALSE),"")</f>
        <v/>
      </c>
    </row>
    <row r="3721" spans="1:15" x14ac:dyDescent="0.2">
      <c r="A3721" t="str">
        <f t="shared" si="57"/>
        <v/>
      </c>
      <c r="O3721" t="str">
        <f>IFERROR(VLOOKUP($A3721,Accounts!$A:$G,8,FALSE),"")</f>
        <v/>
      </c>
    </row>
    <row r="3722" spans="1:15" x14ac:dyDescent="0.2">
      <c r="A3722" t="str">
        <f t="shared" si="57"/>
        <v/>
      </c>
      <c r="O3722" t="str">
        <f>IFERROR(VLOOKUP($A3722,Accounts!$A:$G,8,FALSE),"")</f>
        <v/>
      </c>
    </row>
    <row r="3723" spans="1:15" x14ac:dyDescent="0.2">
      <c r="A3723" t="str">
        <f t="shared" si="57"/>
        <v/>
      </c>
      <c r="O3723" t="str">
        <f>IFERROR(VLOOKUP($A3723,Accounts!$A:$G,8,FALSE),"")</f>
        <v/>
      </c>
    </row>
    <row r="3724" spans="1:15" x14ac:dyDescent="0.2">
      <c r="A3724" t="str">
        <f t="shared" si="57"/>
        <v/>
      </c>
      <c r="O3724" t="str">
        <f>IFERROR(VLOOKUP($A3724,Accounts!$A:$G,8,FALSE),"")</f>
        <v/>
      </c>
    </row>
    <row r="3725" spans="1:15" x14ac:dyDescent="0.2">
      <c r="A3725" t="str">
        <f t="shared" si="57"/>
        <v/>
      </c>
      <c r="O3725" t="str">
        <f>IFERROR(VLOOKUP($A3725,Accounts!$A:$G,8,FALSE),"")</f>
        <v/>
      </c>
    </row>
    <row r="3726" spans="1:15" x14ac:dyDescent="0.2">
      <c r="A3726" t="str">
        <f t="shared" si="57"/>
        <v/>
      </c>
      <c r="O3726" t="str">
        <f>IFERROR(VLOOKUP($A3726,Accounts!$A:$G,8,FALSE),"")</f>
        <v/>
      </c>
    </row>
    <row r="3727" spans="1:15" x14ac:dyDescent="0.2">
      <c r="A3727" t="str">
        <f t="shared" si="57"/>
        <v/>
      </c>
      <c r="O3727" t="str">
        <f>IFERROR(VLOOKUP($A3727,Accounts!$A:$G,8,FALSE),"")</f>
        <v/>
      </c>
    </row>
    <row r="3728" spans="1:15" x14ac:dyDescent="0.2">
      <c r="A3728" t="str">
        <f t="shared" si="57"/>
        <v/>
      </c>
      <c r="O3728" t="str">
        <f>IFERROR(VLOOKUP($A3728,Accounts!$A:$G,8,FALSE),"")</f>
        <v/>
      </c>
    </row>
    <row r="3729" spans="1:15" x14ac:dyDescent="0.2">
      <c r="A3729" t="str">
        <f t="shared" si="57"/>
        <v/>
      </c>
      <c r="O3729" t="str">
        <f>IFERROR(VLOOKUP($A3729,Accounts!$A:$G,8,FALSE),"")</f>
        <v/>
      </c>
    </row>
    <row r="3730" spans="1:15" x14ac:dyDescent="0.2">
      <c r="A3730" t="str">
        <f t="shared" si="57"/>
        <v/>
      </c>
      <c r="O3730" t="str">
        <f>IFERROR(VLOOKUP($A3730,Accounts!$A:$G,8,FALSE),"")</f>
        <v/>
      </c>
    </row>
    <row r="3731" spans="1:15" x14ac:dyDescent="0.2">
      <c r="A3731" t="str">
        <f t="shared" si="57"/>
        <v/>
      </c>
      <c r="O3731" t="str">
        <f>IFERROR(VLOOKUP($A3731,Accounts!$A:$G,8,FALSE),"")</f>
        <v/>
      </c>
    </row>
    <row r="3732" spans="1:15" x14ac:dyDescent="0.2">
      <c r="A3732" t="str">
        <f t="shared" si="57"/>
        <v/>
      </c>
      <c r="O3732" t="str">
        <f>IFERROR(VLOOKUP($A3732,Accounts!$A:$G,8,FALSE),"")</f>
        <v/>
      </c>
    </row>
    <row r="3733" spans="1:15" x14ac:dyDescent="0.2">
      <c r="A3733" t="str">
        <f t="shared" si="57"/>
        <v/>
      </c>
      <c r="O3733" t="str">
        <f>IFERROR(VLOOKUP($A3733,Accounts!$A:$G,8,FALSE),"")</f>
        <v/>
      </c>
    </row>
    <row r="3734" spans="1:15" x14ac:dyDescent="0.2">
      <c r="A3734" t="str">
        <f t="shared" si="57"/>
        <v/>
      </c>
      <c r="O3734" t="str">
        <f>IFERROR(VLOOKUP($A3734,Accounts!$A:$G,8,FALSE),"")</f>
        <v/>
      </c>
    </row>
    <row r="3735" spans="1:15" x14ac:dyDescent="0.2">
      <c r="A3735" t="str">
        <f t="shared" si="57"/>
        <v/>
      </c>
      <c r="O3735" t="str">
        <f>IFERROR(VLOOKUP($A3735,Accounts!$A:$G,8,FALSE),"")</f>
        <v/>
      </c>
    </row>
    <row r="3736" spans="1:15" x14ac:dyDescent="0.2">
      <c r="A3736" t="str">
        <f t="shared" si="57"/>
        <v/>
      </c>
      <c r="O3736" t="str">
        <f>IFERROR(VLOOKUP($A3736,Accounts!$A:$G,8,FALSE),"")</f>
        <v/>
      </c>
    </row>
    <row r="3737" spans="1:15" x14ac:dyDescent="0.2">
      <c r="A3737" t="str">
        <f t="shared" si="57"/>
        <v/>
      </c>
      <c r="O3737" t="str">
        <f>IFERROR(VLOOKUP($A3737,Accounts!$A:$G,8,FALSE),"")</f>
        <v/>
      </c>
    </row>
    <row r="3738" spans="1:15" x14ac:dyDescent="0.2">
      <c r="A3738" t="str">
        <f t="shared" si="57"/>
        <v/>
      </c>
      <c r="O3738" t="str">
        <f>IFERROR(VLOOKUP($A3738,Accounts!$A:$G,8,FALSE),"")</f>
        <v/>
      </c>
    </row>
    <row r="3739" spans="1:15" x14ac:dyDescent="0.2">
      <c r="A3739" t="str">
        <f t="shared" si="57"/>
        <v/>
      </c>
      <c r="O3739" t="str">
        <f>IFERROR(VLOOKUP($A3739,Accounts!$A:$G,8,FALSE),"")</f>
        <v/>
      </c>
    </row>
    <row r="3740" spans="1:15" x14ac:dyDescent="0.2">
      <c r="A3740" t="str">
        <f t="shared" si="57"/>
        <v/>
      </c>
      <c r="O3740" t="str">
        <f>IFERROR(VLOOKUP($A3740,Accounts!$A:$G,8,FALSE),"")</f>
        <v/>
      </c>
    </row>
    <row r="3741" spans="1:15" x14ac:dyDescent="0.2">
      <c r="A3741" t="str">
        <f t="shared" si="57"/>
        <v/>
      </c>
      <c r="O3741" t="str">
        <f>IFERROR(VLOOKUP($A3741,Accounts!$A:$G,8,FALSE),"")</f>
        <v/>
      </c>
    </row>
    <row r="3742" spans="1:15" x14ac:dyDescent="0.2">
      <c r="A3742" t="str">
        <f t="shared" si="57"/>
        <v/>
      </c>
      <c r="O3742" t="str">
        <f>IFERROR(VLOOKUP($A3742,Accounts!$A:$G,8,FALSE),"")</f>
        <v/>
      </c>
    </row>
    <row r="3743" spans="1:15" x14ac:dyDescent="0.2">
      <c r="A3743" t="str">
        <f t="shared" si="57"/>
        <v/>
      </c>
      <c r="O3743" t="str">
        <f>IFERROR(VLOOKUP($A3743,Accounts!$A:$G,8,FALSE),"")</f>
        <v/>
      </c>
    </row>
    <row r="3744" spans="1:15" x14ac:dyDescent="0.2">
      <c r="A3744" t="str">
        <f t="shared" si="57"/>
        <v/>
      </c>
      <c r="O3744" t="str">
        <f>IFERROR(VLOOKUP($A3744,Accounts!$A:$G,8,FALSE),"")</f>
        <v/>
      </c>
    </row>
    <row r="3745" spans="1:15" x14ac:dyDescent="0.2">
      <c r="A3745" t="str">
        <f t="shared" si="57"/>
        <v/>
      </c>
      <c r="O3745" t="str">
        <f>IFERROR(VLOOKUP($A3745,Accounts!$A:$G,8,FALSE),"")</f>
        <v/>
      </c>
    </row>
    <row r="3746" spans="1:15" x14ac:dyDescent="0.2">
      <c r="A3746" t="str">
        <f t="shared" si="57"/>
        <v/>
      </c>
      <c r="O3746" t="str">
        <f>IFERROR(VLOOKUP($A3746,Accounts!$A:$G,8,FALSE),"")</f>
        <v/>
      </c>
    </row>
    <row r="3747" spans="1:15" x14ac:dyDescent="0.2">
      <c r="A3747" t="str">
        <f t="shared" si="57"/>
        <v/>
      </c>
      <c r="O3747" t="str">
        <f>IFERROR(VLOOKUP($A3747,Accounts!$A:$G,8,FALSE),"")</f>
        <v/>
      </c>
    </row>
    <row r="3748" spans="1:15" x14ac:dyDescent="0.2">
      <c r="A3748" t="str">
        <f t="shared" si="57"/>
        <v/>
      </c>
      <c r="O3748" t="str">
        <f>IFERROR(VLOOKUP($A3748,Accounts!$A:$G,8,FALSE),"")</f>
        <v/>
      </c>
    </row>
    <row r="3749" spans="1:15" x14ac:dyDescent="0.2">
      <c r="A3749" t="str">
        <f t="shared" si="57"/>
        <v/>
      </c>
      <c r="O3749" t="str">
        <f>IFERROR(VLOOKUP($A3749,Accounts!$A:$G,8,FALSE),"")</f>
        <v/>
      </c>
    </row>
    <row r="3750" spans="1:15" x14ac:dyDescent="0.2">
      <c r="A3750" t="str">
        <f t="shared" si="57"/>
        <v/>
      </c>
      <c r="O3750" t="str">
        <f>IFERROR(VLOOKUP($A3750,Accounts!$A:$G,8,FALSE),"")</f>
        <v/>
      </c>
    </row>
    <row r="3751" spans="1:15" x14ac:dyDescent="0.2">
      <c r="A3751" t="str">
        <f t="shared" si="57"/>
        <v/>
      </c>
      <c r="O3751" t="str">
        <f>IFERROR(VLOOKUP($A3751,Accounts!$A:$G,8,FALSE),"")</f>
        <v/>
      </c>
    </row>
    <row r="3752" spans="1:15" x14ac:dyDescent="0.2">
      <c r="A3752" t="str">
        <f t="shared" si="57"/>
        <v/>
      </c>
      <c r="O3752" t="str">
        <f>IFERROR(VLOOKUP($A3752,Accounts!$A:$G,8,FALSE),"")</f>
        <v/>
      </c>
    </row>
    <row r="3753" spans="1:15" x14ac:dyDescent="0.2">
      <c r="A3753" t="str">
        <f t="shared" si="57"/>
        <v/>
      </c>
      <c r="O3753" t="str">
        <f>IFERROR(VLOOKUP($A3753,Accounts!$A:$G,8,FALSE),"")</f>
        <v/>
      </c>
    </row>
    <row r="3754" spans="1:15" x14ac:dyDescent="0.2">
      <c r="A3754" t="str">
        <f t="shared" si="57"/>
        <v/>
      </c>
      <c r="O3754" t="str">
        <f>IFERROR(VLOOKUP($A3754,Accounts!$A:$G,8,FALSE),"")</f>
        <v/>
      </c>
    </row>
    <row r="3755" spans="1:15" x14ac:dyDescent="0.2">
      <c r="A3755" t="str">
        <f t="shared" si="57"/>
        <v/>
      </c>
      <c r="O3755" t="str">
        <f>IFERROR(VLOOKUP($A3755,Accounts!$A:$G,8,FALSE),"")</f>
        <v/>
      </c>
    </row>
    <row r="3756" spans="1:15" x14ac:dyDescent="0.2">
      <c r="A3756" t="str">
        <f t="shared" si="57"/>
        <v/>
      </c>
      <c r="O3756" t="str">
        <f>IFERROR(VLOOKUP($A3756,Accounts!$A:$G,8,FALSE),"")</f>
        <v/>
      </c>
    </row>
    <row r="3757" spans="1:15" x14ac:dyDescent="0.2">
      <c r="A3757" t="str">
        <f t="shared" si="57"/>
        <v/>
      </c>
      <c r="O3757" t="str">
        <f>IFERROR(VLOOKUP($A3757,Accounts!$A:$G,8,FALSE),"")</f>
        <v/>
      </c>
    </row>
    <row r="3758" spans="1:15" x14ac:dyDescent="0.2">
      <c r="A3758" t="str">
        <f t="shared" si="57"/>
        <v/>
      </c>
      <c r="O3758" t="str">
        <f>IFERROR(VLOOKUP($A3758,Accounts!$A:$G,8,FALSE),"")</f>
        <v/>
      </c>
    </row>
    <row r="3759" spans="1:15" x14ac:dyDescent="0.2">
      <c r="A3759" t="str">
        <f t="shared" si="57"/>
        <v/>
      </c>
      <c r="O3759" t="str">
        <f>IFERROR(VLOOKUP($A3759,Accounts!$A:$G,8,FALSE),"")</f>
        <v/>
      </c>
    </row>
    <row r="3760" spans="1:15" x14ac:dyDescent="0.2">
      <c r="A3760" t="str">
        <f t="shared" si="57"/>
        <v/>
      </c>
      <c r="O3760" t="str">
        <f>IFERROR(VLOOKUP($A3760,Accounts!$A:$G,8,FALSE),"")</f>
        <v/>
      </c>
    </row>
    <row r="3761" spans="1:15" x14ac:dyDescent="0.2">
      <c r="A3761" t="str">
        <f t="shared" si="57"/>
        <v/>
      </c>
      <c r="O3761" t="str">
        <f>IFERROR(VLOOKUP($A3761,Accounts!$A:$G,8,FALSE),"")</f>
        <v/>
      </c>
    </row>
    <row r="3762" spans="1:15" x14ac:dyDescent="0.2">
      <c r="A3762" t="str">
        <f t="shared" si="57"/>
        <v/>
      </c>
      <c r="O3762" t="str">
        <f>IFERROR(VLOOKUP($A3762,Accounts!$A:$G,8,FALSE),"")</f>
        <v/>
      </c>
    </row>
    <row r="3763" spans="1:15" x14ac:dyDescent="0.2">
      <c r="A3763" t="str">
        <f t="shared" si="57"/>
        <v/>
      </c>
      <c r="O3763" t="str">
        <f>IFERROR(VLOOKUP($A3763,Accounts!$A:$G,8,FALSE),"")</f>
        <v/>
      </c>
    </row>
    <row r="3764" spans="1:15" x14ac:dyDescent="0.2">
      <c r="A3764" t="str">
        <f t="shared" si="57"/>
        <v/>
      </c>
      <c r="O3764" t="str">
        <f>IFERROR(VLOOKUP($A3764,Accounts!$A:$G,8,FALSE),"")</f>
        <v/>
      </c>
    </row>
    <row r="3765" spans="1:15" x14ac:dyDescent="0.2">
      <c r="A3765" t="str">
        <f t="shared" si="57"/>
        <v/>
      </c>
      <c r="O3765" t="str">
        <f>IFERROR(VLOOKUP($A3765,Accounts!$A:$G,8,FALSE),"")</f>
        <v/>
      </c>
    </row>
    <row r="3766" spans="1:15" x14ac:dyDescent="0.2">
      <c r="A3766" t="str">
        <f t="shared" si="57"/>
        <v/>
      </c>
      <c r="O3766" t="str">
        <f>IFERROR(VLOOKUP($A3766,Accounts!$A:$G,8,FALSE),"")</f>
        <v/>
      </c>
    </row>
    <row r="3767" spans="1:15" x14ac:dyDescent="0.2">
      <c r="A3767" t="str">
        <f t="shared" si="57"/>
        <v/>
      </c>
      <c r="O3767" t="str">
        <f>IFERROR(VLOOKUP($A3767,Accounts!$A:$G,8,FALSE),"")</f>
        <v/>
      </c>
    </row>
    <row r="3768" spans="1:15" x14ac:dyDescent="0.2">
      <c r="A3768" t="str">
        <f t="shared" si="57"/>
        <v/>
      </c>
      <c r="O3768" t="str">
        <f>IFERROR(VLOOKUP($A3768,Accounts!$A:$G,8,FALSE),"")</f>
        <v/>
      </c>
    </row>
    <row r="3769" spans="1:15" x14ac:dyDescent="0.2">
      <c r="A3769" t="str">
        <f t="shared" si="57"/>
        <v/>
      </c>
      <c r="O3769" t="str">
        <f>IFERROR(VLOOKUP($A3769,Accounts!$A:$G,8,FALSE),"")</f>
        <v/>
      </c>
    </row>
    <row r="3770" spans="1:15" x14ac:dyDescent="0.2">
      <c r="A3770" t="str">
        <f t="shared" si="57"/>
        <v/>
      </c>
      <c r="O3770" t="str">
        <f>IFERROR(VLOOKUP($A3770,Accounts!$A:$G,8,FALSE),"")</f>
        <v/>
      </c>
    </row>
    <row r="3771" spans="1:15" x14ac:dyDescent="0.2">
      <c r="A3771" t="str">
        <f t="shared" si="57"/>
        <v/>
      </c>
      <c r="O3771" t="str">
        <f>IFERROR(VLOOKUP($A3771,Accounts!$A:$G,8,FALSE),"")</f>
        <v/>
      </c>
    </row>
    <row r="3772" spans="1:15" x14ac:dyDescent="0.2">
      <c r="A3772" t="str">
        <f t="shared" si="57"/>
        <v/>
      </c>
      <c r="O3772" t="str">
        <f>IFERROR(VLOOKUP($A3772,Accounts!$A:$G,8,FALSE),"")</f>
        <v/>
      </c>
    </row>
    <row r="3773" spans="1:15" x14ac:dyDescent="0.2">
      <c r="A3773" t="str">
        <f t="shared" si="57"/>
        <v/>
      </c>
      <c r="O3773" t="str">
        <f>IFERROR(VLOOKUP($A3773,Accounts!$A:$G,8,FALSE),"")</f>
        <v/>
      </c>
    </row>
    <row r="3774" spans="1:15" x14ac:dyDescent="0.2">
      <c r="A3774" t="str">
        <f t="shared" si="57"/>
        <v/>
      </c>
      <c r="O3774" t="str">
        <f>IFERROR(VLOOKUP($A3774,Accounts!$A:$G,8,FALSE),"")</f>
        <v/>
      </c>
    </row>
    <row r="3775" spans="1:15" x14ac:dyDescent="0.2">
      <c r="A3775" t="str">
        <f t="shared" si="57"/>
        <v/>
      </c>
      <c r="O3775" t="str">
        <f>IFERROR(VLOOKUP($A3775,Accounts!$A:$G,8,FALSE),"")</f>
        <v/>
      </c>
    </row>
    <row r="3776" spans="1:15" x14ac:dyDescent="0.2">
      <c r="A3776" t="str">
        <f t="shared" si="57"/>
        <v/>
      </c>
      <c r="O3776" t="str">
        <f>IFERROR(VLOOKUP($A3776,Accounts!$A:$G,8,FALSE),"")</f>
        <v/>
      </c>
    </row>
    <row r="3777" spans="1:15" x14ac:dyDescent="0.2">
      <c r="A3777" t="str">
        <f t="shared" si="57"/>
        <v/>
      </c>
      <c r="O3777" t="str">
        <f>IFERROR(VLOOKUP($A3777,Accounts!$A:$G,8,FALSE),"")</f>
        <v/>
      </c>
    </row>
    <row r="3778" spans="1:15" x14ac:dyDescent="0.2">
      <c r="A3778" t="str">
        <f t="shared" si="57"/>
        <v/>
      </c>
      <c r="O3778" t="str">
        <f>IFERROR(VLOOKUP($A3778,Accounts!$A:$G,8,FALSE),"")</f>
        <v/>
      </c>
    </row>
    <row r="3779" spans="1:15" x14ac:dyDescent="0.2">
      <c r="A3779" t="str">
        <f t="shared" ref="A3779:A3842" si="58">IFERROR(IF(J3779=0,B3779&amp;D3779&amp;I3779&amp;E3779,C3779&amp;D3779&amp;J3779&amp;G3779),"")</f>
        <v/>
      </c>
      <c r="O3779" t="str">
        <f>IFERROR(VLOOKUP($A3779,Accounts!$A:$G,8,FALSE),"")</f>
        <v/>
      </c>
    </row>
    <row r="3780" spans="1:15" x14ac:dyDescent="0.2">
      <c r="A3780" t="str">
        <f t="shared" si="58"/>
        <v/>
      </c>
      <c r="O3780" t="str">
        <f>IFERROR(VLOOKUP($A3780,Accounts!$A:$G,8,FALSE),"")</f>
        <v/>
      </c>
    </row>
    <row r="3781" spans="1:15" x14ac:dyDescent="0.2">
      <c r="A3781" t="str">
        <f t="shared" si="58"/>
        <v/>
      </c>
      <c r="O3781" t="str">
        <f>IFERROR(VLOOKUP($A3781,Accounts!$A:$G,8,FALSE),"")</f>
        <v/>
      </c>
    </row>
    <row r="3782" spans="1:15" x14ac:dyDescent="0.2">
      <c r="A3782" t="str">
        <f t="shared" si="58"/>
        <v/>
      </c>
      <c r="O3782" t="str">
        <f>IFERROR(VLOOKUP($A3782,Accounts!$A:$G,8,FALSE),"")</f>
        <v/>
      </c>
    </row>
    <row r="3783" spans="1:15" x14ac:dyDescent="0.2">
      <c r="A3783" t="str">
        <f t="shared" si="58"/>
        <v/>
      </c>
      <c r="O3783" t="str">
        <f>IFERROR(VLOOKUP($A3783,Accounts!$A:$G,8,FALSE),"")</f>
        <v/>
      </c>
    </row>
    <row r="3784" spans="1:15" x14ac:dyDescent="0.2">
      <c r="A3784" t="str">
        <f t="shared" si="58"/>
        <v/>
      </c>
      <c r="O3784" t="str">
        <f>IFERROR(VLOOKUP($A3784,Accounts!$A:$G,8,FALSE),"")</f>
        <v/>
      </c>
    </row>
    <row r="3785" spans="1:15" x14ac:dyDescent="0.2">
      <c r="A3785" t="str">
        <f t="shared" si="58"/>
        <v/>
      </c>
      <c r="O3785" t="str">
        <f>IFERROR(VLOOKUP($A3785,Accounts!$A:$G,8,FALSE),"")</f>
        <v/>
      </c>
    </row>
    <row r="3786" spans="1:15" x14ac:dyDescent="0.2">
      <c r="A3786" t="str">
        <f t="shared" si="58"/>
        <v/>
      </c>
      <c r="O3786" t="str">
        <f>IFERROR(VLOOKUP($A3786,Accounts!$A:$G,8,FALSE),"")</f>
        <v/>
      </c>
    </row>
    <row r="3787" spans="1:15" x14ac:dyDescent="0.2">
      <c r="A3787" t="str">
        <f t="shared" si="58"/>
        <v/>
      </c>
      <c r="O3787" t="str">
        <f>IFERROR(VLOOKUP($A3787,Accounts!$A:$G,8,FALSE),"")</f>
        <v/>
      </c>
    </row>
    <row r="3788" spans="1:15" x14ac:dyDescent="0.2">
      <c r="A3788" t="str">
        <f t="shared" si="58"/>
        <v/>
      </c>
      <c r="O3788" t="str">
        <f>IFERROR(VLOOKUP($A3788,Accounts!$A:$G,8,FALSE),"")</f>
        <v/>
      </c>
    </row>
    <row r="3789" spans="1:15" x14ac:dyDescent="0.2">
      <c r="A3789" t="str">
        <f t="shared" si="58"/>
        <v/>
      </c>
      <c r="O3789" t="str">
        <f>IFERROR(VLOOKUP($A3789,Accounts!$A:$G,8,FALSE),"")</f>
        <v/>
      </c>
    </row>
    <row r="3790" spans="1:15" x14ac:dyDescent="0.2">
      <c r="A3790" t="str">
        <f t="shared" si="58"/>
        <v/>
      </c>
      <c r="O3790" t="str">
        <f>IFERROR(VLOOKUP($A3790,Accounts!$A:$G,8,FALSE),"")</f>
        <v/>
      </c>
    </row>
    <row r="3791" spans="1:15" x14ac:dyDescent="0.2">
      <c r="A3791" t="str">
        <f t="shared" si="58"/>
        <v/>
      </c>
      <c r="O3791" t="str">
        <f>IFERROR(VLOOKUP($A3791,Accounts!$A:$G,8,FALSE),"")</f>
        <v/>
      </c>
    </row>
    <row r="3792" spans="1:15" x14ac:dyDescent="0.2">
      <c r="A3792" t="str">
        <f t="shared" si="58"/>
        <v/>
      </c>
      <c r="O3792" t="str">
        <f>IFERROR(VLOOKUP($A3792,Accounts!$A:$G,8,FALSE),"")</f>
        <v/>
      </c>
    </row>
    <row r="3793" spans="1:15" x14ac:dyDescent="0.2">
      <c r="A3793" t="str">
        <f t="shared" si="58"/>
        <v/>
      </c>
      <c r="O3793" t="str">
        <f>IFERROR(VLOOKUP($A3793,Accounts!$A:$G,8,FALSE),"")</f>
        <v/>
      </c>
    </row>
    <row r="3794" spans="1:15" x14ac:dyDescent="0.2">
      <c r="A3794" t="str">
        <f t="shared" si="58"/>
        <v/>
      </c>
      <c r="O3794" t="str">
        <f>IFERROR(VLOOKUP($A3794,Accounts!$A:$G,8,FALSE),"")</f>
        <v/>
      </c>
    </row>
    <row r="3795" spans="1:15" x14ac:dyDescent="0.2">
      <c r="A3795" t="str">
        <f t="shared" si="58"/>
        <v/>
      </c>
      <c r="O3795" t="str">
        <f>IFERROR(VLOOKUP($A3795,Accounts!$A:$G,8,FALSE),"")</f>
        <v/>
      </c>
    </row>
    <row r="3796" spans="1:15" x14ac:dyDescent="0.2">
      <c r="A3796" t="str">
        <f t="shared" si="58"/>
        <v/>
      </c>
      <c r="O3796" t="str">
        <f>IFERROR(VLOOKUP($A3796,Accounts!$A:$G,8,FALSE),"")</f>
        <v/>
      </c>
    </row>
    <row r="3797" spans="1:15" x14ac:dyDescent="0.2">
      <c r="A3797" t="str">
        <f t="shared" si="58"/>
        <v/>
      </c>
      <c r="O3797" t="str">
        <f>IFERROR(VLOOKUP($A3797,Accounts!$A:$G,8,FALSE),"")</f>
        <v/>
      </c>
    </row>
    <row r="3798" spans="1:15" x14ac:dyDescent="0.2">
      <c r="A3798" t="str">
        <f t="shared" si="58"/>
        <v/>
      </c>
      <c r="O3798" t="str">
        <f>IFERROR(VLOOKUP($A3798,Accounts!$A:$G,8,FALSE),"")</f>
        <v/>
      </c>
    </row>
    <row r="3799" spans="1:15" x14ac:dyDescent="0.2">
      <c r="A3799" t="str">
        <f t="shared" si="58"/>
        <v/>
      </c>
      <c r="O3799" t="str">
        <f>IFERROR(VLOOKUP($A3799,Accounts!$A:$G,8,FALSE),"")</f>
        <v/>
      </c>
    </row>
    <row r="3800" spans="1:15" x14ac:dyDescent="0.2">
      <c r="A3800" t="str">
        <f t="shared" si="58"/>
        <v/>
      </c>
      <c r="O3800" t="str">
        <f>IFERROR(VLOOKUP($A3800,Accounts!$A:$G,8,FALSE),"")</f>
        <v/>
      </c>
    </row>
    <row r="3801" spans="1:15" x14ac:dyDescent="0.2">
      <c r="A3801" t="str">
        <f t="shared" si="58"/>
        <v/>
      </c>
      <c r="O3801" t="str">
        <f>IFERROR(VLOOKUP($A3801,Accounts!$A:$G,8,FALSE),"")</f>
        <v/>
      </c>
    </row>
    <row r="3802" spans="1:15" x14ac:dyDescent="0.2">
      <c r="A3802" t="str">
        <f t="shared" si="58"/>
        <v/>
      </c>
      <c r="O3802" t="str">
        <f>IFERROR(VLOOKUP($A3802,Accounts!$A:$G,8,FALSE),"")</f>
        <v/>
      </c>
    </row>
    <row r="3803" spans="1:15" x14ac:dyDescent="0.2">
      <c r="A3803" t="str">
        <f t="shared" si="58"/>
        <v/>
      </c>
      <c r="O3803" t="str">
        <f>IFERROR(VLOOKUP($A3803,Accounts!$A:$G,8,FALSE),"")</f>
        <v/>
      </c>
    </row>
    <row r="3804" spans="1:15" x14ac:dyDescent="0.2">
      <c r="A3804" t="str">
        <f t="shared" si="58"/>
        <v/>
      </c>
      <c r="O3804" t="str">
        <f>IFERROR(VLOOKUP($A3804,Accounts!$A:$G,8,FALSE),"")</f>
        <v/>
      </c>
    </row>
    <row r="3805" spans="1:15" x14ac:dyDescent="0.2">
      <c r="A3805" t="str">
        <f t="shared" si="58"/>
        <v/>
      </c>
      <c r="O3805" t="str">
        <f>IFERROR(VLOOKUP($A3805,Accounts!$A:$G,8,FALSE),"")</f>
        <v/>
      </c>
    </row>
    <row r="3806" spans="1:15" x14ac:dyDescent="0.2">
      <c r="A3806" t="str">
        <f t="shared" si="58"/>
        <v/>
      </c>
      <c r="O3806" t="str">
        <f>IFERROR(VLOOKUP($A3806,Accounts!$A:$G,8,FALSE),"")</f>
        <v/>
      </c>
    </row>
    <row r="3807" spans="1:15" x14ac:dyDescent="0.2">
      <c r="A3807" t="str">
        <f t="shared" si="58"/>
        <v/>
      </c>
      <c r="O3807" t="str">
        <f>IFERROR(VLOOKUP($A3807,Accounts!$A:$G,8,FALSE),"")</f>
        <v/>
      </c>
    </row>
    <row r="3808" spans="1:15" x14ac:dyDescent="0.2">
      <c r="A3808" t="str">
        <f t="shared" si="58"/>
        <v/>
      </c>
      <c r="O3808" t="str">
        <f>IFERROR(VLOOKUP($A3808,Accounts!$A:$G,8,FALSE),"")</f>
        <v/>
      </c>
    </row>
    <row r="3809" spans="1:15" x14ac:dyDescent="0.2">
      <c r="A3809" t="str">
        <f t="shared" si="58"/>
        <v/>
      </c>
      <c r="O3809" t="str">
        <f>IFERROR(VLOOKUP($A3809,Accounts!$A:$G,8,FALSE),"")</f>
        <v/>
      </c>
    </row>
    <row r="3810" spans="1:15" x14ac:dyDescent="0.2">
      <c r="A3810" t="str">
        <f t="shared" si="58"/>
        <v/>
      </c>
      <c r="O3810" t="str">
        <f>IFERROR(VLOOKUP($A3810,Accounts!$A:$G,8,FALSE),"")</f>
        <v/>
      </c>
    </row>
    <row r="3811" spans="1:15" x14ac:dyDescent="0.2">
      <c r="A3811" t="str">
        <f t="shared" si="58"/>
        <v/>
      </c>
      <c r="O3811" t="str">
        <f>IFERROR(VLOOKUP($A3811,Accounts!$A:$G,8,FALSE),"")</f>
        <v/>
      </c>
    </row>
    <row r="3812" spans="1:15" x14ac:dyDescent="0.2">
      <c r="A3812" t="str">
        <f t="shared" si="58"/>
        <v/>
      </c>
      <c r="O3812" t="str">
        <f>IFERROR(VLOOKUP($A3812,Accounts!$A:$G,8,FALSE),"")</f>
        <v/>
      </c>
    </row>
    <row r="3813" spans="1:15" x14ac:dyDescent="0.2">
      <c r="A3813" t="str">
        <f t="shared" si="58"/>
        <v/>
      </c>
      <c r="O3813" t="str">
        <f>IFERROR(VLOOKUP($A3813,Accounts!$A:$G,8,FALSE),"")</f>
        <v/>
      </c>
    </row>
    <row r="3814" spans="1:15" x14ac:dyDescent="0.2">
      <c r="A3814" t="str">
        <f t="shared" si="58"/>
        <v/>
      </c>
      <c r="O3814" t="str">
        <f>IFERROR(VLOOKUP($A3814,Accounts!$A:$G,8,FALSE),"")</f>
        <v/>
      </c>
    </row>
    <row r="3815" spans="1:15" x14ac:dyDescent="0.2">
      <c r="A3815" t="str">
        <f t="shared" si="58"/>
        <v/>
      </c>
      <c r="O3815" t="str">
        <f>IFERROR(VLOOKUP($A3815,Accounts!$A:$G,8,FALSE),"")</f>
        <v/>
      </c>
    </row>
    <row r="3816" spans="1:15" x14ac:dyDescent="0.2">
      <c r="A3816" t="str">
        <f t="shared" si="58"/>
        <v/>
      </c>
      <c r="O3816" t="str">
        <f>IFERROR(VLOOKUP($A3816,Accounts!$A:$G,8,FALSE),"")</f>
        <v/>
      </c>
    </row>
    <row r="3817" spans="1:15" x14ac:dyDescent="0.2">
      <c r="A3817" t="str">
        <f t="shared" si="58"/>
        <v/>
      </c>
      <c r="O3817" t="str">
        <f>IFERROR(VLOOKUP($A3817,Accounts!$A:$G,8,FALSE),"")</f>
        <v/>
      </c>
    </row>
    <row r="3818" spans="1:15" x14ac:dyDescent="0.2">
      <c r="A3818" t="str">
        <f t="shared" si="58"/>
        <v/>
      </c>
      <c r="O3818" t="str">
        <f>IFERROR(VLOOKUP($A3818,Accounts!$A:$G,8,FALSE),"")</f>
        <v/>
      </c>
    </row>
    <row r="3819" spans="1:15" x14ac:dyDescent="0.2">
      <c r="A3819" t="str">
        <f t="shared" si="58"/>
        <v/>
      </c>
      <c r="O3819" t="str">
        <f>IFERROR(VLOOKUP($A3819,Accounts!$A:$G,8,FALSE),"")</f>
        <v/>
      </c>
    </row>
    <row r="3820" spans="1:15" x14ac:dyDescent="0.2">
      <c r="A3820" t="str">
        <f t="shared" si="58"/>
        <v/>
      </c>
      <c r="O3820" t="str">
        <f>IFERROR(VLOOKUP($A3820,Accounts!$A:$G,8,FALSE),"")</f>
        <v/>
      </c>
    </row>
    <row r="3821" spans="1:15" x14ac:dyDescent="0.2">
      <c r="A3821" t="str">
        <f t="shared" si="58"/>
        <v/>
      </c>
      <c r="O3821" t="str">
        <f>IFERROR(VLOOKUP($A3821,Accounts!$A:$G,8,FALSE),"")</f>
        <v/>
      </c>
    </row>
    <row r="3822" spans="1:15" x14ac:dyDescent="0.2">
      <c r="A3822" t="str">
        <f t="shared" si="58"/>
        <v/>
      </c>
      <c r="O3822" t="str">
        <f>IFERROR(VLOOKUP($A3822,Accounts!$A:$G,8,FALSE),"")</f>
        <v/>
      </c>
    </row>
    <row r="3823" spans="1:15" x14ac:dyDescent="0.2">
      <c r="A3823" t="str">
        <f t="shared" si="58"/>
        <v/>
      </c>
      <c r="O3823" t="str">
        <f>IFERROR(VLOOKUP($A3823,Accounts!$A:$G,8,FALSE),"")</f>
        <v/>
      </c>
    </row>
    <row r="3824" spans="1:15" x14ac:dyDescent="0.2">
      <c r="A3824" t="str">
        <f t="shared" si="58"/>
        <v/>
      </c>
      <c r="O3824" t="str">
        <f>IFERROR(VLOOKUP($A3824,Accounts!$A:$G,8,FALSE),"")</f>
        <v/>
      </c>
    </row>
    <row r="3825" spans="1:15" x14ac:dyDescent="0.2">
      <c r="A3825" t="str">
        <f t="shared" si="58"/>
        <v/>
      </c>
      <c r="O3825" t="str">
        <f>IFERROR(VLOOKUP($A3825,Accounts!$A:$G,8,FALSE),"")</f>
        <v/>
      </c>
    </row>
    <row r="3826" spans="1:15" x14ac:dyDescent="0.2">
      <c r="A3826" t="str">
        <f t="shared" si="58"/>
        <v/>
      </c>
      <c r="O3826" t="str">
        <f>IFERROR(VLOOKUP($A3826,Accounts!$A:$G,8,FALSE),"")</f>
        <v/>
      </c>
    </row>
    <row r="3827" spans="1:15" x14ac:dyDescent="0.2">
      <c r="A3827" t="str">
        <f t="shared" si="58"/>
        <v/>
      </c>
      <c r="O3827" t="str">
        <f>IFERROR(VLOOKUP($A3827,Accounts!$A:$G,8,FALSE),"")</f>
        <v/>
      </c>
    </row>
    <row r="3828" spans="1:15" x14ac:dyDescent="0.2">
      <c r="A3828" t="str">
        <f t="shared" si="58"/>
        <v/>
      </c>
      <c r="O3828" t="str">
        <f>IFERROR(VLOOKUP($A3828,Accounts!$A:$G,8,FALSE),"")</f>
        <v/>
      </c>
    </row>
    <row r="3829" spans="1:15" x14ac:dyDescent="0.2">
      <c r="A3829" t="str">
        <f t="shared" si="58"/>
        <v/>
      </c>
      <c r="O3829" t="str">
        <f>IFERROR(VLOOKUP($A3829,Accounts!$A:$G,8,FALSE),"")</f>
        <v/>
      </c>
    </row>
    <row r="3830" spans="1:15" x14ac:dyDescent="0.2">
      <c r="A3830" t="str">
        <f t="shared" si="58"/>
        <v/>
      </c>
      <c r="O3830" t="str">
        <f>IFERROR(VLOOKUP($A3830,Accounts!$A:$G,8,FALSE),"")</f>
        <v/>
      </c>
    </row>
    <row r="3831" spans="1:15" x14ac:dyDescent="0.2">
      <c r="A3831" t="str">
        <f t="shared" si="58"/>
        <v/>
      </c>
      <c r="O3831" t="str">
        <f>IFERROR(VLOOKUP($A3831,Accounts!$A:$G,8,FALSE),"")</f>
        <v/>
      </c>
    </row>
    <row r="3832" spans="1:15" x14ac:dyDescent="0.2">
      <c r="A3832" t="str">
        <f t="shared" si="58"/>
        <v/>
      </c>
      <c r="O3832" t="str">
        <f>IFERROR(VLOOKUP($A3832,Accounts!$A:$G,8,FALSE),"")</f>
        <v/>
      </c>
    </row>
    <row r="3833" spans="1:15" x14ac:dyDescent="0.2">
      <c r="A3833" t="str">
        <f t="shared" si="58"/>
        <v/>
      </c>
      <c r="O3833" t="str">
        <f>IFERROR(VLOOKUP($A3833,Accounts!$A:$G,8,FALSE),"")</f>
        <v/>
      </c>
    </row>
    <row r="3834" spans="1:15" x14ac:dyDescent="0.2">
      <c r="A3834" t="str">
        <f t="shared" si="58"/>
        <v/>
      </c>
      <c r="O3834" t="str">
        <f>IFERROR(VLOOKUP($A3834,Accounts!$A:$G,8,FALSE),"")</f>
        <v/>
      </c>
    </row>
    <row r="3835" spans="1:15" x14ac:dyDescent="0.2">
      <c r="A3835" t="str">
        <f t="shared" si="58"/>
        <v/>
      </c>
      <c r="O3835" t="str">
        <f>IFERROR(VLOOKUP($A3835,Accounts!$A:$G,8,FALSE),"")</f>
        <v/>
      </c>
    </row>
    <row r="3836" spans="1:15" x14ac:dyDescent="0.2">
      <c r="A3836" t="str">
        <f t="shared" si="58"/>
        <v/>
      </c>
      <c r="O3836" t="str">
        <f>IFERROR(VLOOKUP($A3836,Accounts!$A:$G,8,FALSE),"")</f>
        <v/>
      </c>
    </row>
    <row r="3837" spans="1:15" x14ac:dyDescent="0.2">
      <c r="A3837" t="str">
        <f t="shared" si="58"/>
        <v/>
      </c>
      <c r="O3837" t="str">
        <f>IFERROR(VLOOKUP($A3837,Accounts!$A:$G,8,FALSE),"")</f>
        <v/>
      </c>
    </row>
    <row r="3838" spans="1:15" x14ac:dyDescent="0.2">
      <c r="A3838" t="str">
        <f t="shared" si="58"/>
        <v/>
      </c>
      <c r="O3838" t="str">
        <f>IFERROR(VLOOKUP($A3838,Accounts!$A:$G,8,FALSE),"")</f>
        <v/>
      </c>
    </row>
    <row r="3839" spans="1:15" x14ac:dyDescent="0.2">
      <c r="A3839" t="str">
        <f t="shared" si="58"/>
        <v/>
      </c>
      <c r="O3839" t="str">
        <f>IFERROR(VLOOKUP($A3839,Accounts!$A:$G,8,FALSE),"")</f>
        <v/>
      </c>
    </row>
    <row r="3840" spans="1:15" x14ac:dyDescent="0.2">
      <c r="A3840" t="str">
        <f t="shared" si="58"/>
        <v/>
      </c>
      <c r="O3840" t="str">
        <f>IFERROR(VLOOKUP($A3840,Accounts!$A:$G,8,FALSE),"")</f>
        <v/>
      </c>
    </row>
    <row r="3841" spans="1:15" x14ac:dyDescent="0.2">
      <c r="A3841" t="str">
        <f t="shared" si="58"/>
        <v/>
      </c>
      <c r="O3841" t="str">
        <f>IFERROR(VLOOKUP($A3841,Accounts!$A:$G,8,FALSE),"")</f>
        <v/>
      </c>
    </row>
    <row r="3842" spans="1:15" x14ac:dyDescent="0.2">
      <c r="A3842" t="str">
        <f t="shared" si="58"/>
        <v/>
      </c>
      <c r="O3842" t="str">
        <f>IFERROR(VLOOKUP($A3842,Accounts!$A:$G,8,FALSE),"")</f>
        <v/>
      </c>
    </row>
    <row r="3843" spans="1:15" x14ac:dyDescent="0.2">
      <c r="A3843" t="str">
        <f t="shared" ref="A3843:A3906" si="59">IFERROR(IF(J3843=0,B3843&amp;D3843&amp;I3843&amp;E3843,C3843&amp;D3843&amp;J3843&amp;G3843),"")</f>
        <v/>
      </c>
      <c r="O3843" t="str">
        <f>IFERROR(VLOOKUP($A3843,Accounts!$A:$G,8,FALSE),"")</f>
        <v/>
      </c>
    </row>
    <row r="3844" spans="1:15" x14ac:dyDescent="0.2">
      <c r="A3844" t="str">
        <f t="shared" si="59"/>
        <v/>
      </c>
      <c r="O3844" t="str">
        <f>IFERROR(VLOOKUP($A3844,Accounts!$A:$G,8,FALSE),"")</f>
        <v/>
      </c>
    </row>
    <row r="3845" spans="1:15" x14ac:dyDescent="0.2">
      <c r="A3845" t="str">
        <f t="shared" si="59"/>
        <v/>
      </c>
      <c r="O3845" t="str">
        <f>IFERROR(VLOOKUP($A3845,Accounts!$A:$G,8,FALSE),"")</f>
        <v/>
      </c>
    </row>
    <row r="3846" spans="1:15" x14ac:dyDescent="0.2">
      <c r="A3846" t="str">
        <f t="shared" si="59"/>
        <v/>
      </c>
      <c r="O3846" t="str">
        <f>IFERROR(VLOOKUP($A3846,Accounts!$A:$G,8,FALSE),"")</f>
        <v/>
      </c>
    </row>
    <row r="3847" spans="1:15" x14ac:dyDescent="0.2">
      <c r="A3847" t="str">
        <f t="shared" si="59"/>
        <v/>
      </c>
      <c r="O3847" t="str">
        <f>IFERROR(VLOOKUP($A3847,Accounts!$A:$G,8,FALSE),"")</f>
        <v/>
      </c>
    </row>
    <row r="3848" spans="1:15" x14ac:dyDescent="0.2">
      <c r="A3848" t="str">
        <f t="shared" si="59"/>
        <v/>
      </c>
      <c r="O3848" t="str">
        <f>IFERROR(VLOOKUP($A3848,Accounts!$A:$G,8,FALSE),"")</f>
        <v/>
      </c>
    </row>
    <row r="3849" spans="1:15" x14ac:dyDescent="0.2">
      <c r="A3849" t="str">
        <f t="shared" si="59"/>
        <v/>
      </c>
      <c r="O3849" t="str">
        <f>IFERROR(VLOOKUP($A3849,Accounts!$A:$G,8,FALSE),"")</f>
        <v/>
      </c>
    </row>
    <row r="3850" spans="1:15" x14ac:dyDescent="0.2">
      <c r="A3850" t="str">
        <f t="shared" si="59"/>
        <v/>
      </c>
      <c r="O3850" t="str">
        <f>IFERROR(VLOOKUP($A3850,Accounts!$A:$G,8,FALSE),"")</f>
        <v/>
      </c>
    </row>
    <row r="3851" spans="1:15" x14ac:dyDescent="0.2">
      <c r="A3851" t="str">
        <f t="shared" si="59"/>
        <v/>
      </c>
      <c r="O3851" t="str">
        <f>IFERROR(VLOOKUP($A3851,Accounts!$A:$G,8,FALSE),"")</f>
        <v/>
      </c>
    </row>
    <row r="3852" spans="1:15" x14ac:dyDescent="0.2">
      <c r="A3852" t="str">
        <f t="shared" si="59"/>
        <v/>
      </c>
      <c r="O3852" t="str">
        <f>IFERROR(VLOOKUP($A3852,Accounts!$A:$G,8,FALSE),"")</f>
        <v/>
      </c>
    </row>
    <row r="3853" spans="1:15" x14ac:dyDescent="0.2">
      <c r="A3853" t="str">
        <f t="shared" si="59"/>
        <v/>
      </c>
      <c r="O3853" t="str">
        <f>IFERROR(VLOOKUP($A3853,Accounts!$A:$G,8,FALSE),"")</f>
        <v/>
      </c>
    </row>
    <row r="3854" spans="1:15" x14ac:dyDescent="0.2">
      <c r="A3854" t="str">
        <f t="shared" si="59"/>
        <v/>
      </c>
      <c r="O3854" t="str">
        <f>IFERROR(VLOOKUP($A3854,Accounts!$A:$G,8,FALSE),"")</f>
        <v/>
      </c>
    </row>
    <row r="3855" spans="1:15" x14ac:dyDescent="0.2">
      <c r="A3855" t="str">
        <f t="shared" si="59"/>
        <v/>
      </c>
      <c r="O3855" t="str">
        <f>IFERROR(VLOOKUP($A3855,Accounts!$A:$G,8,FALSE),"")</f>
        <v/>
      </c>
    </row>
    <row r="3856" spans="1:15" x14ac:dyDescent="0.2">
      <c r="A3856" t="str">
        <f t="shared" si="59"/>
        <v/>
      </c>
      <c r="O3856" t="str">
        <f>IFERROR(VLOOKUP($A3856,Accounts!$A:$G,8,FALSE),"")</f>
        <v/>
      </c>
    </row>
    <row r="3857" spans="1:15" x14ac:dyDescent="0.2">
      <c r="A3857" t="str">
        <f t="shared" si="59"/>
        <v/>
      </c>
      <c r="O3857" t="str">
        <f>IFERROR(VLOOKUP($A3857,Accounts!$A:$G,8,FALSE),"")</f>
        <v/>
      </c>
    </row>
    <row r="3858" spans="1:15" x14ac:dyDescent="0.2">
      <c r="A3858" t="str">
        <f t="shared" si="59"/>
        <v/>
      </c>
      <c r="O3858" t="str">
        <f>IFERROR(VLOOKUP($A3858,Accounts!$A:$G,8,FALSE),"")</f>
        <v/>
      </c>
    </row>
    <row r="3859" spans="1:15" x14ac:dyDescent="0.2">
      <c r="A3859" t="str">
        <f t="shared" si="59"/>
        <v/>
      </c>
      <c r="O3859" t="str">
        <f>IFERROR(VLOOKUP($A3859,Accounts!$A:$G,8,FALSE),"")</f>
        <v/>
      </c>
    </row>
    <row r="3860" spans="1:15" x14ac:dyDescent="0.2">
      <c r="A3860" t="str">
        <f t="shared" si="59"/>
        <v/>
      </c>
      <c r="O3860" t="str">
        <f>IFERROR(VLOOKUP($A3860,Accounts!$A:$G,8,FALSE),"")</f>
        <v/>
      </c>
    </row>
    <row r="3861" spans="1:15" x14ac:dyDescent="0.2">
      <c r="A3861" t="str">
        <f t="shared" si="59"/>
        <v/>
      </c>
      <c r="O3861" t="str">
        <f>IFERROR(VLOOKUP($A3861,Accounts!$A:$G,8,FALSE),"")</f>
        <v/>
      </c>
    </row>
    <row r="3862" spans="1:15" x14ac:dyDescent="0.2">
      <c r="A3862" t="str">
        <f t="shared" si="59"/>
        <v/>
      </c>
      <c r="O3862" t="str">
        <f>IFERROR(VLOOKUP($A3862,Accounts!$A:$G,8,FALSE),"")</f>
        <v/>
      </c>
    </row>
    <row r="3863" spans="1:15" x14ac:dyDescent="0.2">
      <c r="A3863" t="str">
        <f t="shared" si="59"/>
        <v/>
      </c>
      <c r="O3863" t="str">
        <f>IFERROR(VLOOKUP($A3863,Accounts!$A:$G,8,FALSE),"")</f>
        <v/>
      </c>
    </row>
    <row r="3864" spans="1:15" x14ac:dyDescent="0.2">
      <c r="A3864" t="str">
        <f t="shared" si="59"/>
        <v/>
      </c>
      <c r="O3864" t="str">
        <f>IFERROR(VLOOKUP($A3864,Accounts!$A:$G,8,FALSE),"")</f>
        <v/>
      </c>
    </row>
    <row r="3865" spans="1:15" x14ac:dyDescent="0.2">
      <c r="A3865" t="str">
        <f t="shared" si="59"/>
        <v/>
      </c>
      <c r="O3865" t="str">
        <f>IFERROR(VLOOKUP($A3865,Accounts!$A:$G,8,FALSE),"")</f>
        <v/>
      </c>
    </row>
    <row r="3866" spans="1:15" x14ac:dyDescent="0.2">
      <c r="A3866" t="str">
        <f t="shared" si="59"/>
        <v/>
      </c>
      <c r="O3866" t="str">
        <f>IFERROR(VLOOKUP($A3866,Accounts!$A:$G,8,FALSE),"")</f>
        <v/>
      </c>
    </row>
    <row r="3867" spans="1:15" x14ac:dyDescent="0.2">
      <c r="A3867" t="str">
        <f t="shared" si="59"/>
        <v/>
      </c>
      <c r="O3867" t="str">
        <f>IFERROR(VLOOKUP($A3867,Accounts!$A:$G,8,FALSE),"")</f>
        <v/>
      </c>
    </row>
    <row r="3868" spans="1:15" x14ac:dyDescent="0.2">
      <c r="A3868" t="str">
        <f t="shared" si="59"/>
        <v/>
      </c>
      <c r="O3868" t="str">
        <f>IFERROR(VLOOKUP($A3868,Accounts!$A:$G,8,FALSE),"")</f>
        <v/>
      </c>
    </row>
    <row r="3869" spans="1:15" x14ac:dyDescent="0.2">
      <c r="A3869" t="str">
        <f t="shared" si="59"/>
        <v/>
      </c>
      <c r="O3869" t="str">
        <f>IFERROR(VLOOKUP($A3869,Accounts!$A:$G,8,FALSE),"")</f>
        <v/>
      </c>
    </row>
    <row r="3870" spans="1:15" x14ac:dyDescent="0.2">
      <c r="A3870" t="str">
        <f t="shared" si="59"/>
        <v/>
      </c>
      <c r="O3870" t="str">
        <f>IFERROR(VLOOKUP($A3870,Accounts!$A:$G,8,FALSE),"")</f>
        <v/>
      </c>
    </row>
    <row r="3871" spans="1:15" x14ac:dyDescent="0.2">
      <c r="A3871" t="str">
        <f t="shared" si="59"/>
        <v/>
      </c>
      <c r="O3871" t="str">
        <f>IFERROR(VLOOKUP($A3871,Accounts!$A:$G,8,FALSE),"")</f>
        <v/>
      </c>
    </row>
    <row r="3872" spans="1:15" x14ac:dyDescent="0.2">
      <c r="A3872" t="str">
        <f t="shared" si="59"/>
        <v/>
      </c>
      <c r="O3872" t="str">
        <f>IFERROR(VLOOKUP($A3872,Accounts!$A:$G,8,FALSE),"")</f>
        <v/>
      </c>
    </row>
    <row r="3873" spans="1:15" x14ac:dyDescent="0.2">
      <c r="A3873" t="str">
        <f t="shared" si="59"/>
        <v/>
      </c>
      <c r="O3873" t="str">
        <f>IFERROR(VLOOKUP($A3873,Accounts!$A:$G,8,FALSE),"")</f>
        <v/>
      </c>
    </row>
    <row r="3874" spans="1:15" x14ac:dyDescent="0.2">
      <c r="A3874" t="str">
        <f t="shared" si="59"/>
        <v/>
      </c>
      <c r="O3874" t="str">
        <f>IFERROR(VLOOKUP($A3874,Accounts!$A:$G,8,FALSE),"")</f>
        <v/>
      </c>
    </row>
    <row r="3875" spans="1:15" x14ac:dyDescent="0.2">
      <c r="A3875" t="str">
        <f t="shared" si="59"/>
        <v/>
      </c>
      <c r="O3875" t="str">
        <f>IFERROR(VLOOKUP($A3875,Accounts!$A:$G,8,FALSE),"")</f>
        <v/>
      </c>
    </row>
    <row r="3876" spans="1:15" x14ac:dyDescent="0.2">
      <c r="A3876" t="str">
        <f t="shared" si="59"/>
        <v/>
      </c>
      <c r="O3876" t="str">
        <f>IFERROR(VLOOKUP($A3876,Accounts!$A:$G,8,FALSE),"")</f>
        <v/>
      </c>
    </row>
    <row r="3877" spans="1:15" x14ac:dyDescent="0.2">
      <c r="A3877" t="str">
        <f t="shared" si="59"/>
        <v/>
      </c>
      <c r="O3877" t="str">
        <f>IFERROR(VLOOKUP($A3877,Accounts!$A:$G,8,FALSE),"")</f>
        <v/>
      </c>
    </row>
    <row r="3878" spans="1:15" x14ac:dyDescent="0.2">
      <c r="A3878" t="str">
        <f t="shared" si="59"/>
        <v/>
      </c>
      <c r="O3878" t="str">
        <f>IFERROR(VLOOKUP($A3878,Accounts!$A:$G,8,FALSE),"")</f>
        <v/>
      </c>
    </row>
    <row r="3879" spans="1:15" x14ac:dyDescent="0.2">
      <c r="A3879" t="str">
        <f t="shared" si="59"/>
        <v/>
      </c>
      <c r="O3879" t="str">
        <f>IFERROR(VLOOKUP($A3879,Accounts!$A:$G,8,FALSE),"")</f>
        <v/>
      </c>
    </row>
    <row r="3880" spans="1:15" x14ac:dyDescent="0.2">
      <c r="A3880" t="str">
        <f t="shared" si="59"/>
        <v/>
      </c>
      <c r="O3880" t="str">
        <f>IFERROR(VLOOKUP($A3880,Accounts!$A:$G,8,FALSE),"")</f>
        <v/>
      </c>
    </row>
    <row r="3881" spans="1:15" x14ac:dyDescent="0.2">
      <c r="A3881" t="str">
        <f t="shared" si="59"/>
        <v/>
      </c>
      <c r="O3881" t="str">
        <f>IFERROR(VLOOKUP($A3881,Accounts!$A:$G,8,FALSE),"")</f>
        <v/>
      </c>
    </row>
    <row r="3882" spans="1:15" x14ac:dyDescent="0.2">
      <c r="A3882" t="str">
        <f t="shared" si="59"/>
        <v/>
      </c>
      <c r="O3882" t="str">
        <f>IFERROR(VLOOKUP($A3882,Accounts!$A:$G,8,FALSE),"")</f>
        <v/>
      </c>
    </row>
    <row r="3883" spans="1:15" x14ac:dyDescent="0.2">
      <c r="A3883" t="str">
        <f t="shared" si="59"/>
        <v/>
      </c>
      <c r="O3883" t="str">
        <f>IFERROR(VLOOKUP($A3883,Accounts!$A:$G,8,FALSE),"")</f>
        <v/>
      </c>
    </row>
    <row r="3884" spans="1:15" x14ac:dyDescent="0.2">
      <c r="A3884" t="str">
        <f t="shared" si="59"/>
        <v/>
      </c>
      <c r="O3884" t="str">
        <f>IFERROR(VLOOKUP($A3884,Accounts!$A:$G,8,FALSE),"")</f>
        <v/>
      </c>
    </row>
    <row r="3885" spans="1:15" x14ac:dyDescent="0.2">
      <c r="A3885" t="str">
        <f t="shared" si="59"/>
        <v/>
      </c>
      <c r="O3885" t="str">
        <f>IFERROR(VLOOKUP($A3885,Accounts!$A:$G,8,FALSE),"")</f>
        <v/>
      </c>
    </row>
    <row r="3886" spans="1:15" x14ac:dyDescent="0.2">
      <c r="A3886" t="str">
        <f t="shared" si="59"/>
        <v/>
      </c>
      <c r="O3886" t="str">
        <f>IFERROR(VLOOKUP($A3886,Accounts!$A:$G,8,FALSE),"")</f>
        <v/>
      </c>
    </row>
    <row r="3887" spans="1:15" x14ac:dyDescent="0.2">
      <c r="A3887" t="str">
        <f t="shared" si="59"/>
        <v/>
      </c>
      <c r="O3887" t="str">
        <f>IFERROR(VLOOKUP($A3887,Accounts!$A:$G,8,FALSE),"")</f>
        <v/>
      </c>
    </row>
    <row r="3888" spans="1:15" x14ac:dyDescent="0.2">
      <c r="A3888" t="str">
        <f t="shared" si="59"/>
        <v/>
      </c>
      <c r="O3888" t="str">
        <f>IFERROR(VLOOKUP($A3888,Accounts!$A:$G,8,FALSE),"")</f>
        <v/>
      </c>
    </row>
    <row r="3889" spans="1:15" x14ac:dyDescent="0.2">
      <c r="A3889" t="str">
        <f t="shared" si="59"/>
        <v/>
      </c>
      <c r="O3889" t="str">
        <f>IFERROR(VLOOKUP($A3889,Accounts!$A:$G,8,FALSE),"")</f>
        <v/>
      </c>
    </row>
    <row r="3890" spans="1:15" x14ac:dyDescent="0.2">
      <c r="A3890" t="str">
        <f t="shared" si="59"/>
        <v/>
      </c>
      <c r="O3890" t="str">
        <f>IFERROR(VLOOKUP($A3890,Accounts!$A:$G,8,FALSE),"")</f>
        <v/>
      </c>
    </row>
    <row r="3891" spans="1:15" x14ac:dyDescent="0.2">
      <c r="A3891" t="str">
        <f t="shared" si="59"/>
        <v/>
      </c>
      <c r="O3891" t="str">
        <f>IFERROR(VLOOKUP($A3891,Accounts!$A:$G,8,FALSE),"")</f>
        <v/>
      </c>
    </row>
    <row r="3892" spans="1:15" x14ac:dyDescent="0.2">
      <c r="A3892" t="str">
        <f t="shared" si="59"/>
        <v/>
      </c>
      <c r="O3892" t="str">
        <f>IFERROR(VLOOKUP($A3892,Accounts!$A:$G,8,FALSE),"")</f>
        <v/>
      </c>
    </row>
    <row r="3893" spans="1:15" x14ac:dyDescent="0.2">
      <c r="A3893" t="str">
        <f t="shared" si="59"/>
        <v/>
      </c>
      <c r="O3893" t="str">
        <f>IFERROR(VLOOKUP($A3893,Accounts!$A:$G,8,FALSE),"")</f>
        <v/>
      </c>
    </row>
    <row r="3894" spans="1:15" x14ac:dyDescent="0.2">
      <c r="A3894" t="str">
        <f t="shared" si="59"/>
        <v/>
      </c>
      <c r="O3894" t="str">
        <f>IFERROR(VLOOKUP($A3894,Accounts!$A:$G,8,FALSE),"")</f>
        <v/>
      </c>
    </row>
    <row r="3895" spans="1:15" x14ac:dyDescent="0.2">
      <c r="A3895" t="str">
        <f t="shared" si="59"/>
        <v/>
      </c>
      <c r="O3895" t="str">
        <f>IFERROR(VLOOKUP($A3895,Accounts!$A:$G,8,FALSE),"")</f>
        <v/>
      </c>
    </row>
    <row r="3896" spans="1:15" x14ac:dyDescent="0.2">
      <c r="A3896" t="str">
        <f t="shared" si="59"/>
        <v/>
      </c>
      <c r="O3896" t="str">
        <f>IFERROR(VLOOKUP($A3896,Accounts!$A:$G,8,FALSE),"")</f>
        <v/>
      </c>
    </row>
    <row r="3897" spans="1:15" x14ac:dyDescent="0.2">
      <c r="A3897" t="str">
        <f t="shared" si="59"/>
        <v/>
      </c>
      <c r="O3897" t="str">
        <f>IFERROR(VLOOKUP($A3897,Accounts!$A:$G,8,FALSE),"")</f>
        <v/>
      </c>
    </row>
    <row r="3898" spans="1:15" x14ac:dyDescent="0.2">
      <c r="A3898" t="str">
        <f t="shared" si="59"/>
        <v/>
      </c>
      <c r="O3898" t="str">
        <f>IFERROR(VLOOKUP($A3898,Accounts!$A:$G,8,FALSE),"")</f>
        <v/>
      </c>
    </row>
    <row r="3899" spans="1:15" x14ac:dyDescent="0.2">
      <c r="A3899" t="str">
        <f t="shared" si="59"/>
        <v/>
      </c>
      <c r="O3899" t="str">
        <f>IFERROR(VLOOKUP($A3899,Accounts!$A:$G,8,FALSE),"")</f>
        <v/>
      </c>
    </row>
    <row r="3900" spans="1:15" x14ac:dyDescent="0.2">
      <c r="A3900" t="str">
        <f t="shared" si="59"/>
        <v/>
      </c>
      <c r="O3900" t="str">
        <f>IFERROR(VLOOKUP($A3900,Accounts!$A:$G,8,FALSE),"")</f>
        <v/>
      </c>
    </row>
    <row r="3901" spans="1:15" x14ac:dyDescent="0.2">
      <c r="A3901" t="str">
        <f t="shared" si="59"/>
        <v/>
      </c>
      <c r="O3901" t="str">
        <f>IFERROR(VLOOKUP($A3901,Accounts!$A:$G,8,FALSE),"")</f>
        <v/>
      </c>
    </row>
    <row r="3902" spans="1:15" x14ac:dyDescent="0.2">
      <c r="A3902" t="str">
        <f t="shared" si="59"/>
        <v/>
      </c>
      <c r="O3902" t="str">
        <f>IFERROR(VLOOKUP($A3902,Accounts!$A:$G,8,FALSE),"")</f>
        <v/>
      </c>
    </row>
    <row r="3903" spans="1:15" x14ac:dyDescent="0.2">
      <c r="A3903" t="str">
        <f t="shared" si="59"/>
        <v/>
      </c>
      <c r="O3903" t="str">
        <f>IFERROR(VLOOKUP($A3903,Accounts!$A:$G,8,FALSE),"")</f>
        <v/>
      </c>
    </row>
    <row r="3904" spans="1:15" x14ac:dyDescent="0.2">
      <c r="A3904" t="str">
        <f t="shared" si="59"/>
        <v/>
      </c>
      <c r="O3904" t="str">
        <f>IFERROR(VLOOKUP($A3904,Accounts!$A:$G,8,FALSE),"")</f>
        <v/>
      </c>
    </row>
    <row r="3905" spans="1:15" x14ac:dyDescent="0.2">
      <c r="A3905" t="str">
        <f t="shared" si="59"/>
        <v/>
      </c>
      <c r="O3905" t="str">
        <f>IFERROR(VLOOKUP($A3905,Accounts!$A:$G,8,FALSE),"")</f>
        <v/>
      </c>
    </row>
    <row r="3906" spans="1:15" x14ac:dyDescent="0.2">
      <c r="A3906" t="str">
        <f t="shared" si="59"/>
        <v/>
      </c>
      <c r="O3906" t="str">
        <f>IFERROR(VLOOKUP($A3906,Accounts!$A:$G,8,FALSE),"")</f>
        <v/>
      </c>
    </row>
    <row r="3907" spans="1:15" x14ac:dyDescent="0.2">
      <c r="A3907" t="str">
        <f t="shared" ref="A3907:A3970" si="60">IFERROR(IF(J3907=0,B3907&amp;D3907&amp;I3907&amp;E3907,C3907&amp;D3907&amp;J3907&amp;G3907),"")</f>
        <v/>
      </c>
      <c r="O3907" t="str">
        <f>IFERROR(VLOOKUP($A3907,Accounts!$A:$G,8,FALSE),"")</f>
        <v/>
      </c>
    </row>
    <row r="3908" spans="1:15" x14ac:dyDescent="0.2">
      <c r="A3908" t="str">
        <f t="shared" si="60"/>
        <v/>
      </c>
      <c r="O3908" t="str">
        <f>IFERROR(VLOOKUP($A3908,Accounts!$A:$G,8,FALSE),"")</f>
        <v/>
      </c>
    </row>
    <row r="3909" spans="1:15" x14ac:dyDescent="0.2">
      <c r="A3909" t="str">
        <f t="shared" si="60"/>
        <v/>
      </c>
      <c r="O3909" t="str">
        <f>IFERROR(VLOOKUP($A3909,Accounts!$A:$G,8,FALSE),"")</f>
        <v/>
      </c>
    </row>
    <row r="3910" spans="1:15" x14ac:dyDescent="0.2">
      <c r="A3910" t="str">
        <f t="shared" si="60"/>
        <v/>
      </c>
      <c r="O3910" t="str">
        <f>IFERROR(VLOOKUP($A3910,Accounts!$A:$G,8,FALSE),"")</f>
        <v/>
      </c>
    </row>
    <row r="3911" spans="1:15" x14ac:dyDescent="0.2">
      <c r="A3911" t="str">
        <f t="shared" si="60"/>
        <v/>
      </c>
      <c r="O3911" t="str">
        <f>IFERROR(VLOOKUP($A3911,Accounts!$A:$G,8,FALSE),"")</f>
        <v/>
      </c>
    </row>
    <row r="3912" spans="1:15" x14ac:dyDescent="0.2">
      <c r="A3912" t="str">
        <f t="shared" si="60"/>
        <v/>
      </c>
      <c r="O3912" t="str">
        <f>IFERROR(VLOOKUP($A3912,Accounts!$A:$G,8,FALSE),"")</f>
        <v/>
      </c>
    </row>
    <row r="3913" spans="1:15" x14ac:dyDescent="0.2">
      <c r="A3913" t="str">
        <f t="shared" si="60"/>
        <v/>
      </c>
      <c r="O3913" t="str">
        <f>IFERROR(VLOOKUP($A3913,Accounts!$A:$G,8,FALSE),"")</f>
        <v/>
      </c>
    </row>
    <row r="3914" spans="1:15" x14ac:dyDescent="0.2">
      <c r="A3914" t="str">
        <f t="shared" si="60"/>
        <v/>
      </c>
      <c r="O3914" t="str">
        <f>IFERROR(VLOOKUP($A3914,Accounts!$A:$G,8,FALSE),"")</f>
        <v/>
      </c>
    </row>
    <row r="3915" spans="1:15" x14ac:dyDescent="0.2">
      <c r="A3915" t="str">
        <f t="shared" si="60"/>
        <v/>
      </c>
      <c r="O3915" t="str">
        <f>IFERROR(VLOOKUP($A3915,Accounts!$A:$G,8,FALSE),"")</f>
        <v/>
      </c>
    </row>
    <row r="3916" spans="1:15" x14ac:dyDescent="0.2">
      <c r="A3916" t="str">
        <f t="shared" si="60"/>
        <v/>
      </c>
      <c r="O3916" t="str">
        <f>IFERROR(VLOOKUP($A3916,Accounts!$A:$G,8,FALSE),"")</f>
        <v/>
      </c>
    </row>
    <row r="3917" spans="1:15" x14ac:dyDescent="0.2">
      <c r="A3917" t="str">
        <f t="shared" si="60"/>
        <v/>
      </c>
      <c r="O3917" t="str">
        <f>IFERROR(VLOOKUP($A3917,Accounts!$A:$G,8,FALSE),"")</f>
        <v/>
      </c>
    </row>
    <row r="3918" spans="1:15" x14ac:dyDescent="0.2">
      <c r="A3918" t="str">
        <f t="shared" si="60"/>
        <v/>
      </c>
      <c r="O3918" t="str">
        <f>IFERROR(VLOOKUP($A3918,Accounts!$A:$G,8,FALSE),"")</f>
        <v/>
      </c>
    </row>
    <row r="3919" spans="1:15" x14ac:dyDescent="0.2">
      <c r="A3919" t="str">
        <f t="shared" si="60"/>
        <v/>
      </c>
      <c r="O3919" t="str">
        <f>IFERROR(VLOOKUP($A3919,Accounts!$A:$G,8,FALSE),"")</f>
        <v/>
      </c>
    </row>
    <row r="3920" spans="1:15" x14ac:dyDescent="0.2">
      <c r="A3920" t="str">
        <f t="shared" si="60"/>
        <v/>
      </c>
      <c r="O3920" t="str">
        <f>IFERROR(VLOOKUP($A3920,Accounts!$A:$G,8,FALSE),"")</f>
        <v/>
      </c>
    </row>
    <row r="3921" spans="1:15" x14ac:dyDescent="0.2">
      <c r="A3921" t="str">
        <f t="shared" si="60"/>
        <v/>
      </c>
      <c r="O3921" t="str">
        <f>IFERROR(VLOOKUP($A3921,Accounts!$A:$G,8,FALSE),"")</f>
        <v/>
      </c>
    </row>
    <row r="3922" spans="1:15" x14ac:dyDescent="0.2">
      <c r="A3922" t="str">
        <f t="shared" si="60"/>
        <v/>
      </c>
      <c r="O3922" t="str">
        <f>IFERROR(VLOOKUP($A3922,Accounts!$A:$G,8,FALSE),"")</f>
        <v/>
      </c>
    </row>
    <row r="3923" spans="1:15" x14ac:dyDescent="0.2">
      <c r="A3923" t="str">
        <f t="shared" si="60"/>
        <v/>
      </c>
      <c r="O3923" t="str">
        <f>IFERROR(VLOOKUP($A3923,Accounts!$A:$G,8,FALSE),"")</f>
        <v/>
      </c>
    </row>
    <row r="3924" spans="1:15" x14ac:dyDescent="0.2">
      <c r="A3924" t="str">
        <f t="shared" si="60"/>
        <v/>
      </c>
      <c r="O3924" t="str">
        <f>IFERROR(VLOOKUP($A3924,Accounts!$A:$G,8,FALSE),"")</f>
        <v/>
      </c>
    </row>
    <row r="3925" spans="1:15" x14ac:dyDescent="0.2">
      <c r="A3925" t="str">
        <f t="shared" si="60"/>
        <v/>
      </c>
      <c r="O3925" t="str">
        <f>IFERROR(VLOOKUP($A3925,Accounts!$A:$G,8,FALSE),"")</f>
        <v/>
      </c>
    </row>
    <row r="3926" spans="1:15" x14ac:dyDescent="0.2">
      <c r="A3926" t="str">
        <f t="shared" si="60"/>
        <v/>
      </c>
      <c r="O3926" t="str">
        <f>IFERROR(VLOOKUP($A3926,Accounts!$A:$G,8,FALSE),"")</f>
        <v/>
      </c>
    </row>
    <row r="3927" spans="1:15" x14ac:dyDescent="0.2">
      <c r="A3927" t="str">
        <f t="shared" si="60"/>
        <v/>
      </c>
      <c r="O3927" t="str">
        <f>IFERROR(VLOOKUP($A3927,Accounts!$A:$G,8,FALSE),"")</f>
        <v/>
      </c>
    </row>
    <row r="3928" spans="1:15" x14ac:dyDescent="0.2">
      <c r="A3928" t="str">
        <f t="shared" si="60"/>
        <v/>
      </c>
      <c r="O3928" t="str">
        <f>IFERROR(VLOOKUP($A3928,Accounts!$A:$G,8,FALSE),"")</f>
        <v/>
      </c>
    </row>
    <row r="3929" spans="1:15" x14ac:dyDescent="0.2">
      <c r="A3929" t="str">
        <f t="shared" si="60"/>
        <v/>
      </c>
      <c r="O3929" t="str">
        <f>IFERROR(VLOOKUP($A3929,Accounts!$A:$G,8,FALSE),"")</f>
        <v/>
      </c>
    </row>
    <row r="3930" spans="1:15" x14ac:dyDescent="0.2">
      <c r="A3930" t="str">
        <f t="shared" si="60"/>
        <v/>
      </c>
      <c r="O3930" t="str">
        <f>IFERROR(VLOOKUP($A3930,Accounts!$A:$G,8,FALSE),"")</f>
        <v/>
      </c>
    </row>
    <row r="3931" spans="1:15" x14ac:dyDescent="0.2">
      <c r="A3931" t="str">
        <f t="shared" si="60"/>
        <v/>
      </c>
      <c r="O3931" t="str">
        <f>IFERROR(VLOOKUP($A3931,Accounts!$A:$G,8,FALSE),"")</f>
        <v/>
      </c>
    </row>
    <row r="3932" spans="1:15" x14ac:dyDescent="0.2">
      <c r="A3932" t="str">
        <f t="shared" si="60"/>
        <v/>
      </c>
      <c r="O3932" t="str">
        <f>IFERROR(VLOOKUP($A3932,Accounts!$A:$G,8,FALSE),"")</f>
        <v/>
      </c>
    </row>
    <row r="3933" spans="1:15" x14ac:dyDescent="0.2">
      <c r="A3933" t="str">
        <f t="shared" si="60"/>
        <v/>
      </c>
      <c r="O3933" t="str">
        <f>IFERROR(VLOOKUP($A3933,Accounts!$A:$G,8,FALSE),"")</f>
        <v/>
      </c>
    </row>
    <row r="3934" spans="1:15" x14ac:dyDescent="0.2">
      <c r="A3934" t="str">
        <f t="shared" si="60"/>
        <v/>
      </c>
      <c r="O3934" t="str">
        <f>IFERROR(VLOOKUP($A3934,Accounts!$A:$G,8,FALSE),"")</f>
        <v/>
      </c>
    </row>
    <row r="3935" spans="1:15" x14ac:dyDescent="0.2">
      <c r="A3935" t="str">
        <f t="shared" si="60"/>
        <v/>
      </c>
      <c r="O3935" t="str">
        <f>IFERROR(VLOOKUP($A3935,Accounts!$A:$G,8,FALSE),"")</f>
        <v/>
      </c>
    </row>
    <row r="3936" spans="1:15" x14ac:dyDescent="0.2">
      <c r="A3936" t="str">
        <f t="shared" si="60"/>
        <v/>
      </c>
      <c r="O3936" t="str">
        <f>IFERROR(VLOOKUP($A3936,Accounts!$A:$G,8,FALSE),"")</f>
        <v/>
      </c>
    </row>
    <row r="3937" spans="1:15" x14ac:dyDescent="0.2">
      <c r="A3937" t="str">
        <f t="shared" si="60"/>
        <v/>
      </c>
      <c r="O3937" t="str">
        <f>IFERROR(VLOOKUP($A3937,Accounts!$A:$G,8,FALSE),"")</f>
        <v/>
      </c>
    </row>
    <row r="3938" spans="1:15" x14ac:dyDescent="0.2">
      <c r="A3938" t="str">
        <f t="shared" si="60"/>
        <v/>
      </c>
      <c r="O3938" t="str">
        <f>IFERROR(VLOOKUP($A3938,Accounts!$A:$G,8,FALSE),"")</f>
        <v/>
      </c>
    </row>
    <row r="3939" spans="1:15" x14ac:dyDescent="0.2">
      <c r="A3939" t="str">
        <f t="shared" si="60"/>
        <v/>
      </c>
      <c r="O3939" t="str">
        <f>IFERROR(VLOOKUP($A3939,Accounts!$A:$G,8,FALSE),"")</f>
        <v/>
      </c>
    </row>
    <row r="3940" spans="1:15" x14ac:dyDescent="0.2">
      <c r="A3940" t="str">
        <f t="shared" si="60"/>
        <v/>
      </c>
      <c r="O3940" t="str">
        <f>IFERROR(VLOOKUP($A3940,Accounts!$A:$G,8,FALSE),"")</f>
        <v/>
      </c>
    </row>
    <row r="3941" spans="1:15" x14ac:dyDescent="0.2">
      <c r="A3941" t="str">
        <f t="shared" si="60"/>
        <v/>
      </c>
      <c r="O3941" t="str">
        <f>IFERROR(VLOOKUP($A3941,Accounts!$A:$G,8,FALSE),"")</f>
        <v/>
      </c>
    </row>
    <row r="3942" spans="1:15" x14ac:dyDescent="0.2">
      <c r="A3942" t="str">
        <f t="shared" si="60"/>
        <v/>
      </c>
      <c r="O3942" t="str">
        <f>IFERROR(VLOOKUP($A3942,Accounts!$A:$G,8,FALSE),"")</f>
        <v/>
      </c>
    </row>
    <row r="3943" spans="1:15" x14ac:dyDescent="0.2">
      <c r="A3943" t="str">
        <f t="shared" si="60"/>
        <v/>
      </c>
      <c r="O3943" t="str">
        <f>IFERROR(VLOOKUP($A3943,Accounts!$A:$G,8,FALSE),"")</f>
        <v/>
      </c>
    </row>
    <row r="3944" spans="1:15" x14ac:dyDescent="0.2">
      <c r="A3944" t="str">
        <f t="shared" si="60"/>
        <v/>
      </c>
      <c r="O3944" t="str">
        <f>IFERROR(VLOOKUP($A3944,Accounts!$A:$G,8,FALSE),"")</f>
        <v/>
      </c>
    </row>
    <row r="3945" spans="1:15" x14ac:dyDescent="0.2">
      <c r="A3945" t="str">
        <f t="shared" si="60"/>
        <v/>
      </c>
      <c r="O3945" t="str">
        <f>IFERROR(VLOOKUP($A3945,Accounts!$A:$G,8,FALSE),"")</f>
        <v/>
      </c>
    </row>
    <row r="3946" spans="1:15" x14ac:dyDescent="0.2">
      <c r="A3946" t="str">
        <f t="shared" si="60"/>
        <v/>
      </c>
      <c r="O3946" t="str">
        <f>IFERROR(VLOOKUP($A3946,Accounts!$A:$G,8,FALSE),"")</f>
        <v/>
      </c>
    </row>
    <row r="3947" spans="1:15" x14ac:dyDescent="0.2">
      <c r="A3947" t="str">
        <f t="shared" si="60"/>
        <v/>
      </c>
      <c r="O3947" t="str">
        <f>IFERROR(VLOOKUP($A3947,Accounts!$A:$G,8,FALSE),"")</f>
        <v/>
      </c>
    </row>
    <row r="3948" spans="1:15" x14ac:dyDescent="0.2">
      <c r="A3948" t="str">
        <f t="shared" si="60"/>
        <v/>
      </c>
      <c r="O3948" t="str">
        <f>IFERROR(VLOOKUP($A3948,Accounts!$A:$G,8,FALSE),"")</f>
        <v/>
      </c>
    </row>
    <row r="3949" spans="1:15" x14ac:dyDescent="0.2">
      <c r="A3949" t="str">
        <f t="shared" si="60"/>
        <v/>
      </c>
      <c r="O3949" t="str">
        <f>IFERROR(VLOOKUP($A3949,Accounts!$A:$G,8,FALSE),"")</f>
        <v/>
      </c>
    </row>
    <row r="3950" spans="1:15" x14ac:dyDescent="0.2">
      <c r="A3950" t="str">
        <f t="shared" si="60"/>
        <v/>
      </c>
      <c r="O3950" t="str">
        <f>IFERROR(VLOOKUP($A3950,Accounts!$A:$G,8,FALSE),"")</f>
        <v/>
      </c>
    </row>
    <row r="3951" spans="1:15" x14ac:dyDescent="0.2">
      <c r="A3951" t="str">
        <f t="shared" si="60"/>
        <v/>
      </c>
      <c r="O3951" t="str">
        <f>IFERROR(VLOOKUP($A3951,Accounts!$A:$G,8,FALSE),"")</f>
        <v/>
      </c>
    </row>
    <row r="3952" spans="1:15" x14ac:dyDescent="0.2">
      <c r="A3952" t="str">
        <f t="shared" si="60"/>
        <v/>
      </c>
      <c r="O3952" t="str">
        <f>IFERROR(VLOOKUP($A3952,Accounts!$A:$G,8,FALSE),"")</f>
        <v/>
      </c>
    </row>
    <row r="3953" spans="1:15" x14ac:dyDescent="0.2">
      <c r="A3953" t="str">
        <f t="shared" si="60"/>
        <v/>
      </c>
      <c r="O3953" t="str">
        <f>IFERROR(VLOOKUP($A3953,Accounts!$A:$G,8,FALSE),"")</f>
        <v/>
      </c>
    </row>
    <row r="3954" spans="1:15" x14ac:dyDescent="0.2">
      <c r="A3954" t="str">
        <f t="shared" si="60"/>
        <v/>
      </c>
      <c r="O3954" t="str">
        <f>IFERROR(VLOOKUP($A3954,Accounts!$A:$G,8,FALSE),"")</f>
        <v/>
      </c>
    </row>
    <row r="3955" spans="1:15" x14ac:dyDescent="0.2">
      <c r="A3955" t="str">
        <f t="shared" si="60"/>
        <v/>
      </c>
      <c r="O3955" t="str">
        <f>IFERROR(VLOOKUP($A3955,Accounts!$A:$G,8,FALSE),"")</f>
        <v/>
      </c>
    </row>
    <row r="3956" spans="1:15" x14ac:dyDescent="0.2">
      <c r="A3956" t="str">
        <f t="shared" si="60"/>
        <v/>
      </c>
      <c r="O3956" t="str">
        <f>IFERROR(VLOOKUP($A3956,Accounts!$A:$G,8,FALSE),"")</f>
        <v/>
      </c>
    </row>
    <row r="3957" spans="1:15" x14ac:dyDescent="0.2">
      <c r="A3957" t="str">
        <f t="shared" si="60"/>
        <v/>
      </c>
      <c r="O3957" t="str">
        <f>IFERROR(VLOOKUP($A3957,Accounts!$A:$G,8,FALSE),"")</f>
        <v/>
      </c>
    </row>
    <row r="3958" spans="1:15" x14ac:dyDescent="0.2">
      <c r="A3958" t="str">
        <f t="shared" si="60"/>
        <v/>
      </c>
      <c r="O3958" t="str">
        <f>IFERROR(VLOOKUP($A3958,Accounts!$A:$G,8,FALSE),"")</f>
        <v/>
      </c>
    </row>
    <row r="3959" spans="1:15" x14ac:dyDescent="0.2">
      <c r="A3959" t="str">
        <f t="shared" si="60"/>
        <v/>
      </c>
      <c r="O3959" t="str">
        <f>IFERROR(VLOOKUP($A3959,Accounts!$A:$G,8,FALSE),"")</f>
        <v/>
      </c>
    </row>
    <row r="3960" spans="1:15" x14ac:dyDescent="0.2">
      <c r="A3960" t="str">
        <f t="shared" si="60"/>
        <v/>
      </c>
      <c r="O3960" t="str">
        <f>IFERROR(VLOOKUP($A3960,Accounts!$A:$G,8,FALSE),"")</f>
        <v/>
      </c>
    </row>
    <row r="3961" spans="1:15" x14ac:dyDescent="0.2">
      <c r="A3961" t="str">
        <f t="shared" si="60"/>
        <v/>
      </c>
      <c r="O3961" t="str">
        <f>IFERROR(VLOOKUP($A3961,Accounts!$A:$G,8,FALSE),"")</f>
        <v/>
      </c>
    </row>
    <row r="3962" spans="1:15" x14ac:dyDescent="0.2">
      <c r="A3962" t="str">
        <f t="shared" si="60"/>
        <v/>
      </c>
      <c r="O3962" t="str">
        <f>IFERROR(VLOOKUP($A3962,Accounts!$A:$G,8,FALSE),"")</f>
        <v/>
      </c>
    </row>
    <row r="3963" spans="1:15" x14ac:dyDescent="0.2">
      <c r="A3963" t="str">
        <f t="shared" si="60"/>
        <v/>
      </c>
      <c r="O3963" t="str">
        <f>IFERROR(VLOOKUP($A3963,Accounts!$A:$G,8,FALSE),"")</f>
        <v/>
      </c>
    </row>
    <row r="3964" spans="1:15" x14ac:dyDescent="0.2">
      <c r="A3964" t="str">
        <f t="shared" si="60"/>
        <v/>
      </c>
      <c r="O3964" t="str">
        <f>IFERROR(VLOOKUP($A3964,Accounts!$A:$G,8,FALSE),"")</f>
        <v/>
      </c>
    </row>
    <row r="3965" spans="1:15" x14ac:dyDescent="0.2">
      <c r="A3965" t="str">
        <f t="shared" si="60"/>
        <v/>
      </c>
      <c r="O3965" t="str">
        <f>IFERROR(VLOOKUP($A3965,Accounts!$A:$G,8,FALSE),"")</f>
        <v/>
      </c>
    </row>
    <row r="3966" spans="1:15" x14ac:dyDescent="0.2">
      <c r="A3966" t="str">
        <f t="shared" si="60"/>
        <v/>
      </c>
      <c r="O3966" t="str">
        <f>IFERROR(VLOOKUP($A3966,Accounts!$A:$G,8,FALSE),"")</f>
        <v/>
      </c>
    </row>
    <row r="3967" spans="1:15" x14ac:dyDescent="0.2">
      <c r="A3967" t="str">
        <f t="shared" si="60"/>
        <v/>
      </c>
      <c r="O3967" t="str">
        <f>IFERROR(VLOOKUP($A3967,Accounts!$A:$G,8,FALSE),"")</f>
        <v/>
      </c>
    </row>
    <row r="3968" spans="1:15" x14ac:dyDescent="0.2">
      <c r="A3968" t="str">
        <f t="shared" si="60"/>
        <v/>
      </c>
      <c r="O3968" t="str">
        <f>IFERROR(VLOOKUP($A3968,Accounts!$A:$G,8,FALSE),"")</f>
        <v/>
      </c>
    </row>
    <row r="3969" spans="1:15" x14ac:dyDescent="0.2">
      <c r="A3969" t="str">
        <f t="shared" si="60"/>
        <v/>
      </c>
      <c r="O3969" t="str">
        <f>IFERROR(VLOOKUP($A3969,Accounts!$A:$G,8,FALSE),"")</f>
        <v/>
      </c>
    </row>
    <row r="3970" spans="1:15" x14ac:dyDescent="0.2">
      <c r="A3970" t="str">
        <f t="shared" si="60"/>
        <v/>
      </c>
      <c r="O3970" t="str">
        <f>IFERROR(VLOOKUP($A3970,Accounts!$A:$G,8,FALSE),"")</f>
        <v/>
      </c>
    </row>
    <row r="3971" spans="1:15" x14ac:dyDescent="0.2">
      <c r="A3971" t="str">
        <f t="shared" ref="A3971:A4034" si="61">IFERROR(IF(J3971=0,B3971&amp;D3971&amp;I3971&amp;E3971,C3971&amp;D3971&amp;J3971&amp;G3971),"")</f>
        <v/>
      </c>
      <c r="O3971" t="str">
        <f>IFERROR(VLOOKUP($A3971,Accounts!$A:$G,8,FALSE),"")</f>
        <v/>
      </c>
    </row>
    <row r="3972" spans="1:15" x14ac:dyDescent="0.2">
      <c r="A3972" t="str">
        <f t="shared" si="61"/>
        <v/>
      </c>
      <c r="O3972" t="str">
        <f>IFERROR(VLOOKUP($A3972,Accounts!$A:$G,8,FALSE),"")</f>
        <v/>
      </c>
    </row>
    <row r="3973" spans="1:15" x14ac:dyDescent="0.2">
      <c r="A3973" t="str">
        <f t="shared" si="61"/>
        <v/>
      </c>
      <c r="O3973" t="str">
        <f>IFERROR(VLOOKUP($A3973,Accounts!$A:$G,8,FALSE),"")</f>
        <v/>
      </c>
    </row>
    <row r="3974" spans="1:15" x14ac:dyDescent="0.2">
      <c r="A3974" t="str">
        <f t="shared" si="61"/>
        <v/>
      </c>
      <c r="O3974" t="str">
        <f>IFERROR(VLOOKUP($A3974,Accounts!$A:$G,8,FALSE),"")</f>
        <v/>
      </c>
    </row>
    <row r="3975" spans="1:15" x14ac:dyDescent="0.2">
      <c r="A3975" t="str">
        <f t="shared" si="61"/>
        <v/>
      </c>
      <c r="O3975" t="str">
        <f>IFERROR(VLOOKUP($A3975,Accounts!$A:$G,8,FALSE),"")</f>
        <v/>
      </c>
    </row>
    <row r="3976" spans="1:15" x14ac:dyDescent="0.2">
      <c r="A3976" t="str">
        <f t="shared" si="61"/>
        <v/>
      </c>
      <c r="O3976" t="str">
        <f>IFERROR(VLOOKUP($A3976,Accounts!$A:$G,8,FALSE),"")</f>
        <v/>
      </c>
    </row>
    <row r="3977" spans="1:15" x14ac:dyDescent="0.2">
      <c r="A3977" t="str">
        <f t="shared" si="61"/>
        <v/>
      </c>
      <c r="O3977" t="str">
        <f>IFERROR(VLOOKUP($A3977,Accounts!$A:$G,8,FALSE),"")</f>
        <v/>
      </c>
    </row>
    <row r="3978" spans="1:15" x14ac:dyDescent="0.2">
      <c r="A3978" t="str">
        <f t="shared" si="61"/>
        <v/>
      </c>
      <c r="O3978" t="str">
        <f>IFERROR(VLOOKUP($A3978,Accounts!$A:$G,8,FALSE),"")</f>
        <v/>
      </c>
    </row>
    <row r="3979" spans="1:15" x14ac:dyDescent="0.2">
      <c r="A3979" t="str">
        <f t="shared" si="61"/>
        <v/>
      </c>
      <c r="O3979" t="str">
        <f>IFERROR(VLOOKUP($A3979,Accounts!$A:$G,8,FALSE),"")</f>
        <v/>
      </c>
    </row>
    <row r="3980" spans="1:15" x14ac:dyDescent="0.2">
      <c r="A3980" t="str">
        <f t="shared" si="61"/>
        <v/>
      </c>
      <c r="O3980" t="str">
        <f>IFERROR(VLOOKUP($A3980,Accounts!$A:$G,8,FALSE),"")</f>
        <v/>
      </c>
    </row>
    <row r="3981" spans="1:15" x14ac:dyDescent="0.2">
      <c r="A3981" t="str">
        <f t="shared" si="61"/>
        <v/>
      </c>
      <c r="O3981" t="str">
        <f>IFERROR(VLOOKUP($A3981,Accounts!$A:$G,8,FALSE),"")</f>
        <v/>
      </c>
    </row>
    <row r="3982" spans="1:15" x14ac:dyDescent="0.2">
      <c r="A3982" t="str">
        <f t="shared" si="61"/>
        <v/>
      </c>
      <c r="O3982" t="str">
        <f>IFERROR(VLOOKUP($A3982,Accounts!$A:$G,8,FALSE),"")</f>
        <v/>
      </c>
    </row>
    <row r="3983" spans="1:15" x14ac:dyDescent="0.2">
      <c r="A3983" t="str">
        <f t="shared" si="61"/>
        <v/>
      </c>
      <c r="O3983" t="str">
        <f>IFERROR(VLOOKUP($A3983,Accounts!$A:$G,8,FALSE),"")</f>
        <v/>
      </c>
    </row>
    <row r="3984" spans="1:15" x14ac:dyDescent="0.2">
      <c r="A3984" t="str">
        <f t="shared" si="61"/>
        <v/>
      </c>
      <c r="O3984" t="str">
        <f>IFERROR(VLOOKUP($A3984,Accounts!$A:$G,8,FALSE),"")</f>
        <v/>
      </c>
    </row>
    <row r="3985" spans="1:15" x14ac:dyDescent="0.2">
      <c r="A3985" t="str">
        <f t="shared" si="61"/>
        <v/>
      </c>
      <c r="O3985" t="str">
        <f>IFERROR(VLOOKUP($A3985,Accounts!$A:$G,8,FALSE),"")</f>
        <v/>
      </c>
    </row>
    <row r="3986" spans="1:15" x14ac:dyDescent="0.2">
      <c r="A3986" t="str">
        <f t="shared" si="61"/>
        <v/>
      </c>
      <c r="O3986" t="str">
        <f>IFERROR(VLOOKUP($A3986,Accounts!$A:$G,8,FALSE),"")</f>
        <v/>
      </c>
    </row>
    <row r="3987" spans="1:15" x14ac:dyDescent="0.2">
      <c r="A3987" t="str">
        <f t="shared" si="61"/>
        <v/>
      </c>
      <c r="O3987" t="str">
        <f>IFERROR(VLOOKUP($A3987,Accounts!$A:$G,8,FALSE),"")</f>
        <v/>
      </c>
    </row>
    <row r="3988" spans="1:15" x14ac:dyDescent="0.2">
      <c r="A3988" t="str">
        <f t="shared" si="61"/>
        <v/>
      </c>
      <c r="O3988" t="str">
        <f>IFERROR(VLOOKUP($A3988,Accounts!$A:$G,8,FALSE),"")</f>
        <v/>
      </c>
    </row>
    <row r="3989" spans="1:15" x14ac:dyDescent="0.2">
      <c r="A3989" t="str">
        <f t="shared" si="61"/>
        <v/>
      </c>
      <c r="O3989" t="str">
        <f>IFERROR(VLOOKUP($A3989,Accounts!$A:$G,8,FALSE),"")</f>
        <v/>
      </c>
    </row>
    <row r="3990" spans="1:15" x14ac:dyDescent="0.2">
      <c r="A3990" t="str">
        <f t="shared" si="61"/>
        <v/>
      </c>
      <c r="O3990" t="str">
        <f>IFERROR(VLOOKUP($A3990,Accounts!$A:$G,8,FALSE),"")</f>
        <v/>
      </c>
    </row>
    <row r="3991" spans="1:15" x14ac:dyDescent="0.2">
      <c r="A3991" t="str">
        <f t="shared" si="61"/>
        <v/>
      </c>
      <c r="O3991" t="str">
        <f>IFERROR(VLOOKUP($A3991,Accounts!$A:$G,8,FALSE),"")</f>
        <v/>
      </c>
    </row>
    <row r="3992" spans="1:15" x14ac:dyDescent="0.2">
      <c r="A3992" t="str">
        <f t="shared" si="61"/>
        <v/>
      </c>
      <c r="O3992" t="str">
        <f>IFERROR(VLOOKUP($A3992,Accounts!$A:$G,8,FALSE),"")</f>
        <v/>
      </c>
    </row>
    <row r="3993" spans="1:15" x14ac:dyDescent="0.2">
      <c r="A3993" t="str">
        <f t="shared" si="61"/>
        <v/>
      </c>
      <c r="O3993" t="str">
        <f>IFERROR(VLOOKUP($A3993,Accounts!$A:$G,8,FALSE),"")</f>
        <v/>
      </c>
    </row>
    <row r="3994" spans="1:15" x14ac:dyDescent="0.2">
      <c r="A3994" t="str">
        <f t="shared" si="61"/>
        <v/>
      </c>
      <c r="O3994" t="str">
        <f>IFERROR(VLOOKUP($A3994,Accounts!$A:$G,8,FALSE),"")</f>
        <v/>
      </c>
    </row>
    <row r="3995" spans="1:15" x14ac:dyDescent="0.2">
      <c r="A3995" t="str">
        <f t="shared" si="61"/>
        <v/>
      </c>
      <c r="O3995" t="str">
        <f>IFERROR(VLOOKUP($A3995,Accounts!$A:$G,8,FALSE),"")</f>
        <v/>
      </c>
    </row>
    <row r="3996" spans="1:15" x14ac:dyDescent="0.2">
      <c r="A3996" t="str">
        <f t="shared" si="61"/>
        <v/>
      </c>
      <c r="O3996" t="str">
        <f>IFERROR(VLOOKUP($A3996,Accounts!$A:$G,8,FALSE),"")</f>
        <v/>
      </c>
    </row>
    <row r="3997" spans="1:15" x14ac:dyDescent="0.2">
      <c r="A3997" t="str">
        <f t="shared" si="61"/>
        <v/>
      </c>
      <c r="O3997" t="str">
        <f>IFERROR(VLOOKUP($A3997,Accounts!$A:$G,8,FALSE),"")</f>
        <v/>
      </c>
    </row>
    <row r="3998" spans="1:15" x14ac:dyDescent="0.2">
      <c r="A3998" t="str">
        <f t="shared" si="61"/>
        <v/>
      </c>
      <c r="O3998" t="str">
        <f>IFERROR(VLOOKUP($A3998,Accounts!$A:$G,8,FALSE),"")</f>
        <v/>
      </c>
    </row>
    <row r="3999" spans="1:15" x14ac:dyDescent="0.2">
      <c r="A3999" t="str">
        <f t="shared" si="61"/>
        <v/>
      </c>
      <c r="O3999" t="str">
        <f>IFERROR(VLOOKUP($A3999,Accounts!$A:$G,8,FALSE),"")</f>
        <v/>
      </c>
    </row>
    <row r="4000" spans="1:15" x14ac:dyDescent="0.2">
      <c r="A4000" t="str">
        <f t="shared" si="61"/>
        <v/>
      </c>
      <c r="O4000" t="str">
        <f>IFERROR(VLOOKUP($A4000,Accounts!$A:$G,8,FALSE),"")</f>
        <v/>
      </c>
    </row>
    <row r="4001" spans="1:15" x14ac:dyDescent="0.2">
      <c r="A4001" t="str">
        <f t="shared" si="61"/>
        <v/>
      </c>
      <c r="O4001" t="str">
        <f>IFERROR(VLOOKUP($A4001,Accounts!$A:$G,8,FALSE),"")</f>
        <v/>
      </c>
    </row>
    <row r="4002" spans="1:15" x14ac:dyDescent="0.2">
      <c r="A4002" t="str">
        <f t="shared" si="61"/>
        <v/>
      </c>
      <c r="O4002" t="str">
        <f>IFERROR(VLOOKUP($A4002,Accounts!$A:$G,8,FALSE),"")</f>
        <v/>
      </c>
    </row>
    <row r="4003" spans="1:15" x14ac:dyDescent="0.2">
      <c r="A4003" t="str">
        <f t="shared" si="61"/>
        <v/>
      </c>
      <c r="O4003" t="str">
        <f>IFERROR(VLOOKUP($A4003,Accounts!$A:$G,8,FALSE),"")</f>
        <v/>
      </c>
    </row>
    <row r="4004" spans="1:15" x14ac:dyDescent="0.2">
      <c r="A4004" t="str">
        <f t="shared" si="61"/>
        <v/>
      </c>
      <c r="O4004" t="str">
        <f>IFERROR(VLOOKUP($A4004,Accounts!$A:$G,8,FALSE),"")</f>
        <v/>
      </c>
    </row>
    <row r="4005" spans="1:15" x14ac:dyDescent="0.2">
      <c r="A4005" t="str">
        <f t="shared" si="61"/>
        <v/>
      </c>
      <c r="O4005" t="str">
        <f>IFERROR(VLOOKUP($A4005,Accounts!$A:$G,8,FALSE),"")</f>
        <v/>
      </c>
    </row>
    <row r="4006" spans="1:15" x14ac:dyDescent="0.2">
      <c r="A4006" t="str">
        <f t="shared" si="61"/>
        <v/>
      </c>
      <c r="O4006" t="str">
        <f>IFERROR(VLOOKUP($A4006,Accounts!$A:$G,8,FALSE),"")</f>
        <v/>
      </c>
    </row>
    <row r="4007" spans="1:15" x14ac:dyDescent="0.2">
      <c r="A4007" t="str">
        <f t="shared" si="61"/>
        <v/>
      </c>
      <c r="O4007" t="str">
        <f>IFERROR(VLOOKUP($A4007,Accounts!$A:$G,8,FALSE),"")</f>
        <v/>
      </c>
    </row>
    <row r="4008" spans="1:15" x14ac:dyDescent="0.2">
      <c r="A4008" t="str">
        <f t="shared" si="61"/>
        <v/>
      </c>
      <c r="O4008" t="str">
        <f>IFERROR(VLOOKUP($A4008,Accounts!$A:$G,8,FALSE),"")</f>
        <v/>
      </c>
    </row>
    <row r="4009" spans="1:15" x14ac:dyDescent="0.2">
      <c r="A4009" t="str">
        <f t="shared" si="61"/>
        <v/>
      </c>
      <c r="O4009" t="str">
        <f>IFERROR(VLOOKUP($A4009,Accounts!$A:$G,8,FALSE),"")</f>
        <v/>
      </c>
    </row>
    <row r="4010" spans="1:15" x14ac:dyDescent="0.2">
      <c r="A4010" t="str">
        <f t="shared" si="61"/>
        <v/>
      </c>
      <c r="O4010" t="str">
        <f>IFERROR(VLOOKUP($A4010,Accounts!$A:$G,8,FALSE),"")</f>
        <v/>
      </c>
    </row>
    <row r="4011" spans="1:15" x14ac:dyDescent="0.2">
      <c r="A4011" t="str">
        <f t="shared" si="61"/>
        <v/>
      </c>
      <c r="O4011" t="str">
        <f>IFERROR(VLOOKUP($A4011,Accounts!$A:$G,8,FALSE),"")</f>
        <v/>
      </c>
    </row>
    <row r="4012" spans="1:15" x14ac:dyDescent="0.2">
      <c r="A4012" t="str">
        <f t="shared" si="61"/>
        <v/>
      </c>
      <c r="O4012" t="str">
        <f>IFERROR(VLOOKUP($A4012,Accounts!$A:$G,8,FALSE),"")</f>
        <v/>
      </c>
    </row>
    <row r="4013" spans="1:15" x14ac:dyDescent="0.2">
      <c r="A4013" t="str">
        <f t="shared" si="61"/>
        <v/>
      </c>
      <c r="O4013" t="str">
        <f>IFERROR(VLOOKUP($A4013,Accounts!$A:$G,8,FALSE),"")</f>
        <v/>
      </c>
    </row>
    <row r="4014" spans="1:15" x14ac:dyDescent="0.2">
      <c r="A4014" t="str">
        <f t="shared" si="61"/>
        <v/>
      </c>
      <c r="O4014" t="str">
        <f>IFERROR(VLOOKUP($A4014,Accounts!$A:$G,8,FALSE),"")</f>
        <v/>
      </c>
    </row>
    <row r="4015" spans="1:15" x14ac:dyDescent="0.2">
      <c r="A4015" t="str">
        <f t="shared" si="61"/>
        <v/>
      </c>
      <c r="O4015" t="str">
        <f>IFERROR(VLOOKUP($A4015,Accounts!$A:$G,8,FALSE),"")</f>
        <v/>
      </c>
    </row>
    <row r="4016" spans="1:15" x14ac:dyDescent="0.2">
      <c r="A4016" t="str">
        <f t="shared" si="61"/>
        <v/>
      </c>
      <c r="O4016" t="str">
        <f>IFERROR(VLOOKUP($A4016,Accounts!$A:$G,8,FALSE),"")</f>
        <v/>
      </c>
    </row>
    <row r="4017" spans="1:15" x14ac:dyDescent="0.2">
      <c r="A4017" t="str">
        <f t="shared" si="61"/>
        <v/>
      </c>
      <c r="O4017" t="str">
        <f>IFERROR(VLOOKUP($A4017,Accounts!$A:$G,8,FALSE),"")</f>
        <v/>
      </c>
    </row>
    <row r="4018" spans="1:15" x14ac:dyDescent="0.2">
      <c r="A4018" t="str">
        <f t="shared" si="61"/>
        <v/>
      </c>
      <c r="O4018" t="str">
        <f>IFERROR(VLOOKUP($A4018,Accounts!$A:$G,8,FALSE),"")</f>
        <v/>
      </c>
    </row>
    <row r="4019" spans="1:15" x14ac:dyDescent="0.2">
      <c r="A4019" t="str">
        <f t="shared" si="61"/>
        <v/>
      </c>
      <c r="O4019" t="str">
        <f>IFERROR(VLOOKUP($A4019,Accounts!$A:$G,8,FALSE),"")</f>
        <v/>
      </c>
    </row>
    <row r="4020" spans="1:15" x14ac:dyDescent="0.2">
      <c r="A4020" t="str">
        <f t="shared" si="61"/>
        <v/>
      </c>
      <c r="O4020" t="str">
        <f>IFERROR(VLOOKUP($A4020,Accounts!$A:$G,8,FALSE),"")</f>
        <v/>
      </c>
    </row>
    <row r="4021" spans="1:15" x14ac:dyDescent="0.2">
      <c r="A4021" t="str">
        <f t="shared" si="61"/>
        <v/>
      </c>
      <c r="O4021" t="str">
        <f>IFERROR(VLOOKUP($A4021,Accounts!$A:$G,8,FALSE),"")</f>
        <v/>
      </c>
    </row>
    <row r="4022" spans="1:15" x14ac:dyDescent="0.2">
      <c r="A4022" t="str">
        <f t="shared" si="61"/>
        <v/>
      </c>
      <c r="O4022" t="str">
        <f>IFERROR(VLOOKUP($A4022,Accounts!$A:$G,8,FALSE),"")</f>
        <v/>
      </c>
    </row>
    <row r="4023" spans="1:15" x14ac:dyDescent="0.2">
      <c r="A4023" t="str">
        <f t="shared" si="61"/>
        <v/>
      </c>
      <c r="O4023" t="str">
        <f>IFERROR(VLOOKUP($A4023,Accounts!$A:$G,8,FALSE),"")</f>
        <v/>
      </c>
    </row>
    <row r="4024" spans="1:15" x14ac:dyDescent="0.2">
      <c r="A4024" t="str">
        <f t="shared" si="61"/>
        <v/>
      </c>
      <c r="O4024" t="str">
        <f>IFERROR(VLOOKUP($A4024,Accounts!$A:$G,8,FALSE),"")</f>
        <v/>
      </c>
    </row>
    <row r="4025" spans="1:15" x14ac:dyDescent="0.2">
      <c r="A4025" t="str">
        <f t="shared" si="61"/>
        <v/>
      </c>
      <c r="O4025" t="str">
        <f>IFERROR(VLOOKUP($A4025,Accounts!$A:$G,8,FALSE),"")</f>
        <v/>
      </c>
    </row>
    <row r="4026" spans="1:15" x14ac:dyDescent="0.2">
      <c r="A4026" t="str">
        <f t="shared" si="61"/>
        <v/>
      </c>
      <c r="O4026" t="str">
        <f>IFERROR(VLOOKUP($A4026,Accounts!$A:$G,8,FALSE),"")</f>
        <v/>
      </c>
    </row>
    <row r="4027" spans="1:15" x14ac:dyDescent="0.2">
      <c r="A4027" t="str">
        <f t="shared" si="61"/>
        <v/>
      </c>
      <c r="O4027" t="str">
        <f>IFERROR(VLOOKUP($A4027,Accounts!$A:$G,8,FALSE),"")</f>
        <v/>
      </c>
    </row>
    <row r="4028" spans="1:15" x14ac:dyDescent="0.2">
      <c r="A4028" t="str">
        <f t="shared" si="61"/>
        <v/>
      </c>
      <c r="O4028" t="str">
        <f>IFERROR(VLOOKUP($A4028,Accounts!$A:$G,8,FALSE),"")</f>
        <v/>
      </c>
    </row>
    <row r="4029" spans="1:15" x14ac:dyDescent="0.2">
      <c r="A4029" t="str">
        <f t="shared" si="61"/>
        <v/>
      </c>
      <c r="O4029" t="str">
        <f>IFERROR(VLOOKUP($A4029,Accounts!$A:$G,8,FALSE),"")</f>
        <v/>
      </c>
    </row>
    <row r="4030" spans="1:15" x14ac:dyDescent="0.2">
      <c r="A4030" t="str">
        <f t="shared" si="61"/>
        <v/>
      </c>
      <c r="O4030" t="str">
        <f>IFERROR(VLOOKUP($A4030,Accounts!$A:$G,8,FALSE),"")</f>
        <v/>
      </c>
    </row>
    <row r="4031" spans="1:15" x14ac:dyDescent="0.2">
      <c r="A4031" t="str">
        <f t="shared" si="61"/>
        <v/>
      </c>
      <c r="O4031" t="str">
        <f>IFERROR(VLOOKUP($A4031,Accounts!$A:$G,8,FALSE),"")</f>
        <v/>
      </c>
    </row>
    <row r="4032" spans="1:15" x14ac:dyDescent="0.2">
      <c r="A4032" t="str">
        <f t="shared" si="61"/>
        <v/>
      </c>
      <c r="O4032" t="str">
        <f>IFERROR(VLOOKUP($A4032,Accounts!$A:$G,8,FALSE),"")</f>
        <v/>
      </c>
    </row>
    <row r="4033" spans="1:15" x14ac:dyDescent="0.2">
      <c r="A4033" t="str">
        <f t="shared" si="61"/>
        <v/>
      </c>
      <c r="O4033" t="str">
        <f>IFERROR(VLOOKUP($A4033,Accounts!$A:$G,8,FALSE),"")</f>
        <v/>
      </c>
    </row>
    <row r="4034" spans="1:15" x14ac:dyDescent="0.2">
      <c r="A4034" t="str">
        <f t="shared" si="61"/>
        <v/>
      </c>
      <c r="O4034" t="str">
        <f>IFERROR(VLOOKUP($A4034,Accounts!$A:$G,8,FALSE),"")</f>
        <v/>
      </c>
    </row>
    <row r="4035" spans="1:15" x14ac:dyDescent="0.2">
      <c r="A4035" t="str">
        <f t="shared" ref="A4035:A4098" si="62">IFERROR(IF(J4035=0,B4035&amp;D4035&amp;I4035&amp;E4035,C4035&amp;D4035&amp;J4035&amp;G4035),"")</f>
        <v/>
      </c>
      <c r="O4035" t="str">
        <f>IFERROR(VLOOKUP($A4035,Accounts!$A:$G,8,FALSE),"")</f>
        <v/>
      </c>
    </row>
    <row r="4036" spans="1:15" x14ac:dyDescent="0.2">
      <c r="A4036" t="str">
        <f t="shared" si="62"/>
        <v/>
      </c>
      <c r="O4036" t="str">
        <f>IFERROR(VLOOKUP($A4036,Accounts!$A:$G,8,FALSE),"")</f>
        <v/>
      </c>
    </row>
    <row r="4037" spans="1:15" x14ac:dyDescent="0.2">
      <c r="A4037" t="str">
        <f t="shared" si="62"/>
        <v/>
      </c>
      <c r="O4037" t="str">
        <f>IFERROR(VLOOKUP($A4037,Accounts!$A:$G,8,FALSE),"")</f>
        <v/>
      </c>
    </row>
    <row r="4038" spans="1:15" x14ac:dyDescent="0.2">
      <c r="A4038" t="str">
        <f t="shared" si="62"/>
        <v/>
      </c>
      <c r="O4038" t="str">
        <f>IFERROR(VLOOKUP($A4038,Accounts!$A:$G,8,FALSE),"")</f>
        <v/>
      </c>
    </row>
    <row r="4039" spans="1:15" x14ac:dyDescent="0.2">
      <c r="A4039" t="str">
        <f t="shared" si="62"/>
        <v/>
      </c>
      <c r="O4039" t="str">
        <f>IFERROR(VLOOKUP($A4039,Accounts!$A:$G,8,FALSE),"")</f>
        <v/>
      </c>
    </row>
    <row r="4040" spans="1:15" x14ac:dyDescent="0.2">
      <c r="A4040" t="str">
        <f t="shared" si="62"/>
        <v/>
      </c>
      <c r="O4040" t="str">
        <f>IFERROR(VLOOKUP($A4040,Accounts!$A:$G,8,FALSE),"")</f>
        <v/>
      </c>
    </row>
    <row r="4041" spans="1:15" x14ac:dyDescent="0.2">
      <c r="A4041" t="str">
        <f t="shared" si="62"/>
        <v/>
      </c>
      <c r="O4041" t="str">
        <f>IFERROR(VLOOKUP($A4041,Accounts!$A:$G,8,FALSE),"")</f>
        <v/>
      </c>
    </row>
    <row r="4042" spans="1:15" x14ac:dyDescent="0.2">
      <c r="A4042" t="str">
        <f t="shared" si="62"/>
        <v/>
      </c>
      <c r="O4042" t="str">
        <f>IFERROR(VLOOKUP($A4042,Accounts!$A:$G,8,FALSE),"")</f>
        <v/>
      </c>
    </row>
    <row r="4043" spans="1:15" x14ac:dyDescent="0.2">
      <c r="A4043" t="str">
        <f t="shared" si="62"/>
        <v/>
      </c>
      <c r="O4043" t="str">
        <f>IFERROR(VLOOKUP($A4043,Accounts!$A:$G,8,FALSE),"")</f>
        <v/>
      </c>
    </row>
    <row r="4044" spans="1:15" x14ac:dyDescent="0.2">
      <c r="A4044" t="str">
        <f t="shared" si="62"/>
        <v/>
      </c>
      <c r="O4044" t="str">
        <f>IFERROR(VLOOKUP($A4044,Accounts!$A:$G,8,FALSE),"")</f>
        <v/>
      </c>
    </row>
    <row r="4045" spans="1:15" x14ac:dyDescent="0.2">
      <c r="A4045" t="str">
        <f t="shared" si="62"/>
        <v/>
      </c>
      <c r="O4045" t="str">
        <f>IFERROR(VLOOKUP($A4045,Accounts!$A:$G,8,FALSE),"")</f>
        <v/>
      </c>
    </row>
    <row r="4046" spans="1:15" x14ac:dyDescent="0.2">
      <c r="A4046" t="str">
        <f t="shared" si="62"/>
        <v/>
      </c>
      <c r="O4046" t="str">
        <f>IFERROR(VLOOKUP($A4046,Accounts!$A:$G,8,FALSE),"")</f>
        <v/>
      </c>
    </row>
    <row r="4047" spans="1:15" x14ac:dyDescent="0.2">
      <c r="A4047" t="str">
        <f t="shared" si="62"/>
        <v/>
      </c>
      <c r="O4047" t="str">
        <f>IFERROR(VLOOKUP($A4047,Accounts!$A:$G,8,FALSE),"")</f>
        <v/>
      </c>
    </row>
    <row r="4048" spans="1:15" x14ac:dyDescent="0.2">
      <c r="A4048" t="str">
        <f t="shared" si="62"/>
        <v/>
      </c>
      <c r="O4048" t="str">
        <f>IFERROR(VLOOKUP($A4048,Accounts!$A:$G,8,FALSE),"")</f>
        <v/>
      </c>
    </row>
    <row r="4049" spans="1:15" x14ac:dyDescent="0.2">
      <c r="A4049" t="str">
        <f t="shared" si="62"/>
        <v/>
      </c>
      <c r="O4049" t="str">
        <f>IFERROR(VLOOKUP($A4049,Accounts!$A:$G,8,FALSE),"")</f>
        <v/>
      </c>
    </row>
    <row r="4050" spans="1:15" x14ac:dyDescent="0.2">
      <c r="A4050" t="str">
        <f t="shared" si="62"/>
        <v/>
      </c>
      <c r="O4050" t="str">
        <f>IFERROR(VLOOKUP($A4050,Accounts!$A:$G,8,FALSE),"")</f>
        <v/>
      </c>
    </row>
    <row r="4051" spans="1:15" x14ac:dyDescent="0.2">
      <c r="A4051" t="str">
        <f t="shared" si="62"/>
        <v/>
      </c>
      <c r="O4051" t="str">
        <f>IFERROR(VLOOKUP($A4051,Accounts!$A:$G,8,FALSE),"")</f>
        <v/>
      </c>
    </row>
    <row r="4052" spans="1:15" x14ac:dyDescent="0.2">
      <c r="A4052" t="str">
        <f t="shared" si="62"/>
        <v/>
      </c>
      <c r="O4052" t="str">
        <f>IFERROR(VLOOKUP($A4052,Accounts!$A:$G,8,FALSE),"")</f>
        <v/>
      </c>
    </row>
    <row r="4053" spans="1:15" x14ac:dyDescent="0.2">
      <c r="A4053" t="str">
        <f t="shared" si="62"/>
        <v/>
      </c>
      <c r="O4053" t="str">
        <f>IFERROR(VLOOKUP($A4053,Accounts!$A:$G,8,FALSE),"")</f>
        <v/>
      </c>
    </row>
    <row r="4054" spans="1:15" x14ac:dyDescent="0.2">
      <c r="A4054" t="str">
        <f t="shared" si="62"/>
        <v/>
      </c>
      <c r="O4054" t="str">
        <f>IFERROR(VLOOKUP($A4054,Accounts!$A:$G,8,FALSE),"")</f>
        <v/>
      </c>
    </row>
    <row r="4055" spans="1:15" x14ac:dyDescent="0.2">
      <c r="A4055" t="str">
        <f t="shared" si="62"/>
        <v/>
      </c>
      <c r="O4055" t="str">
        <f>IFERROR(VLOOKUP($A4055,Accounts!$A:$G,8,FALSE),"")</f>
        <v/>
      </c>
    </row>
    <row r="4056" spans="1:15" x14ac:dyDescent="0.2">
      <c r="A4056" t="str">
        <f t="shared" si="62"/>
        <v/>
      </c>
      <c r="O4056" t="str">
        <f>IFERROR(VLOOKUP($A4056,Accounts!$A:$G,8,FALSE),"")</f>
        <v/>
      </c>
    </row>
    <row r="4057" spans="1:15" x14ac:dyDescent="0.2">
      <c r="A4057" t="str">
        <f t="shared" si="62"/>
        <v/>
      </c>
      <c r="O4057" t="str">
        <f>IFERROR(VLOOKUP($A4057,Accounts!$A:$G,8,FALSE),"")</f>
        <v/>
      </c>
    </row>
    <row r="4058" spans="1:15" x14ac:dyDescent="0.2">
      <c r="A4058" t="str">
        <f t="shared" si="62"/>
        <v/>
      </c>
      <c r="O4058" t="str">
        <f>IFERROR(VLOOKUP($A4058,Accounts!$A:$G,8,FALSE),"")</f>
        <v/>
      </c>
    </row>
    <row r="4059" spans="1:15" x14ac:dyDescent="0.2">
      <c r="A4059" t="str">
        <f t="shared" si="62"/>
        <v/>
      </c>
      <c r="O4059" t="str">
        <f>IFERROR(VLOOKUP($A4059,Accounts!$A:$G,8,FALSE),"")</f>
        <v/>
      </c>
    </row>
    <row r="4060" spans="1:15" x14ac:dyDescent="0.2">
      <c r="A4060" t="str">
        <f t="shared" si="62"/>
        <v/>
      </c>
      <c r="O4060" t="str">
        <f>IFERROR(VLOOKUP($A4060,Accounts!$A:$G,8,FALSE),"")</f>
        <v/>
      </c>
    </row>
    <row r="4061" spans="1:15" x14ac:dyDescent="0.2">
      <c r="A4061" t="str">
        <f t="shared" si="62"/>
        <v/>
      </c>
      <c r="O4061" t="str">
        <f>IFERROR(VLOOKUP($A4061,Accounts!$A:$G,8,FALSE),"")</f>
        <v/>
      </c>
    </row>
    <row r="4062" spans="1:15" x14ac:dyDescent="0.2">
      <c r="A4062" t="str">
        <f t="shared" si="62"/>
        <v/>
      </c>
      <c r="O4062" t="str">
        <f>IFERROR(VLOOKUP($A4062,Accounts!$A:$G,8,FALSE),"")</f>
        <v/>
      </c>
    </row>
    <row r="4063" spans="1:15" x14ac:dyDescent="0.2">
      <c r="A4063" t="str">
        <f t="shared" si="62"/>
        <v/>
      </c>
      <c r="O4063" t="str">
        <f>IFERROR(VLOOKUP($A4063,Accounts!$A:$G,8,FALSE),"")</f>
        <v/>
      </c>
    </row>
    <row r="4064" spans="1:15" x14ac:dyDescent="0.2">
      <c r="A4064" t="str">
        <f t="shared" si="62"/>
        <v/>
      </c>
      <c r="O4064" t="str">
        <f>IFERROR(VLOOKUP($A4064,Accounts!$A:$G,8,FALSE),"")</f>
        <v/>
      </c>
    </row>
    <row r="4065" spans="1:15" x14ac:dyDescent="0.2">
      <c r="A4065" t="str">
        <f t="shared" si="62"/>
        <v/>
      </c>
      <c r="O4065" t="str">
        <f>IFERROR(VLOOKUP($A4065,Accounts!$A:$G,8,FALSE),"")</f>
        <v/>
      </c>
    </row>
    <row r="4066" spans="1:15" x14ac:dyDescent="0.2">
      <c r="A4066" t="str">
        <f t="shared" si="62"/>
        <v/>
      </c>
      <c r="O4066" t="str">
        <f>IFERROR(VLOOKUP($A4066,Accounts!$A:$G,8,FALSE),"")</f>
        <v/>
      </c>
    </row>
    <row r="4067" spans="1:15" x14ac:dyDescent="0.2">
      <c r="A4067" t="str">
        <f t="shared" si="62"/>
        <v/>
      </c>
      <c r="O4067" t="str">
        <f>IFERROR(VLOOKUP($A4067,Accounts!$A:$G,8,FALSE),"")</f>
        <v/>
      </c>
    </row>
    <row r="4068" spans="1:15" x14ac:dyDescent="0.2">
      <c r="A4068" t="str">
        <f t="shared" si="62"/>
        <v/>
      </c>
      <c r="O4068" t="str">
        <f>IFERROR(VLOOKUP($A4068,Accounts!$A:$G,8,FALSE),"")</f>
        <v/>
      </c>
    </row>
    <row r="4069" spans="1:15" x14ac:dyDescent="0.2">
      <c r="A4069" t="str">
        <f t="shared" si="62"/>
        <v/>
      </c>
      <c r="O4069" t="str">
        <f>IFERROR(VLOOKUP($A4069,Accounts!$A:$G,8,FALSE),"")</f>
        <v/>
      </c>
    </row>
    <row r="4070" spans="1:15" x14ac:dyDescent="0.2">
      <c r="A4070" t="str">
        <f t="shared" si="62"/>
        <v/>
      </c>
      <c r="O4070" t="str">
        <f>IFERROR(VLOOKUP($A4070,Accounts!$A:$G,8,FALSE),"")</f>
        <v/>
      </c>
    </row>
    <row r="4071" spans="1:15" x14ac:dyDescent="0.2">
      <c r="A4071" t="str">
        <f t="shared" si="62"/>
        <v/>
      </c>
      <c r="O4071" t="str">
        <f>IFERROR(VLOOKUP($A4071,Accounts!$A:$G,8,FALSE),"")</f>
        <v/>
      </c>
    </row>
    <row r="4072" spans="1:15" x14ac:dyDescent="0.2">
      <c r="A4072" t="str">
        <f t="shared" si="62"/>
        <v/>
      </c>
      <c r="O4072" t="str">
        <f>IFERROR(VLOOKUP($A4072,Accounts!$A:$G,8,FALSE),"")</f>
        <v/>
      </c>
    </row>
    <row r="4073" spans="1:15" x14ac:dyDescent="0.2">
      <c r="A4073" t="str">
        <f t="shared" si="62"/>
        <v/>
      </c>
      <c r="O4073" t="str">
        <f>IFERROR(VLOOKUP($A4073,Accounts!$A:$G,8,FALSE),"")</f>
        <v/>
      </c>
    </row>
    <row r="4074" spans="1:15" x14ac:dyDescent="0.2">
      <c r="A4074" t="str">
        <f t="shared" si="62"/>
        <v/>
      </c>
      <c r="O4074" t="str">
        <f>IFERROR(VLOOKUP($A4074,Accounts!$A:$G,8,FALSE),"")</f>
        <v/>
      </c>
    </row>
    <row r="4075" spans="1:15" x14ac:dyDescent="0.2">
      <c r="A4075" t="str">
        <f t="shared" si="62"/>
        <v/>
      </c>
      <c r="O4075" t="str">
        <f>IFERROR(VLOOKUP($A4075,Accounts!$A:$G,8,FALSE),"")</f>
        <v/>
      </c>
    </row>
    <row r="4076" spans="1:15" x14ac:dyDescent="0.2">
      <c r="A4076" t="str">
        <f t="shared" si="62"/>
        <v/>
      </c>
      <c r="O4076" t="str">
        <f>IFERROR(VLOOKUP($A4076,Accounts!$A:$G,8,FALSE),"")</f>
        <v/>
      </c>
    </row>
    <row r="4077" spans="1:15" x14ac:dyDescent="0.2">
      <c r="A4077" t="str">
        <f t="shared" si="62"/>
        <v/>
      </c>
      <c r="O4077" t="str">
        <f>IFERROR(VLOOKUP($A4077,Accounts!$A:$G,8,FALSE),"")</f>
        <v/>
      </c>
    </row>
    <row r="4078" spans="1:15" x14ac:dyDescent="0.2">
      <c r="A4078" t="str">
        <f t="shared" si="62"/>
        <v/>
      </c>
      <c r="O4078" t="str">
        <f>IFERROR(VLOOKUP($A4078,Accounts!$A:$G,8,FALSE),"")</f>
        <v/>
      </c>
    </row>
    <row r="4079" spans="1:15" x14ac:dyDescent="0.2">
      <c r="A4079" t="str">
        <f t="shared" si="62"/>
        <v/>
      </c>
      <c r="O4079" t="str">
        <f>IFERROR(VLOOKUP($A4079,Accounts!$A:$G,8,FALSE),"")</f>
        <v/>
      </c>
    </row>
    <row r="4080" spans="1:15" x14ac:dyDescent="0.2">
      <c r="A4080" t="str">
        <f t="shared" si="62"/>
        <v/>
      </c>
      <c r="O4080" t="str">
        <f>IFERROR(VLOOKUP($A4080,Accounts!$A:$G,8,FALSE),"")</f>
        <v/>
      </c>
    </row>
    <row r="4081" spans="1:15" x14ac:dyDescent="0.2">
      <c r="A4081" t="str">
        <f t="shared" si="62"/>
        <v/>
      </c>
      <c r="O4081" t="str">
        <f>IFERROR(VLOOKUP($A4081,Accounts!$A:$G,8,FALSE),"")</f>
        <v/>
      </c>
    </row>
    <row r="4082" spans="1:15" x14ac:dyDescent="0.2">
      <c r="A4082" t="str">
        <f t="shared" si="62"/>
        <v/>
      </c>
      <c r="O4082" t="str">
        <f>IFERROR(VLOOKUP($A4082,Accounts!$A:$G,8,FALSE),"")</f>
        <v/>
      </c>
    </row>
    <row r="4083" spans="1:15" x14ac:dyDescent="0.2">
      <c r="A4083" t="str">
        <f t="shared" si="62"/>
        <v/>
      </c>
      <c r="O4083" t="str">
        <f>IFERROR(VLOOKUP($A4083,Accounts!$A:$G,8,FALSE),"")</f>
        <v/>
      </c>
    </row>
    <row r="4084" spans="1:15" x14ac:dyDescent="0.2">
      <c r="A4084" t="str">
        <f t="shared" si="62"/>
        <v/>
      </c>
      <c r="O4084" t="str">
        <f>IFERROR(VLOOKUP($A4084,Accounts!$A:$G,8,FALSE),"")</f>
        <v/>
      </c>
    </row>
    <row r="4085" spans="1:15" x14ac:dyDescent="0.2">
      <c r="A4085" t="str">
        <f t="shared" si="62"/>
        <v/>
      </c>
      <c r="O4085" t="str">
        <f>IFERROR(VLOOKUP($A4085,Accounts!$A:$G,8,FALSE),"")</f>
        <v/>
      </c>
    </row>
    <row r="4086" spans="1:15" x14ac:dyDescent="0.2">
      <c r="A4086" t="str">
        <f t="shared" si="62"/>
        <v/>
      </c>
      <c r="O4086" t="str">
        <f>IFERROR(VLOOKUP($A4086,Accounts!$A:$G,8,FALSE),"")</f>
        <v/>
      </c>
    </row>
    <row r="4087" spans="1:15" x14ac:dyDescent="0.2">
      <c r="A4087" t="str">
        <f t="shared" si="62"/>
        <v/>
      </c>
      <c r="O4087" t="str">
        <f>IFERROR(VLOOKUP($A4087,Accounts!$A:$G,8,FALSE),"")</f>
        <v/>
      </c>
    </row>
    <row r="4088" spans="1:15" x14ac:dyDescent="0.2">
      <c r="A4088" t="str">
        <f t="shared" si="62"/>
        <v/>
      </c>
      <c r="O4088" t="str">
        <f>IFERROR(VLOOKUP($A4088,Accounts!$A:$G,8,FALSE),"")</f>
        <v/>
      </c>
    </row>
    <row r="4089" spans="1:15" x14ac:dyDescent="0.2">
      <c r="A4089" t="str">
        <f t="shared" si="62"/>
        <v/>
      </c>
      <c r="O4089" t="str">
        <f>IFERROR(VLOOKUP($A4089,Accounts!$A:$G,8,FALSE),"")</f>
        <v/>
      </c>
    </row>
    <row r="4090" spans="1:15" x14ac:dyDescent="0.2">
      <c r="A4090" t="str">
        <f t="shared" si="62"/>
        <v/>
      </c>
      <c r="O4090" t="str">
        <f>IFERROR(VLOOKUP($A4090,Accounts!$A:$G,8,FALSE),"")</f>
        <v/>
      </c>
    </row>
    <row r="4091" spans="1:15" x14ac:dyDescent="0.2">
      <c r="A4091" t="str">
        <f t="shared" si="62"/>
        <v/>
      </c>
      <c r="O4091" t="str">
        <f>IFERROR(VLOOKUP($A4091,Accounts!$A:$G,8,FALSE),"")</f>
        <v/>
      </c>
    </row>
    <row r="4092" spans="1:15" x14ac:dyDescent="0.2">
      <c r="A4092" t="str">
        <f t="shared" si="62"/>
        <v/>
      </c>
      <c r="O4092" t="str">
        <f>IFERROR(VLOOKUP($A4092,Accounts!$A:$G,8,FALSE),"")</f>
        <v/>
      </c>
    </row>
    <row r="4093" spans="1:15" x14ac:dyDescent="0.2">
      <c r="A4093" t="str">
        <f t="shared" si="62"/>
        <v/>
      </c>
      <c r="O4093" t="str">
        <f>IFERROR(VLOOKUP($A4093,Accounts!$A:$G,8,FALSE),"")</f>
        <v/>
      </c>
    </row>
    <row r="4094" spans="1:15" x14ac:dyDescent="0.2">
      <c r="A4094" t="str">
        <f t="shared" si="62"/>
        <v/>
      </c>
      <c r="O4094" t="str">
        <f>IFERROR(VLOOKUP($A4094,Accounts!$A:$G,8,FALSE),"")</f>
        <v/>
      </c>
    </row>
    <row r="4095" spans="1:15" x14ac:dyDescent="0.2">
      <c r="A4095" t="str">
        <f t="shared" si="62"/>
        <v/>
      </c>
      <c r="O4095" t="str">
        <f>IFERROR(VLOOKUP($A4095,Accounts!$A:$G,8,FALSE),"")</f>
        <v/>
      </c>
    </row>
    <row r="4096" spans="1:15" x14ac:dyDescent="0.2">
      <c r="A4096" t="str">
        <f t="shared" si="62"/>
        <v/>
      </c>
      <c r="O4096" t="str">
        <f>IFERROR(VLOOKUP($A4096,Accounts!$A:$G,8,FALSE),"")</f>
        <v/>
      </c>
    </row>
    <row r="4097" spans="1:15" x14ac:dyDescent="0.2">
      <c r="A4097" t="str">
        <f t="shared" si="62"/>
        <v/>
      </c>
      <c r="O4097" t="str">
        <f>IFERROR(VLOOKUP($A4097,Accounts!$A:$G,8,FALSE),"")</f>
        <v/>
      </c>
    </row>
    <row r="4098" spans="1:15" x14ac:dyDescent="0.2">
      <c r="A4098" t="str">
        <f t="shared" si="62"/>
        <v/>
      </c>
      <c r="O4098" t="str">
        <f>IFERROR(VLOOKUP($A4098,Accounts!$A:$G,8,FALSE),"")</f>
        <v/>
      </c>
    </row>
    <row r="4099" spans="1:15" x14ac:dyDescent="0.2">
      <c r="A4099" t="str">
        <f t="shared" ref="A4099:A4162" si="63">IFERROR(IF(J4099=0,B4099&amp;D4099&amp;I4099&amp;E4099,C4099&amp;D4099&amp;J4099&amp;G4099),"")</f>
        <v/>
      </c>
      <c r="O4099" t="str">
        <f>IFERROR(VLOOKUP($A4099,Accounts!$A:$G,8,FALSE),"")</f>
        <v/>
      </c>
    </row>
    <row r="4100" spans="1:15" x14ac:dyDescent="0.2">
      <c r="A4100" t="str">
        <f t="shared" si="63"/>
        <v/>
      </c>
      <c r="O4100" t="str">
        <f>IFERROR(VLOOKUP($A4100,Accounts!$A:$G,8,FALSE),"")</f>
        <v/>
      </c>
    </row>
    <row r="4101" spans="1:15" x14ac:dyDescent="0.2">
      <c r="A4101" t="str">
        <f t="shared" si="63"/>
        <v/>
      </c>
      <c r="O4101" t="str">
        <f>IFERROR(VLOOKUP($A4101,Accounts!$A:$G,8,FALSE),"")</f>
        <v/>
      </c>
    </row>
    <row r="4102" spans="1:15" x14ac:dyDescent="0.2">
      <c r="A4102" t="str">
        <f t="shared" si="63"/>
        <v/>
      </c>
      <c r="O4102" t="str">
        <f>IFERROR(VLOOKUP($A4102,Accounts!$A:$G,8,FALSE),"")</f>
        <v/>
      </c>
    </row>
    <row r="4103" spans="1:15" x14ac:dyDescent="0.2">
      <c r="A4103" t="str">
        <f t="shared" si="63"/>
        <v/>
      </c>
      <c r="O4103" t="str">
        <f>IFERROR(VLOOKUP($A4103,Accounts!$A:$G,8,FALSE),"")</f>
        <v/>
      </c>
    </row>
    <row r="4104" spans="1:15" x14ac:dyDescent="0.2">
      <c r="A4104" t="str">
        <f t="shared" si="63"/>
        <v/>
      </c>
      <c r="O4104" t="str">
        <f>IFERROR(VLOOKUP($A4104,Accounts!$A:$G,8,FALSE),"")</f>
        <v/>
      </c>
    </row>
    <row r="4105" spans="1:15" x14ac:dyDescent="0.2">
      <c r="A4105" t="str">
        <f t="shared" si="63"/>
        <v/>
      </c>
      <c r="O4105" t="str">
        <f>IFERROR(VLOOKUP($A4105,Accounts!$A:$G,8,FALSE),"")</f>
        <v/>
      </c>
    </row>
    <row r="4106" spans="1:15" x14ac:dyDescent="0.2">
      <c r="A4106" t="str">
        <f t="shared" si="63"/>
        <v/>
      </c>
      <c r="O4106" t="str">
        <f>IFERROR(VLOOKUP($A4106,Accounts!$A:$G,8,FALSE),"")</f>
        <v/>
      </c>
    </row>
    <row r="4107" spans="1:15" x14ac:dyDescent="0.2">
      <c r="A4107" t="str">
        <f t="shared" si="63"/>
        <v/>
      </c>
      <c r="O4107" t="str">
        <f>IFERROR(VLOOKUP($A4107,Accounts!$A:$G,8,FALSE),"")</f>
        <v/>
      </c>
    </row>
    <row r="4108" spans="1:15" x14ac:dyDescent="0.2">
      <c r="A4108" t="str">
        <f t="shared" si="63"/>
        <v/>
      </c>
      <c r="O4108" t="str">
        <f>IFERROR(VLOOKUP($A4108,Accounts!$A:$G,8,FALSE),"")</f>
        <v/>
      </c>
    </row>
    <row r="4109" spans="1:15" x14ac:dyDescent="0.2">
      <c r="A4109" t="str">
        <f t="shared" si="63"/>
        <v/>
      </c>
      <c r="O4109" t="str">
        <f>IFERROR(VLOOKUP($A4109,Accounts!$A:$G,8,FALSE),"")</f>
        <v/>
      </c>
    </row>
    <row r="4110" spans="1:15" x14ac:dyDescent="0.2">
      <c r="A4110" t="str">
        <f t="shared" si="63"/>
        <v/>
      </c>
      <c r="O4110" t="str">
        <f>IFERROR(VLOOKUP($A4110,Accounts!$A:$G,8,FALSE),"")</f>
        <v/>
      </c>
    </row>
    <row r="4111" spans="1:15" x14ac:dyDescent="0.2">
      <c r="A4111" t="str">
        <f t="shared" si="63"/>
        <v/>
      </c>
      <c r="O4111" t="str">
        <f>IFERROR(VLOOKUP($A4111,Accounts!$A:$G,8,FALSE),"")</f>
        <v/>
      </c>
    </row>
    <row r="4112" spans="1:15" x14ac:dyDescent="0.2">
      <c r="A4112" t="str">
        <f t="shared" si="63"/>
        <v/>
      </c>
      <c r="O4112" t="str">
        <f>IFERROR(VLOOKUP($A4112,Accounts!$A:$G,8,FALSE),"")</f>
        <v/>
      </c>
    </row>
    <row r="4113" spans="1:15" x14ac:dyDescent="0.2">
      <c r="A4113" t="str">
        <f t="shared" si="63"/>
        <v/>
      </c>
      <c r="O4113" t="str">
        <f>IFERROR(VLOOKUP($A4113,Accounts!$A:$G,8,FALSE),"")</f>
        <v/>
      </c>
    </row>
    <row r="4114" spans="1:15" x14ac:dyDescent="0.2">
      <c r="A4114" t="str">
        <f t="shared" si="63"/>
        <v/>
      </c>
      <c r="O4114" t="str">
        <f>IFERROR(VLOOKUP($A4114,Accounts!$A:$G,8,FALSE),"")</f>
        <v/>
      </c>
    </row>
    <row r="4115" spans="1:15" x14ac:dyDescent="0.2">
      <c r="A4115" t="str">
        <f t="shared" si="63"/>
        <v/>
      </c>
      <c r="O4115" t="str">
        <f>IFERROR(VLOOKUP($A4115,Accounts!$A:$G,8,FALSE),"")</f>
        <v/>
      </c>
    </row>
    <row r="4116" spans="1:15" x14ac:dyDescent="0.2">
      <c r="A4116" t="str">
        <f t="shared" si="63"/>
        <v/>
      </c>
      <c r="O4116" t="str">
        <f>IFERROR(VLOOKUP($A4116,Accounts!$A:$G,8,FALSE),"")</f>
        <v/>
      </c>
    </row>
    <row r="4117" spans="1:15" x14ac:dyDescent="0.2">
      <c r="A4117" t="str">
        <f t="shared" si="63"/>
        <v/>
      </c>
      <c r="O4117" t="str">
        <f>IFERROR(VLOOKUP($A4117,Accounts!$A:$G,8,FALSE),"")</f>
        <v/>
      </c>
    </row>
    <row r="4118" spans="1:15" x14ac:dyDescent="0.2">
      <c r="A4118" t="str">
        <f t="shared" si="63"/>
        <v/>
      </c>
      <c r="O4118" t="str">
        <f>IFERROR(VLOOKUP($A4118,Accounts!$A:$G,8,FALSE),"")</f>
        <v/>
      </c>
    </row>
    <row r="4119" spans="1:15" x14ac:dyDescent="0.2">
      <c r="A4119" t="str">
        <f t="shared" si="63"/>
        <v/>
      </c>
      <c r="O4119" t="str">
        <f>IFERROR(VLOOKUP($A4119,Accounts!$A:$G,8,FALSE),"")</f>
        <v/>
      </c>
    </row>
    <row r="4120" spans="1:15" x14ac:dyDescent="0.2">
      <c r="A4120" t="str">
        <f t="shared" si="63"/>
        <v/>
      </c>
      <c r="O4120" t="str">
        <f>IFERROR(VLOOKUP($A4120,Accounts!$A:$G,8,FALSE),"")</f>
        <v/>
      </c>
    </row>
    <row r="4121" spans="1:15" x14ac:dyDescent="0.2">
      <c r="A4121" t="str">
        <f t="shared" si="63"/>
        <v/>
      </c>
      <c r="O4121" t="str">
        <f>IFERROR(VLOOKUP($A4121,Accounts!$A:$G,8,FALSE),"")</f>
        <v/>
      </c>
    </row>
    <row r="4122" spans="1:15" x14ac:dyDescent="0.2">
      <c r="A4122" t="str">
        <f t="shared" si="63"/>
        <v/>
      </c>
      <c r="O4122" t="str">
        <f>IFERROR(VLOOKUP($A4122,Accounts!$A:$G,8,FALSE),"")</f>
        <v/>
      </c>
    </row>
    <row r="4123" spans="1:15" x14ac:dyDescent="0.2">
      <c r="A4123" t="str">
        <f t="shared" si="63"/>
        <v/>
      </c>
      <c r="O4123" t="str">
        <f>IFERROR(VLOOKUP($A4123,Accounts!$A:$G,8,FALSE),"")</f>
        <v/>
      </c>
    </row>
    <row r="4124" spans="1:15" x14ac:dyDescent="0.2">
      <c r="A4124" t="str">
        <f t="shared" si="63"/>
        <v/>
      </c>
      <c r="O4124" t="str">
        <f>IFERROR(VLOOKUP($A4124,Accounts!$A:$G,8,FALSE),"")</f>
        <v/>
      </c>
    </row>
    <row r="4125" spans="1:15" x14ac:dyDescent="0.2">
      <c r="A4125" t="str">
        <f t="shared" si="63"/>
        <v/>
      </c>
      <c r="O4125" t="str">
        <f>IFERROR(VLOOKUP($A4125,Accounts!$A:$G,8,FALSE),"")</f>
        <v/>
      </c>
    </row>
    <row r="4126" spans="1:15" x14ac:dyDescent="0.2">
      <c r="A4126" t="str">
        <f t="shared" si="63"/>
        <v/>
      </c>
      <c r="O4126" t="str">
        <f>IFERROR(VLOOKUP($A4126,Accounts!$A:$G,8,FALSE),"")</f>
        <v/>
      </c>
    </row>
    <row r="4127" spans="1:15" x14ac:dyDescent="0.2">
      <c r="A4127" t="str">
        <f t="shared" si="63"/>
        <v/>
      </c>
      <c r="O4127" t="str">
        <f>IFERROR(VLOOKUP($A4127,Accounts!$A:$G,8,FALSE),"")</f>
        <v/>
      </c>
    </row>
    <row r="4128" spans="1:15" x14ac:dyDescent="0.2">
      <c r="A4128" t="str">
        <f t="shared" si="63"/>
        <v/>
      </c>
      <c r="O4128" t="str">
        <f>IFERROR(VLOOKUP($A4128,Accounts!$A:$G,8,FALSE),"")</f>
        <v/>
      </c>
    </row>
    <row r="4129" spans="1:15" x14ac:dyDescent="0.2">
      <c r="A4129" t="str">
        <f t="shared" si="63"/>
        <v/>
      </c>
      <c r="O4129" t="str">
        <f>IFERROR(VLOOKUP($A4129,Accounts!$A:$G,8,FALSE),"")</f>
        <v/>
      </c>
    </row>
    <row r="4130" spans="1:15" x14ac:dyDescent="0.2">
      <c r="A4130" t="str">
        <f t="shared" si="63"/>
        <v/>
      </c>
      <c r="O4130" t="str">
        <f>IFERROR(VLOOKUP($A4130,Accounts!$A:$G,8,FALSE),"")</f>
        <v/>
      </c>
    </row>
    <row r="4131" spans="1:15" x14ac:dyDescent="0.2">
      <c r="A4131" t="str">
        <f t="shared" si="63"/>
        <v/>
      </c>
      <c r="O4131" t="str">
        <f>IFERROR(VLOOKUP($A4131,Accounts!$A:$G,8,FALSE),"")</f>
        <v/>
      </c>
    </row>
    <row r="4132" spans="1:15" x14ac:dyDescent="0.2">
      <c r="A4132" t="str">
        <f t="shared" si="63"/>
        <v/>
      </c>
      <c r="O4132" t="str">
        <f>IFERROR(VLOOKUP($A4132,Accounts!$A:$G,8,FALSE),"")</f>
        <v/>
      </c>
    </row>
    <row r="4133" spans="1:15" x14ac:dyDescent="0.2">
      <c r="A4133" t="str">
        <f t="shared" si="63"/>
        <v/>
      </c>
      <c r="O4133" t="str">
        <f>IFERROR(VLOOKUP($A4133,Accounts!$A:$G,8,FALSE),"")</f>
        <v/>
      </c>
    </row>
    <row r="4134" spans="1:15" x14ac:dyDescent="0.2">
      <c r="A4134" t="str">
        <f t="shared" si="63"/>
        <v/>
      </c>
      <c r="O4134" t="str">
        <f>IFERROR(VLOOKUP($A4134,Accounts!$A:$G,8,FALSE),"")</f>
        <v/>
      </c>
    </row>
    <row r="4135" spans="1:15" x14ac:dyDescent="0.2">
      <c r="A4135" t="str">
        <f t="shared" si="63"/>
        <v/>
      </c>
      <c r="O4135" t="str">
        <f>IFERROR(VLOOKUP($A4135,Accounts!$A:$G,8,FALSE),"")</f>
        <v/>
      </c>
    </row>
    <row r="4136" spans="1:15" x14ac:dyDescent="0.2">
      <c r="A4136" t="str">
        <f t="shared" si="63"/>
        <v/>
      </c>
      <c r="O4136" t="str">
        <f>IFERROR(VLOOKUP($A4136,Accounts!$A:$G,8,FALSE),"")</f>
        <v/>
      </c>
    </row>
    <row r="4137" spans="1:15" x14ac:dyDescent="0.2">
      <c r="A4137" t="str">
        <f t="shared" si="63"/>
        <v/>
      </c>
      <c r="O4137" t="str">
        <f>IFERROR(VLOOKUP($A4137,Accounts!$A:$G,8,FALSE),"")</f>
        <v/>
      </c>
    </row>
    <row r="4138" spans="1:15" x14ac:dyDescent="0.2">
      <c r="A4138" t="str">
        <f t="shared" si="63"/>
        <v/>
      </c>
      <c r="O4138" t="str">
        <f>IFERROR(VLOOKUP($A4138,Accounts!$A:$G,8,FALSE),"")</f>
        <v/>
      </c>
    </row>
    <row r="4139" spans="1:15" x14ac:dyDescent="0.2">
      <c r="A4139" t="str">
        <f t="shared" si="63"/>
        <v/>
      </c>
      <c r="O4139" t="str">
        <f>IFERROR(VLOOKUP($A4139,Accounts!$A:$G,8,FALSE),"")</f>
        <v/>
      </c>
    </row>
    <row r="4140" spans="1:15" x14ac:dyDescent="0.2">
      <c r="A4140" t="str">
        <f t="shared" si="63"/>
        <v/>
      </c>
      <c r="O4140" t="str">
        <f>IFERROR(VLOOKUP($A4140,Accounts!$A:$G,8,FALSE),"")</f>
        <v/>
      </c>
    </row>
    <row r="4141" spans="1:15" x14ac:dyDescent="0.2">
      <c r="A4141" t="str">
        <f t="shared" si="63"/>
        <v/>
      </c>
      <c r="O4141" t="str">
        <f>IFERROR(VLOOKUP($A4141,Accounts!$A:$G,8,FALSE),"")</f>
        <v/>
      </c>
    </row>
    <row r="4142" spans="1:15" x14ac:dyDescent="0.2">
      <c r="A4142" t="str">
        <f t="shared" si="63"/>
        <v/>
      </c>
      <c r="O4142" t="str">
        <f>IFERROR(VLOOKUP($A4142,Accounts!$A:$G,8,FALSE),"")</f>
        <v/>
      </c>
    </row>
    <row r="4143" spans="1:15" x14ac:dyDescent="0.2">
      <c r="A4143" t="str">
        <f t="shared" si="63"/>
        <v/>
      </c>
      <c r="O4143" t="str">
        <f>IFERROR(VLOOKUP($A4143,Accounts!$A:$G,8,FALSE),"")</f>
        <v/>
      </c>
    </row>
    <row r="4144" spans="1:15" x14ac:dyDescent="0.2">
      <c r="A4144" t="str">
        <f t="shared" si="63"/>
        <v/>
      </c>
      <c r="O4144" t="str">
        <f>IFERROR(VLOOKUP($A4144,Accounts!$A:$G,8,FALSE),"")</f>
        <v/>
      </c>
    </row>
    <row r="4145" spans="1:15" x14ac:dyDescent="0.2">
      <c r="A4145" t="str">
        <f t="shared" si="63"/>
        <v/>
      </c>
      <c r="O4145" t="str">
        <f>IFERROR(VLOOKUP($A4145,Accounts!$A:$G,8,FALSE),"")</f>
        <v/>
      </c>
    </row>
    <row r="4146" spans="1:15" x14ac:dyDescent="0.2">
      <c r="A4146" t="str">
        <f t="shared" si="63"/>
        <v/>
      </c>
      <c r="O4146" t="str">
        <f>IFERROR(VLOOKUP($A4146,Accounts!$A:$G,8,FALSE),"")</f>
        <v/>
      </c>
    </row>
    <row r="4147" spans="1:15" x14ac:dyDescent="0.2">
      <c r="A4147" t="str">
        <f t="shared" si="63"/>
        <v/>
      </c>
      <c r="O4147" t="str">
        <f>IFERROR(VLOOKUP($A4147,Accounts!$A:$G,8,FALSE),"")</f>
        <v/>
      </c>
    </row>
    <row r="4148" spans="1:15" x14ac:dyDescent="0.2">
      <c r="A4148" t="str">
        <f t="shared" si="63"/>
        <v/>
      </c>
      <c r="O4148" t="str">
        <f>IFERROR(VLOOKUP($A4148,Accounts!$A:$G,8,FALSE),"")</f>
        <v/>
      </c>
    </row>
    <row r="4149" spans="1:15" x14ac:dyDescent="0.2">
      <c r="A4149" t="str">
        <f t="shared" si="63"/>
        <v/>
      </c>
      <c r="O4149" t="str">
        <f>IFERROR(VLOOKUP($A4149,Accounts!$A:$G,8,FALSE),"")</f>
        <v/>
      </c>
    </row>
    <row r="4150" spans="1:15" x14ac:dyDescent="0.2">
      <c r="A4150" t="str">
        <f t="shared" si="63"/>
        <v/>
      </c>
      <c r="O4150" t="str">
        <f>IFERROR(VLOOKUP($A4150,Accounts!$A:$G,8,FALSE),"")</f>
        <v/>
      </c>
    </row>
    <row r="4151" spans="1:15" x14ac:dyDescent="0.2">
      <c r="A4151" t="str">
        <f t="shared" si="63"/>
        <v/>
      </c>
      <c r="O4151" t="str">
        <f>IFERROR(VLOOKUP($A4151,Accounts!$A:$G,8,FALSE),"")</f>
        <v/>
      </c>
    </row>
    <row r="4152" spans="1:15" x14ac:dyDescent="0.2">
      <c r="A4152" t="str">
        <f t="shared" si="63"/>
        <v/>
      </c>
      <c r="O4152" t="str">
        <f>IFERROR(VLOOKUP($A4152,Accounts!$A:$G,8,FALSE),"")</f>
        <v/>
      </c>
    </row>
    <row r="4153" spans="1:15" x14ac:dyDescent="0.2">
      <c r="A4153" t="str">
        <f t="shared" si="63"/>
        <v/>
      </c>
      <c r="O4153" t="str">
        <f>IFERROR(VLOOKUP($A4153,Accounts!$A:$G,8,FALSE),"")</f>
        <v/>
      </c>
    </row>
    <row r="4154" spans="1:15" x14ac:dyDescent="0.2">
      <c r="A4154" t="str">
        <f t="shared" si="63"/>
        <v/>
      </c>
      <c r="O4154" t="str">
        <f>IFERROR(VLOOKUP($A4154,Accounts!$A:$G,8,FALSE),"")</f>
        <v/>
      </c>
    </row>
    <row r="4155" spans="1:15" x14ac:dyDescent="0.2">
      <c r="A4155" t="str">
        <f t="shared" si="63"/>
        <v/>
      </c>
      <c r="O4155" t="str">
        <f>IFERROR(VLOOKUP($A4155,Accounts!$A:$G,8,FALSE),"")</f>
        <v/>
      </c>
    </row>
    <row r="4156" spans="1:15" x14ac:dyDescent="0.2">
      <c r="A4156" t="str">
        <f t="shared" si="63"/>
        <v/>
      </c>
      <c r="O4156" t="str">
        <f>IFERROR(VLOOKUP($A4156,Accounts!$A:$G,8,FALSE),"")</f>
        <v/>
      </c>
    </row>
    <row r="4157" spans="1:15" x14ac:dyDescent="0.2">
      <c r="A4157" t="str">
        <f t="shared" si="63"/>
        <v/>
      </c>
      <c r="O4157" t="str">
        <f>IFERROR(VLOOKUP($A4157,Accounts!$A:$G,8,FALSE),"")</f>
        <v/>
      </c>
    </row>
    <row r="4158" spans="1:15" x14ac:dyDescent="0.2">
      <c r="A4158" t="str">
        <f t="shared" si="63"/>
        <v/>
      </c>
      <c r="O4158" t="str">
        <f>IFERROR(VLOOKUP($A4158,Accounts!$A:$G,8,FALSE),"")</f>
        <v/>
      </c>
    </row>
    <row r="4159" spans="1:15" x14ac:dyDescent="0.2">
      <c r="A4159" t="str">
        <f t="shared" si="63"/>
        <v/>
      </c>
      <c r="O4159" t="str">
        <f>IFERROR(VLOOKUP($A4159,Accounts!$A:$G,8,FALSE),"")</f>
        <v/>
      </c>
    </row>
    <row r="4160" spans="1:15" x14ac:dyDescent="0.2">
      <c r="A4160" t="str">
        <f t="shared" si="63"/>
        <v/>
      </c>
      <c r="O4160" t="str">
        <f>IFERROR(VLOOKUP($A4160,Accounts!$A:$G,8,FALSE),"")</f>
        <v/>
      </c>
    </row>
    <row r="4161" spans="1:15" x14ac:dyDescent="0.2">
      <c r="A4161" t="str">
        <f t="shared" si="63"/>
        <v/>
      </c>
      <c r="O4161" t="str">
        <f>IFERROR(VLOOKUP($A4161,Accounts!$A:$G,8,FALSE),"")</f>
        <v/>
      </c>
    </row>
    <row r="4162" spans="1:15" x14ac:dyDescent="0.2">
      <c r="A4162" t="str">
        <f t="shared" si="63"/>
        <v/>
      </c>
      <c r="O4162" t="str">
        <f>IFERROR(VLOOKUP($A4162,Accounts!$A:$G,8,FALSE),"")</f>
        <v/>
      </c>
    </row>
    <row r="4163" spans="1:15" x14ac:dyDescent="0.2">
      <c r="A4163" t="str">
        <f t="shared" ref="A4163:A4226" si="64">IFERROR(IF(J4163=0,B4163&amp;D4163&amp;I4163&amp;E4163,C4163&amp;D4163&amp;J4163&amp;G4163),"")</f>
        <v/>
      </c>
      <c r="O4163" t="str">
        <f>IFERROR(VLOOKUP($A4163,Accounts!$A:$G,8,FALSE),"")</f>
        <v/>
      </c>
    </row>
    <row r="4164" spans="1:15" x14ac:dyDescent="0.2">
      <c r="A4164" t="str">
        <f t="shared" si="64"/>
        <v/>
      </c>
      <c r="O4164" t="str">
        <f>IFERROR(VLOOKUP($A4164,Accounts!$A:$G,8,FALSE),"")</f>
        <v/>
      </c>
    </row>
    <row r="4165" spans="1:15" x14ac:dyDescent="0.2">
      <c r="A4165" t="str">
        <f t="shared" si="64"/>
        <v/>
      </c>
      <c r="O4165" t="str">
        <f>IFERROR(VLOOKUP($A4165,Accounts!$A:$G,8,FALSE),"")</f>
        <v/>
      </c>
    </row>
    <row r="4166" spans="1:15" x14ac:dyDescent="0.2">
      <c r="A4166" t="str">
        <f t="shared" si="64"/>
        <v/>
      </c>
      <c r="O4166" t="str">
        <f>IFERROR(VLOOKUP($A4166,Accounts!$A:$G,8,FALSE),"")</f>
        <v/>
      </c>
    </row>
    <row r="4167" spans="1:15" x14ac:dyDescent="0.2">
      <c r="A4167" t="str">
        <f t="shared" si="64"/>
        <v/>
      </c>
      <c r="O4167" t="str">
        <f>IFERROR(VLOOKUP($A4167,Accounts!$A:$G,8,FALSE),"")</f>
        <v/>
      </c>
    </row>
    <row r="4168" spans="1:15" x14ac:dyDescent="0.2">
      <c r="A4168" t="str">
        <f t="shared" si="64"/>
        <v/>
      </c>
      <c r="O4168" t="str">
        <f>IFERROR(VLOOKUP($A4168,Accounts!$A:$G,8,FALSE),"")</f>
        <v/>
      </c>
    </row>
    <row r="4169" spans="1:15" x14ac:dyDescent="0.2">
      <c r="A4169" t="str">
        <f t="shared" si="64"/>
        <v/>
      </c>
      <c r="O4169" t="str">
        <f>IFERROR(VLOOKUP($A4169,Accounts!$A:$G,8,FALSE),"")</f>
        <v/>
      </c>
    </row>
    <row r="4170" spans="1:15" x14ac:dyDescent="0.2">
      <c r="A4170" t="str">
        <f t="shared" si="64"/>
        <v/>
      </c>
      <c r="O4170" t="str">
        <f>IFERROR(VLOOKUP($A4170,Accounts!$A:$G,8,FALSE),"")</f>
        <v/>
      </c>
    </row>
    <row r="4171" spans="1:15" x14ac:dyDescent="0.2">
      <c r="A4171" t="str">
        <f t="shared" si="64"/>
        <v/>
      </c>
      <c r="O4171" t="str">
        <f>IFERROR(VLOOKUP($A4171,Accounts!$A:$G,8,FALSE),"")</f>
        <v/>
      </c>
    </row>
    <row r="4172" spans="1:15" x14ac:dyDescent="0.2">
      <c r="A4172" t="str">
        <f t="shared" si="64"/>
        <v/>
      </c>
      <c r="O4172" t="str">
        <f>IFERROR(VLOOKUP($A4172,Accounts!$A:$G,8,FALSE),"")</f>
        <v/>
      </c>
    </row>
    <row r="4173" spans="1:15" x14ac:dyDescent="0.2">
      <c r="A4173" t="str">
        <f t="shared" si="64"/>
        <v/>
      </c>
      <c r="O4173" t="str">
        <f>IFERROR(VLOOKUP($A4173,Accounts!$A:$G,8,FALSE),"")</f>
        <v/>
      </c>
    </row>
    <row r="4174" spans="1:15" x14ac:dyDescent="0.2">
      <c r="A4174" t="str">
        <f t="shared" si="64"/>
        <v/>
      </c>
      <c r="O4174" t="str">
        <f>IFERROR(VLOOKUP($A4174,Accounts!$A:$G,8,FALSE),"")</f>
        <v/>
      </c>
    </row>
    <row r="4175" spans="1:15" x14ac:dyDescent="0.2">
      <c r="A4175" t="str">
        <f t="shared" si="64"/>
        <v/>
      </c>
      <c r="O4175" t="str">
        <f>IFERROR(VLOOKUP($A4175,Accounts!$A:$G,8,FALSE),"")</f>
        <v/>
      </c>
    </row>
    <row r="4176" spans="1:15" x14ac:dyDescent="0.2">
      <c r="A4176" t="str">
        <f t="shared" si="64"/>
        <v/>
      </c>
      <c r="O4176" t="str">
        <f>IFERROR(VLOOKUP($A4176,Accounts!$A:$G,8,FALSE),"")</f>
        <v/>
      </c>
    </row>
    <row r="4177" spans="1:15" x14ac:dyDescent="0.2">
      <c r="A4177" t="str">
        <f t="shared" si="64"/>
        <v/>
      </c>
      <c r="O4177" t="str">
        <f>IFERROR(VLOOKUP($A4177,Accounts!$A:$G,8,FALSE),"")</f>
        <v/>
      </c>
    </row>
    <row r="4178" spans="1:15" x14ac:dyDescent="0.2">
      <c r="A4178" t="str">
        <f t="shared" si="64"/>
        <v/>
      </c>
      <c r="O4178" t="str">
        <f>IFERROR(VLOOKUP($A4178,Accounts!$A:$G,8,FALSE),"")</f>
        <v/>
      </c>
    </row>
    <row r="4179" spans="1:15" x14ac:dyDescent="0.2">
      <c r="A4179" t="str">
        <f t="shared" si="64"/>
        <v/>
      </c>
      <c r="O4179" t="str">
        <f>IFERROR(VLOOKUP($A4179,Accounts!$A:$G,8,FALSE),"")</f>
        <v/>
      </c>
    </row>
    <row r="4180" spans="1:15" x14ac:dyDescent="0.2">
      <c r="A4180" t="str">
        <f t="shared" si="64"/>
        <v/>
      </c>
      <c r="O4180" t="str">
        <f>IFERROR(VLOOKUP($A4180,Accounts!$A:$G,8,FALSE),"")</f>
        <v/>
      </c>
    </row>
    <row r="4181" spans="1:15" x14ac:dyDescent="0.2">
      <c r="A4181" t="str">
        <f t="shared" si="64"/>
        <v/>
      </c>
      <c r="O4181" t="str">
        <f>IFERROR(VLOOKUP($A4181,Accounts!$A:$G,8,FALSE),"")</f>
        <v/>
      </c>
    </row>
    <row r="4182" spans="1:15" x14ac:dyDescent="0.2">
      <c r="A4182" t="str">
        <f t="shared" si="64"/>
        <v/>
      </c>
      <c r="O4182" t="str">
        <f>IFERROR(VLOOKUP($A4182,Accounts!$A:$G,8,FALSE),"")</f>
        <v/>
      </c>
    </row>
    <row r="4183" spans="1:15" x14ac:dyDescent="0.2">
      <c r="A4183" t="str">
        <f t="shared" si="64"/>
        <v/>
      </c>
      <c r="O4183" t="str">
        <f>IFERROR(VLOOKUP($A4183,Accounts!$A:$G,8,FALSE),"")</f>
        <v/>
      </c>
    </row>
    <row r="4184" spans="1:15" x14ac:dyDescent="0.2">
      <c r="A4184" t="str">
        <f t="shared" si="64"/>
        <v/>
      </c>
      <c r="O4184" t="str">
        <f>IFERROR(VLOOKUP($A4184,Accounts!$A:$G,8,FALSE),"")</f>
        <v/>
      </c>
    </row>
    <row r="4185" spans="1:15" x14ac:dyDescent="0.2">
      <c r="A4185" t="str">
        <f t="shared" si="64"/>
        <v/>
      </c>
      <c r="O4185" t="str">
        <f>IFERROR(VLOOKUP($A4185,Accounts!$A:$G,8,FALSE),"")</f>
        <v/>
      </c>
    </row>
    <row r="4186" spans="1:15" x14ac:dyDescent="0.2">
      <c r="A4186" t="str">
        <f t="shared" si="64"/>
        <v/>
      </c>
      <c r="O4186" t="str">
        <f>IFERROR(VLOOKUP($A4186,Accounts!$A:$G,8,FALSE),"")</f>
        <v/>
      </c>
    </row>
    <row r="4187" spans="1:15" x14ac:dyDescent="0.2">
      <c r="A4187" t="str">
        <f t="shared" si="64"/>
        <v/>
      </c>
      <c r="O4187" t="str">
        <f>IFERROR(VLOOKUP($A4187,Accounts!$A:$G,8,FALSE),"")</f>
        <v/>
      </c>
    </row>
    <row r="4188" spans="1:15" x14ac:dyDescent="0.2">
      <c r="A4188" t="str">
        <f t="shared" si="64"/>
        <v/>
      </c>
      <c r="O4188" t="str">
        <f>IFERROR(VLOOKUP($A4188,Accounts!$A:$G,8,FALSE),"")</f>
        <v/>
      </c>
    </row>
    <row r="4189" spans="1:15" x14ac:dyDescent="0.2">
      <c r="A4189" t="str">
        <f t="shared" si="64"/>
        <v/>
      </c>
      <c r="O4189" t="str">
        <f>IFERROR(VLOOKUP($A4189,Accounts!$A:$G,8,FALSE),"")</f>
        <v/>
      </c>
    </row>
    <row r="4190" spans="1:15" x14ac:dyDescent="0.2">
      <c r="A4190" t="str">
        <f t="shared" si="64"/>
        <v/>
      </c>
      <c r="O4190" t="str">
        <f>IFERROR(VLOOKUP($A4190,Accounts!$A:$G,8,FALSE),"")</f>
        <v/>
      </c>
    </row>
    <row r="4191" spans="1:15" x14ac:dyDescent="0.2">
      <c r="A4191" t="str">
        <f t="shared" si="64"/>
        <v/>
      </c>
      <c r="O4191" t="str">
        <f>IFERROR(VLOOKUP($A4191,Accounts!$A:$G,8,FALSE),"")</f>
        <v/>
      </c>
    </row>
    <row r="4192" spans="1:15" x14ac:dyDescent="0.2">
      <c r="A4192" t="str">
        <f t="shared" si="64"/>
        <v/>
      </c>
      <c r="O4192" t="str">
        <f>IFERROR(VLOOKUP($A4192,Accounts!$A:$G,8,FALSE),"")</f>
        <v/>
      </c>
    </row>
    <row r="4193" spans="1:15" x14ac:dyDescent="0.2">
      <c r="A4193" t="str">
        <f t="shared" si="64"/>
        <v/>
      </c>
      <c r="O4193" t="str">
        <f>IFERROR(VLOOKUP($A4193,Accounts!$A:$G,8,FALSE),"")</f>
        <v/>
      </c>
    </row>
    <row r="4194" spans="1:15" x14ac:dyDescent="0.2">
      <c r="A4194" t="str">
        <f t="shared" si="64"/>
        <v/>
      </c>
      <c r="O4194" t="str">
        <f>IFERROR(VLOOKUP($A4194,Accounts!$A:$G,8,FALSE),"")</f>
        <v/>
      </c>
    </row>
    <row r="4195" spans="1:15" x14ac:dyDescent="0.2">
      <c r="A4195" t="str">
        <f t="shared" si="64"/>
        <v/>
      </c>
      <c r="O4195" t="str">
        <f>IFERROR(VLOOKUP($A4195,Accounts!$A:$G,8,FALSE),"")</f>
        <v/>
      </c>
    </row>
    <row r="4196" spans="1:15" x14ac:dyDescent="0.2">
      <c r="A4196" t="str">
        <f t="shared" si="64"/>
        <v/>
      </c>
      <c r="O4196" t="str">
        <f>IFERROR(VLOOKUP($A4196,Accounts!$A:$G,8,FALSE),"")</f>
        <v/>
      </c>
    </row>
    <row r="4197" spans="1:15" x14ac:dyDescent="0.2">
      <c r="A4197" t="str">
        <f t="shared" si="64"/>
        <v/>
      </c>
      <c r="O4197" t="str">
        <f>IFERROR(VLOOKUP($A4197,Accounts!$A:$G,8,FALSE),"")</f>
        <v/>
      </c>
    </row>
    <row r="4198" spans="1:15" x14ac:dyDescent="0.2">
      <c r="A4198" t="str">
        <f t="shared" si="64"/>
        <v/>
      </c>
      <c r="O4198" t="str">
        <f>IFERROR(VLOOKUP($A4198,Accounts!$A:$G,8,FALSE),"")</f>
        <v/>
      </c>
    </row>
    <row r="4199" spans="1:15" x14ac:dyDescent="0.2">
      <c r="A4199" t="str">
        <f t="shared" si="64"/>
        <v/>
      </c>
      <c r="O4199" t="str">
        <f>IFERROR(VLOOKUP($A4199,Accounts!$A:$G,8,FALSE),"")</f>
        <v/>
      </c>
    </row>
    <row r="4200" spans="1:15" x14ac:dyDescent="0.2">
      <c r="A4200" t="str">
        <f t="shared" si="64"/>
        <v/>
      </c>
      <c r="O4200" t="str">
        <f>IFERROR(VLOOKUP($A4200,Accounts!$A:$G,8,FALSE),"")</f>
        <v/>
      </c>
    </row>
    <row r="4201" spans="1:15" x14ac:dyDescent="0.2">
      <c r="A4201" t="str">
        <f t="shared" si="64"/>
        <v/>
      </c>
      <c r="O4201" t="str">
        <f>IFERROR(VLOOKUP($A4201,Accounts!$A:$G,8,FALSE),"")</f>
        <v/>
      </c>
    </row>
    <row r="4202" spans="1:15" x14ac:dyDescent="0.2">
      <c r="A4202" t="str">
        <f t="shared" si="64"/>
        <v/>
      </c>
      <c r="O4202" t="str">
        <f>IFERROR(VLOOKUP($A4202,Accounts!$A:$G,8,FALSE),"")</f>
        <v/>
      </c>
    </row>
    <row r="4203" spans="1:15" x14ac:dyDescent="0.2">
      <c r="A4203" t="str">
        <f t="shared" si="64"/>
        <v/>
      </c>
      <c r="O4203" t="str">
        <f>IFERROR(VLOOKUP($A4203,Accounts!$A:$G,8,FALSE),"")</f>
        <v/>
      </c>
    </row>
    <row r="4204" spans="1:15" x14ac:dyDescent="0.2">
      <c r="A4204" t="str">
        <f t="shared" si="64"/>
        <v/>
      </c>
      <c r="O4204" t="str">
        <f>IFERROR(VLOOKUP($A4204,Accounts!$A:$G,8,FALSE),"")</f>
        <v/>
      </c>
    </row>
    <row r="4205" spans="1:15" x14ac:dyDescent="0.2">
      <c r="A4205" t="str">
        <f t="shared" si="64"/>
        <v/>
      </c>
      <c r="O4205" t="str">
        <f>IFERROR(VLOOKUP($A4205,Accounts!$A:$G,8,FALSE),"")</f>
        <v/>
      </c>
    </row>
    <row r="4206" spans="1:15" x14ac:dyDescent="0.2">
      <c r="A4206" t="str">
        <f t="shared" si="64"/>
        <v/>
      </c>
      <c r="O4206" t="str">
        <f>IFERROR(VLOOKUP($A4206,Accounts!$A:$G,8,FALSE),"")</f>
        <v/>
      </c>
    </row>
    <row r="4207" spans="1:15" x14ac:dyDescent="0.2">
      <c r="A4207" t="str">
        <f t="shared" si="64"/>
        <v/>
      </c>
      <c r="O4207" t="str">
        <f>IFERROR(VLOOKUP($A4207,Accounts!$A:$G,8,FALSE),"")</f>
        <v/>
      </c>
    </row>
    <row r="4208" spans="1:15" x14ac:dyDescent="0.2">
      <c r="A4208" t="str">
        <f t="shared" si="64"/>
        <v/>
      </c>
      <c r="O4208" t="str">
        <f>IFERROR(VLOOKUP($A4208,Accounts!$A:$G,8,FALSE),"")</f>
        <v/>
      </c>
    </row>
    <row r="4209" spans="1:15" x14ac:dyDescent="0.2">
      <c r="A4209" t="str">
        <f t="shared" si="64"/>
        <v/>
      </c>
      <c r="O4209" t="str">
        <f>IFERROR(VLOOKUP($A4209,Accounts!$A:$G,8,FALSE),"")</f>
        <v/>
      </c>
    </row>
    <row r="4210" spans="1:15" x14ac:dyDescent="0.2">
      <c r="A4210" t="str">
        <f t="shared" si="64"/>
        <v/>
      </c>
      <c r="O4210" t="str">
        <f>IFERROR(VLOOKUP($A4210,Accounts!$A:$G,8,FALSE),"")</f>
        <v/>
      </c>
    </row>
    <row r="4211" spans="1:15" x14ac:dyDescent="0.2">
      <c r="A4211" t="str">
        <f t="shared" si="64"/>
        <v/>
      </c>
      <c r="O4211" t="str">
        <f>IFERROR(VLOOKUP($A4211,Accounts!$A:$G,8,FALSE),"")</f>
        <v/>
      </c>
    </row>
    <row r="4212" spans="1:15" x14ac:dyDescent="0.2">
      <c r="A4212" t="str">
        <f t="shared" si="64"/>
        <v/>
      </c>
      <c r="O4212" t="str">
        <f>IFERROR(VLOOKUP($A4212,Accounts!$A:$G,8,FALSE),"")</f>
        <v/>
      </c>
    </row>
    <row r="4213" spans="1:15" x14ac:dyDescent="0.2">
      <c r="A4213" t="str">
        <f t="shared" si="64"/>
        <v/>
      </c>
      <c r="O4213" t="str">
        <f>IFERROR(VLOOKUP($A4213,Accounts!$A:$G,8,FALSE),"")</f>
        <v/>
      </c>
    </row>
    <row r="4214" spans="1:15" x14ac:dyDescent="0.2">
      <c r="A4214" t="str">
        <f t="shared" si="64"/>
        <v/>
      </c>
      <c r="O4214" t="str">
        <f>IFERROR(VLOOKUP($A4214,Accounts!$A:$G,8,FALSE),"")</f>
        <v/>
      </c>
    </row>
    <row r="4215" spans="1:15" x14ac:dyDescent="0.2">
      <c r="A4215" t="str">
        <f t="shared" si="64"/>
        <v/>
      </c>
      <c r="O4215" t="str">
        <f>IFERROR(VLOOKUP($A4215,Accounts!$A:$G,8,FALSE),"")</f>
        <v/>
      </c>
    </row>
    <row r="4216" spans="1:15" x14ac:dyDescent="0.2">
      <c r="A4216" t="str">
        <f t="shared" si="64"/>
        <v/>
      </c>
      <c r="O4216" t="str">
        <f>IFERROR(VLOOKUP($A4216,Accounts!$A:$G,8,FALSE),"")</f>
        <v/>
      </c>
    </row>
    <row r="4217" spans="1:15" x14ac:dyDescent="0.2">
      <c r="A4217" t="str">
        <f t="shared" si="64"/>
        <v/>
      </c>
      <c r="O4217" t="str">
        <f>IFERROR(VLOOKUP($A4217,Accounts!$A:$G,8,FALSE),"")</f>
        <v/>
      </c>
    </row>
    <row r="4218" spans="1:15" x14ac:dyDescent="0.2">
      <c r="A4218" t="str">
        <f t="shared" si="64"/>
        <v/>
      </c>
      <c r="O4218" t="str">
        <f>IFERROR(VLOOKUP($A4218,Accounts!$A:$G,8,FALSE),"")</f>
        <v/>
      </c>
    </row>
    <row r="4219" spans="1:15" x14ac:dyDescent="0.2">
      <c r="A4219" t="str">
        <f t="shared" si="64"/>
        <v/>
      </c>
      <c r="O4219" t="str">
        <f>IFERROR(VLOOKUP($A4219,Accounts!$A:$G,8,FALSE),"")</f>
        <v/>
      </c>
    </row>
    <row r="4220" spans="1:15" x14ac:dyDescent="0.2">
      <c r="A4220" t="str">
        <f t="shared" si="64"/>
        <v/>
      </c>
      <c r="O4220" t="str">
        <f>IFERROR(VLOOKUP($A4220,Accounts!$A:$G,8,FALSE),"")</f>
        <v/>
      </c>
    </row>
    <row r="4221" spans="1:15" x14ac:dyDescent="0.2">
      <c r="A4221" t="str">
        <f t="shared" si="64"/>
        <v/>
      </c>
      <c r="O4221" t="str">
        <f>IFERROR(VLOOKUP($A4221,Accounts!$A:$G,8,FALSE),"")</f>
        <v/>
      </c>
    </row>
    <row r="4222" spans="1:15" x14ac:dyDescent="0.2">
      <c r="A4222" t="str">
        <f t="shared" si="64"/>
        <v/>
      </c>
      <c r="O4222" t="str">
        <f>IFERROR(VLOOKUP($A4222,Accounts!$A:$G,8,FALSE),"")</f>
        <v/>
      </c>
    </row>
    <row r="4223" spans="1:15" x14ac:dyDescent="0.2">
      <c r="A4223" t="str">
        <f t="shared" si="64"/>
        <v/>
      </c>
      <c r="O4223" t="str">
        <f>IFERROR(VLOOKUP($A4223,Accounts!$A:$G,8,FALSE),"")</f>
        <v/>
      </c>
    </row>
    <row r="4224" spans="1:15" x14ac:dyDescent="0.2">
      <c r="A4224" t="str">
        <f t="shared" si="64"/>
        <v/>
      </c>
      <c r="O4224" t="str">
        <f>IFERROR(VLOOKUP($A4224,Accounts!$A:$G,8,FALSE),"")</f>
        <v/>
      </c>
    </row>
    <row r="4225" spans="1:15" x14ac:dyDescent="0.2">
      <c r="A4225" t="str">
        <f t="shared" si="64"/>
        <v/>
      </c>
      <c r="O4225" t="str">
        <f>IFERROR(VLOOKUP($A4225,Accounts!$A:$G,8,FALSE),"")</f>
        <v/>
      </c>
    </row>
    <row r="4226" spans="1:15" x14ac:dyDescent="0.2">
      <c r="A4226" t="str">
        <f t="shared" si="64"/>
        <v/>
      </c>
      <c r="O4226" t="str">
        <f>IFERROR(VLOOKUP($A4226,Accounts!$A:$G,8,FALSE),"")</f>
        <v/>
      </c>
    </row>
    <row r="4227" spans="1:15" x14ac:dyDescent="0.2">
      <c r="A4227" t="str">
        <f t="shared" ref="A4227:A4290" si="65">IFERROR(IF(J4227=0,B4227&amp;D4227&amp;I4227&amp;E4227,C4227&amp;D4227&amp;J4227&amp;G4227),"")</f>
        <v/>
      </c>
      <c r="O4227" t="str">
        <f>IFERROR(VLOOKUP($A4227,Accounts!$A:$G,8,FALSE),"")</f>
        <v/>
      </c>
    </row>
    <row r="4228" spans="1:15" x14ac:dyDescent="0.2">
      <c r="A4228" t="str">
        <f t="shared" si="65"/>
        <v/>
      </c>
      <c r="O4228" t="str">
        <f>IFERROR(VLOOKUP($A4228,Accounts!$A:$G,8,FALSE),"")</f>
        <v/>
      </c>
    </row>
    <row r="4229" spans="1:15" x14ac:dyDescent="0.2">
      <c r="A4229" t="str">
        <f t="shared" si="65"/>
        <v/>
      </c>
      <c r="O4229" t="str">
        <f>IFERROR(VLOOKUP($A4229,Accounts!$A:$G,8,FALSE),"")</f>
        <v/>
      </c>
    </row>
    <row r="4230" spans="1:15" x14ac:dyDescent="0.2">
      <c r="A4230" t="str">
        <f t="shared" si="65"/>
        <v/>
      </c>
      <c r="O4230" t="str">
        <f>IFERROR(VLOOKUP($A4230,Accounts!$A:$G,8,FALSE),"")</f>
        <v/>
      </c>
    </row>
    <row r="4231" spans="1:15" x14ac:dyDescent="0.2">
      <c r="A4231" t="str">
        <f t="shared" si="65"/>
        <v/>
      </c>
      <c r="O4231" t="str">
        <f>IFERROR(VLOOKUP($A4231,Accounts!$A:$G,8,FALSE),"")</f>
        <v/>
      </c>
    </row>
    <row r="4232" spans="1:15" x14ac:dyDescent="0.2">
      <c r="A4232" t="str">
        <f t="shared" si="65"/>
        <v/>
      </c>
      <c r="O4232" t="str">
        <f>IFERROR(VLOOKUP($A4232,Accounts!$A:$G,8,FALSE),"")</f>
        <v/>
      </c>
    </row>
    <row r="4233" spans="1:15" x14ac:dyDescent="0.2">
      <c r="A4233" t="str">
        <f t="shared" si="65"/>
        <v/>
      </c>
      <c r="O4233" t="str">
        <f>IFERROR(VLOOKUP($A4233,Accounts!$A:$G,8,FALSE),"")</f>
        <v/>
      </c>
    </row>
    <row r="4234" spans="1:15" x14ac:dyDescent="0.2">
      <c r="A4234" t="str">
        <f t="shared" si="65"/>
        <v/>
      </c>
      <c r="O4234" t="str">
        <f>IFERROR(VLOOKUP($A4234,Accounts!$A:$G,8,FALSE),"")</f>
        <v/>
      </c>
    </row>
    <row r="4235" spans="1:15" x14ac:dyDescent="0.2">
      <c r="A4235" t="str">
        <f t="shared" si="65"/>
        <v/>
      </c>
      <c r="O4235" t="str">
        <f>IFERROR(VLOOKUP($A4235,Accounts!$A:$G,8,FALSE),"")</f>
        <v/>
      </c>
    </row>
    <row r="4236" spans="1:15" x14ac:dyDescent="0.2">
      <c r="A4236" t="str">
        <f t="shared" si="65"/>
        <v/>
      </c>
      <c r="O4236" t="str">
        <f>IFERROR(VLOOKUP($A4236,Accounts!$A:$G,8,FALSE),"")</f>
        <v/>
      </c>
    </row>
    <row r="4237" spans="1:15" x14ac:dyDescent="0.2">
      <c r="A4237" t="str">
        <f t="shared" si="65"/>
        <v/>
      </c>
      <c r="O4237" t="str">
        <f>IFERROR(VLOOKUP($A4237,Accounts!$A:$G,8,FALSE),"")</f>
        <v/>
      </c>
    </row>
    <row r="4238" spans="1:15" x14ac:dyDescent="0.2">
      <c r="A4238" t="str">
        <f t="shared" si="65"/>
        <v/>
      </c>
      <c r="O4238" t="str">
        <f>IFERROR(VLOOKUP($A4238,Accounts!$A:$G,8,FALSE),"")</f>
        <v/>
      </c>
    </row>
    <row r="4239" spans="1:15" x14ac:dyDescent="0.2">
      <c r="A4239" t="str">
        <f t="shared" si="65"/>
        <v/>
      </c>
      <c r="O4239" t="str">
        <f>IFERROR(VLOOKUP($A4239,Accounts!$A:$G,8,FALSE),"")</f>
        <v/>
      </c>
    </row>
    <row r="4240" spans="1:15" x14ac:dyDescent="0.2">
      <c r="A4240" t="str">
        <f t="shared" si="65"/>
        <v/>
      </c>
      <c r="O4240" t="str">
        <f>IFERROR(VLOOKUP($A4240,Accounts!$A:$G,8,FALSE),"")</f>
        <v/>
      </c>
    </row>
    <row r="4241" spans="1:15" x14ac:dyDescent="0.2">
      <c r="A4241" t="str">
        <f t="shared" si="65"/>
        <v/>
      </c>
      <c r="O4241" t="str">
        <f>IFERROR(VLOOKUP($A4241,Accounts!$A:$G,8,FALSE),"")</f>
        <v/>
      </c>
    </row>
    <row r="4242" spans="1:15" x14ac:dyDescent="0.2">
      <c r="A4242" t="str">
        <f t="shared" si="65"/>
        <v/>
      </c>
      <c r="O4242" t="str">
        <f>IFERROR(VLOOKUP($A4242,Accounts!$A:$G,8,FALSE),"")</f>
        <v/>
      </c>
    </row>
    <row r="4243" spans="1:15" x14ac:dyDescent="0.2">
      <c r="A4243" t="str">
        <f t="shared" si="65"/>
        <v/>
      </c>
      <c r="O4243" t="str">
        <f>IFERROR(VLOOKUP($A4243,Accounts!$A:$G,8,FALSE),"")</f>
        <v/>
      </c>
    </row>
    <row r="4244" spans="1:15" x14ac:dyDescent="0.2">
      <c r="A4244" t="str">
        <f t="shared" si="65"/>
        <v/>
      </c>
      <c r="O4244" t="str">
        <f>IFERROR(VLOOKUP($A4244,Accounts!$A:$G,8,FALSE),"")</f>
        <v/>
      </c>
    </row>
    <row r="4245" spans="1:15" x14ac:dyDescent="0.2">
      <c r="A4245" t="str">
        <f t="shared" si="65"/>
        <v/>
      </c>
      <c r="O4245" t="str">
        <f>IFERROR(VLOOKUP($A4245,Accounts!$A:$G,8,FALSE),"")</f>
        <v/>
      </c>
    </row>
    <row r="4246" spans="1:15" x14ac:dyDescent="0.2">
      <c r="A4246" t="str">
        <f t="shared" si="65"/>
        <v/>
      </c>
      <c r="O4246" t="str">
        <f>IFERROR(VLOOKUP($A4246,Accounts!$A:$G,8,FALSE),"")</f>
        <v/>
      </c>
    </row>
    <row r="4247" spans="1:15" x14ac:dyDescent="0.2">
      <c r="A4247" t="str">
        <f t="shared" si="65"/>
        <v/>
      </c>
      <c r="O4247" t="str">
        <f>IFERROR(VLOOKUP($A4247,Accounts!$A:$G,8,FALSE),"")</f>
        <v/>
      </c>
    </row>
    <row r="4248" spans="1:15" x14ac:dyDescent="0.2">
      <c r="A4248" t="str">
        <f t="shared" si="65"/>
        <v/>
      </c>
      <c r="O4248" t="str">
        <f>IFERROR(VLOOKUP($A4248,Accounts!$A:$G,8,FALSE),"")</f>
        <v/>
      </c>
    </row>
    <row r="4249" spans="1:15" x14ac:dyDescent="0.2">
      <c r="A4249" t="str">
        <f t="shared" si="65"/>
        <v/>
      </c>
      <c r="O4249" t="str">
        <f>IFERROR(VLOOKUP($A4249,Accounts!$A:$G,8,FALSE),"")</f>
        <v/>
      </c>
    </row>
    <row r="4250" spans="1:15" x14ac:dyDescent="0.2">
      <c r="A4250" t="str">
        <f t="shared" si="65"/>
        <v/>
      </c>
      <c r="O4250" t="str">
        <f>IFERROR(VLOOKUP($A4250,Accounts!$A:$G,8,FALSE),"")</f>
        <v/>
      </c>
    </row>
    <row r="4251" spans="1:15" x14ac:dyDescent="0.2">
      <c r="A4251" t="str">
        <f t="shared" si="65"/>
        <v/>
      </c>
      <c r="O4251" t="str">
        <f>IFERROR(VLOOKUP($A4251,Accounts!$A:$G,8,FALSE),"")</f>
        <v/>
      </c>
    </row>
    <row r="4252" spans="1:15" x14ac:dyDescent="0.2">
      <c r="A4252" t="str">
        <f t="shared" si="65"/>
        <v/>
      </c>
      <c r="O4252" t="str">
        <f>IFERROR(VLOOKUP($A4252,Accounts!$A:$G,8,FALSE),"")</f>
        <v/>
      </c>
    </row>
    <row r="4253" spans="1:15" x14ac:dyDescent="0.2">
      <c r="A4253" t="str">
        <f t="shared" si="65"/>
        <v/>
      </c>
      <c r="O4253" t="str">
        <f>IFERROR(VLOOKUP($A4253,Accounts!$A:$G,8,FALSE),"")</f>
        <v/>
      </c>
    </row>
    <row r="4254" spans="1:15" x14ac:dyDescent="0.2">
      <c r="A4254" t="str">
        <f t="shared" si="65"/>
        <v/>
      </c>
      <c r="O4254" t="str">
        <f>IFERROR(VLOOKUP($A4254,Accounts!$A:$G,8,FALSE),"")</f>
        <v/>
      </c>
    </row>
    <row r="4255" spans="1:15" x14ac:dyDescent="0.2">
      <c r="A4255" t="str">
        <f t="shared" si="65"/>
        <v/>
      </c>
      <c r="O4255" t="str">
        <f>IFERROR(VLOOKUP($A4255,Accounts!$A:$G,8,FALSE),"")</f>
        <v/>
      </c>
    </row>
    <row r="4256" spans="1:15" x14ac:dyDescent="0.2">
      <c r="A4256" t="str">
        <f t="shared" si="65"/>
        <v/>
      </c>
      <c r="O4256" t="str">
        <f>IFERROR(VLOOKUP($A4256,Accounts!$A:$G,8,FALSE),"")</f>
        <v/>
      </c>
    </row>
    <row r="4257" spans="1:15" x14ac:dyDescent="0.2">
      <c r="A4257" t="str">
        <f t="shared" si="65"/>
        <v/>
      </c>
      <c r="O4257" t="str">
        <f>IFERROR(VLOOKUP($A4257,Accounts!$A:$G,8,FALSE),"")</f>
        <v/>
      </c>
    </row>
    <row r="4258" spans="1:15" x14ac:dyDescent="0.2">
      <c r="A4258" t="str">
        <f t="shared" si="65"/>
        <v/>
      </c>
      <c r="O4258" t="str">
        <f>IFERROR(VLOOKUP($A4258,Accounts!$A:$G,8,FALSE),"")</f>
        <v/>
      </c>
    </row>
    <row r="4259" spans="1:15" x14ac:dyDescent="0.2">
      <c r="A4259" t="str">
        <f t="shared" si="65"/>
        <v/>
      </c>
      <c r="O4259" t="str">
        <f>IFERROR(VLOOKUP($A4259,Accounts!$A:$G,8,FALSE),"")</f>
        <v/>
      </c>
    </row>
    <row r="4260" spans="1:15" x14ac:dyDescent="0.2">
      <c r="A4260" t="str">
        <f t="shared" si="65"/>
        <v/>
      </c>
      <c r="O4260" t="str">
        <f>IFERROR(VLOOKUP($A4260,Accounts!$A:$G,8,FALSE),"")</f>
        <v/>
      </c>
    </row>
    <row r="4261" spans="1:15" x14ac:dyDescent="0.2">
      <c r="A4261" t="str">
        <f t="shared" si="65"/>
        <v/>
      </c>
      <c r="O4261" t="str">
        <f>IFERROR(VLOOKUP($A4261,Accounts!$A:$G,8,FALSE),"")</f>
        <v/>
      </c>
    </row>
    <row r="4262" spans="1:15" x14ac:dyDescent="0.2">
      <c r="A4262" t="str">
        <f t="shared" si="65"/>
        <v/>
      </c>
      <c r="O4262" t="str">
        <f>IFERROR(VLOOKUP($A4262,Accounts!$A:$G,8,FALSE),"")</f>
        <v/>
      </c>
    </row>
    <row r="4263" spans="1:15" x14ac:dyDescent="0.2">
      <c r="A4263" t="str">
        <f t="shared" si="65"/>
        <v/>
      </c>
      <c r="O4263" t="str">
        <f>IFERROR(VLOOKUP($A4263,Accounts!$A:$G,8,FALSE),"")</f>
        <v/>
      </c>
    </row>
    <row r="4264" spans="1:15" x14ac:dyDescent="0.2">
      <c r="A4264" t="str">
        <f t="shared" si="65"/>
        <v/>
      </c>
      <c r="O4264" t="str">
        <f>IFERROR(VLOOKUP($A4264,Accounts!$A:$G,8,FALSE),"")</f>
        <v/>
      </c>
    </row>
    <row r="4265" spans="1:15" x14ac:dyDescent="0.2">
      <c r="A4265" t="str">
        <f t="shared" si="65"/>
        <v/>
      </c>
      <c r="O4265" t="str">
        <f>IFERROR(VLOOKUP($A4265,Accounts!$A:$G,8,FALSE),"")</f>
        <v/>
      </c>
    </row>
    <row r="4266" spans="1:15" x14ac:dyDescent="0.2">
      <c r="A4266" t="str">
        <f t="shared" si="65"/>
        <v/>
      </c>
      <c r="O4266" t="str">
        <f>IFERROR(VLOOKUP($A4266,Accounts!$A:$G,8,FALSE),"")</f>
        <v/>
      </c>
    </row>
    <row r="4267" spans="1:15" x14ac:dyDescent="0.2">
      <c r="A4267" t="str">
        <f t="shared" si="65"/>
        <v/>
      </c>
      <c r="O4267" t="str">
        <f>IFERROR(VLOOKUP($A4267,Accounts!$A:$G,8,FALSE),"")</f>
        <v/>
      </c>
    </row>
    <row r="4268" spans="1:15" x14ac:dyDescent="0.2">
      <c r="A4268" t="str">
        <f t="shared" si="65"/>
        <v/>
      </c>
      <c r="O4268" t="str">
        <f>IFERROR(VLOOKUP($A4268,Accounts!$A:$G,8,FALSE),"")</f>
        <v/>
      </c>
    </row>
    <row r="4269" spans="1:15" x14ac:dyDescent="0.2">
      <c r="A4269" t="str">
        <f t="shared" si="65"/>
        <v/>
      </c>
      <c r="O4269" t="str">
        <f>IFERROR(VLOOKUP($A4269,Accounts!$A:$G,8,FALSE),"")</f>
        <v/>
      </c>
    </row>
    <row r="4270" spans="1:15" x14ac:dyDescent="0.2">
      <c r="A4270" t="str">
        <f t="shared" si="65"/>
        <v/>
      </c>
      <c r="O4270" t="str">
        <f>IFERROR(VLOOKUP($A4270,Accounts!$A:$G,8,FALSE),"")</f>
        <v/>
      </c>
    </row>
    <row r="4271" spans="1:15" x14ac:dyDescent="0.2">
      <c r="A4271" t="str">
        <f t="shared" si="65"/>
        <v/>
      </c>
      <c r="O4271" t="str">
        <f>IFERROR(VLOOKUP($A4271,Accounts!$A:$G,8,FALSE),"")</f>
        <v/>
      </c>
    </row>
    <row r="4272" spans="1:15" x14ac:dyDescent="0.2">
      <c r="A4272" t="str">
        <f t="shared" si="65"/>
        <v/>
      </c>
      <c r="O4272" t="str">
        <f>IFERROR(VLOOKUP($A4272,Accounts!$A:$G,8,FALSE),"")</f>
        <v/>
      </c>
    </row>
    <row r="4273" spans="1:15" x14ac:dyDescent="0.2">
      <c r="A4273" t="str">
        <f t="shared" si="65"/>
        <v/>
      </c>
      <c r="O4273" t="str">
        <f>IFERROR(VLOOKUP($A4273,Accounts!$A:$G,8,FALSE),"")</f>
        <v/>
      </c>
    </row>
    <row r="4274" spans="1:15" x14ac:dyDescent="0.2">
      <c r="A4274" t="str">
        <f t="shared" si="65"/>
        <v/>
      </c>
      <c r="O4274" t="str">
        <f>IFERROR(VLOOKUP($A4274,Accounts!$A:$G,8,FALSE),"")</f>
        <v/>
      </c>
    </row>
    <row r="4275" spans="1:15" x14ac:dyDescent="0.2">
      <c r="A4275" t="str">
        <f t="shared" si="65"/>
        <v/>
      </c>
      <c r="O4275" t="str">
        <f>IFERROR(VLOOKUP($A4275,Accounts!$A:$G,8,FALSE),"")</f>
        <v/>
      </c>
    </row>
    <row r="4276" spans="1:15" x14ac:dyDescent="0.2">
      <c r="A4276" t="str">
        <f t="shared" si="65"/>
        <v/>
      </c>
      <c r="O4276" t="str">
        <f>IFERROR(VLOOKUP($A4276,Accounts!$A:$G,8,FALSE),"")</f>
        <v/>
      </c>
    </row>
    <row r="4277" spans="1:15" x14ac:dyDescent="0.2">
      <c r="A4277" t="str">
        <f t="shared" si="65"/>
        <v/>
      </c>
      <c r="O4277" t="str">
        <f>IFERROR(VLOOKUP($A4277,Accounts!$A:$G,8,FALSE),"")</f>
        <v/>
      </c>
    </row>
    <row r="4278" spans="1:15" x14ac:dyDescent="0.2">
      <c r="A4278" t="str">
        <f t="shared" si="65"/>
        <v/>
      </c>
      <c r="O4278" t="str">
        <f>IFERROR(VLOOKUP($A4278,Accounts!$A:$G,8,FALSE),"")</f>
        <v/>
      </c>
    </row>
    <row r="4279" spans="1:15" x14ac:dyDescent="0.2">
      <c r="A4279" t="str">
        <f t="shared" si="65"/>
        <v/>
      </c>
      <c r="O4279" t="str">
        <f>IFERROR(VLOOKUP($A4279,Accounts!$A:$G,8,FALSE),"")</f>
        <v/>
      </c>
    </row>
    <row r="4280" spans="1:15" x14ac:dyDescent="0.2">
      <c r="A4280" t="str">
        <f t="shared" si="65"/>
        <v/>
      </c>
      <c r="O4280" t="str">
        <f>IFERROR(VLOOKUP($A4280,Accounts!$A:$G,8,FALSE),"")</f>
        <v/>
      </c>
    </row>
    <row r="4281" spans="1:15" x14ac:dyDescent="0.2">
      <c r="A4281" t="str">
        <f t="shared" si="65"/>
        <v/>
      </c>
      <c r="O4281" t="str">
        <f>IFERROR(VLOOKUP($A4281,Accounts!$A:$G,8,FALSE),"")</f>
        <v/>
      </c>
    </row>
    <row r="4282" spans="1:15" x14ac:dyDescent="0.2">
      <c r="A4282" t="str">
        <f t="shared" si="65"/>
        <v/>
      </c>
      <c r="O4282" t="str">
        <f>IFERROR(VLOOKUP($A4282,Accounts!$A:$G,8,FALSE),"")</f>
        <v/>
      </c>
    </row>
    <row r="4283" spans="1:15" x14ac:dyDescent="0.2">
      <c r="A4283" t="str">
        <f t="shared" si="65"/>
        <v/>
      </c>
      <c r="O4283" t="str">
        <f>IFERROR(VLOOKUP($A4283,Accounts!$A:$G,8,FALSE),"")</f>
        <v/>
      </c>
    </row>
    <row r="4284" spans="1:15" x14ac:dyDescent="0.2">
      <c r="A4284" t="str">
        <f t="shared" si="65"/>
        <v/>
      </c>
      <c r="O4284" t="str">
        <f>IFERROR(VLOOKUP($A4284,Accounts!$A:$G,8,FALSE),"")</f>
        <v/>
      </c>
    </row>
    <row r="4285" spans="1:15" x14ac:dyDescent="0.2">
      <c r="A4285" t="str">
        <f t="shared" si="65"/>
        <v/>
      </c>
      <c r="O4285" t="str">
        <f>IFERROR(VLOOKUP($A4285,Accounts!$A:$G,8,FALSE),"")</f>
        <v/>
      </c>
    </row>
    <row r="4286" spans="1:15" x14ac:dyDescent="0.2">
      <c r="A4286" t="str">
        <f t="shared" si="65"/>
        <v/>
      </c>
      <c r="O4286" t="str">
        <f>IFERROR(VLOOKUP($A4286,Accounts!$A:$G,8,FALSE),"")</f>
        <v/>
      </c>
    </row>
    <row r="4287" spans="1:15" x14ac:dyDescent="0.2">
      <c r="A4287" t="str">
        <f t="shared" si="65"/>
        <v/>
      </c>
      <c r="O4287" t="str">
        <f>IFERROR(VLOOKUP($A4287,Accounts!$A:$G,8,FALSE),"")</f>
        <v/>
      </c>
    </row>
    <row r="4288" spans="1:15" x14ac:dyDescent="0.2">
      <c r="A4288" t="str">
        <f t="shared" si="65"/>
        <v/>
      </c>
      <c r="O4288" t="str">
        <f>IFERROR(VLOOKUP($A4288,Accounts!$A:$G,8,FALSE),"")</f>
        <v/>
      </c>
    </row>
    <row r="4289" spans="1:15" x14ac:dyDescent="0.2">
      <c r="A4289" t="str">
        <f t="shared" si="65"/>
        <v/>
      </c>
      <c r="O4289" t="str">
        <f>IFERROR(VLOOKUP($A4289,Accounts!$A:$G,8,FALSE),"")</f>
        <v/>
      </c>
    </row>
    <row r="4290" spans="1:15" x14ac:dyDescent="0.2">
      <c r="A4290" t="str">
        <f t="shared" si="65"/>
        <v/>
      </c>
      <c r="O4290" t="str">
        <f>IFERROR(VLOOKUP($A4290,Accounts!$A:$G,8,FALSE),"")</f>
        <v/>
      </c>
    </row>
    <row r="4291" spans="1:15" x14ac:dyDescent="0.2">
      <c r="A4291" t="str">
        <f t="shared" ref="A4291:A4354" si="66">IFERROR(IF(J4291=0,B4291&amp;D4291&amp;I4291&amp;E4291,C4291&amp;D4291&amp;J4291&amp;G4291),"")</f>
        <v/>
      </c>
      <c r="O4291" t="str">
        <f>IFERROR(VLOOKUP($A4291,Accounts!$A:$G,8,FALSE),"")</f>
        <v/>
      </c>
    </row>
    <row r="4292" spans="1:15" x14ac:dyDescent="0.2">
      <c r="A4292" t="str">
        <f t="shared" si="66"/>
        <v/>
      </c>
      <c r="O4292" t="str">
        <f>IFERROR(VLOOKUP($A4292,Accounts!$A:$G,8,FALSE),"")</f>
        <v/>
      </c>
    </row>
    <row r="4293" spans="1:15" x14ac:dyDescent="0.2">
      <c r="A4293" t="str">
        <f t="shared" si="66"/>
        <v/>
      </c>
      <c r="O4293" t="str">
        <f>IFERROR(VLOOKUP($A4293,Accounts!$A:$G,8,FALSE),"")</f>
        <v/>
      </c>
    </row>
    <row r="4294" spans="1:15" x14ac:dyDescent="0.2">
      <c r="A4294" t="str">
        <f t="shared" si="66"/>
        <v/>
      </c>
      <c r="O4294" t="str">
        <f>IFERROR(VLOOKUP($A4294,Accounts!$A:$G,8,FALSE),"")</f>
        <v/>
      </c>
    </row>
    <row r="4295" spans="1:15" x14ac:dyDescent="0.2">
      <c r="A4295" t="str">
        <f t="shared" si="66"/>
        <v/>
      </c>
      <c r="O4295" t="str">
        <f>IFERROR(VLOOKUP($A4295,Accounts!$A:$G,8,FALSE),"")</f>
        <v/>
      </c>
    </row>
    <row r="4296" spans="1:15" x14ac:dyDescent="0.2">
      <c r="A4296" t="str">
        <f t="shared" si="66"/>
        <v/>
      </c>
      <c r="O4296" t="str">
        <f>IFERROR(VLOOKUP($A4296,Accounts!$A:$G,8,FALSE),"")</f>
        <v/>
      </c>
    </row>
    <row r="4297" spans="1:15" x14ac:dyDescent="0.2">
      <c r="A4297" t="str">
        <f t="shared" si="66"/>
        <v/>
      </c>
      <c r="O4297" t="str">
        <f>IFERROR(VLOOKUP($A4297,Accounts!$A:$G,8,FALSE),"")</f>
        <v/>
      </c>
    </row>
    <row r="4298" spans="1:15" x14ac:dyDescent="0.2">
      <c r="A4298" t="str">
        <f t="shared" si="66"/>
        <v/>
      </c>
      <c r="O4298" t="str">
        <f>IFERROR(VLOOKUP($A4298,Accounts!$A:$G,8,FALSE),"")</f>
        <v/>
      </c>
    </row>
    <row r="4299" spans="1:15" x14ac:dyDescent="0.2">
      <c r="A4299" t="str">
        <f t="shared" si="66"/>
        <v/>
      </c>
      <c r="O4299" t="str">
        <f>IFERROR(VLOOKUP($A4299,Accounts!$A:$G,8,FALSE),"")</f>
        <v/>
      </c>
    </row>
    <row r="4300" spans="1:15" x14ac:dyDescent="0.2">
      <c r="A4300" t="str">
        <f t="shared" si="66"/>
        <v/>
      </c>
      <c r="O4300" t="str">
        <f>IFERROR(VLOOKUP($A4300,Accounts!$A:$G,8,FALSE),"")</f>
        <v/>
      </c>
    </row>
    <row r="4301" spans="1:15" x14ac:dyDescent="0.2">
      <c r="A4301" t="str">
        <f t="shared" si="66"/>
        <v/>
      </c>
      <c r="O4301" t="str">
        <f>IFERROR(VLOOKUP($A4301,Accounts!$A:$G,8,FALSE),"")</f>
        <v/>
      </c>
    </row>
    <row r="4302" spans="1:15" x14ac:dyDescent="0.2">
      <c r="A4302" t="str">
        <f t="shared" si="66"/>
        <v/>
      </c>
      <c r="O4302" t="str">
        <f>IFERROR(VLOOKUP($A4302,Accounts!$A:$G,8,FALSE),"")</f>
        <v/>
      </c>
    </row>
    <row r="4303" spans="1:15" x14ac:dyDescent="0.2">
      <c r="A4303" t="str">
        <f t="shared" si="66"/>
        <v/>
      </c>
      <c r="O4303" t="str">
        <f>IFERROR(VLOOKUP($A4303,Accounts!$A:$G,8,FALSE),"")</f>
        <v/>
      </c>
    </row>
    <row r="4304" spans="1:15" x14ac:dyDescent="0.2">
      <c r="A4304" t="str">
        <f t="shared" si="66"/>
        <v/>
      </c>
      <c r="O4304" t="str">
        <f>IFERROR(VLOOKUP($A4304,Accounts!$A:$G,8,FALSE),"")</f>
        <v/>
      </c>
    </row>
    <row r="4305" spans="1:15" x14ac:dyDescent="0.2">
      <c r="A4305" t="str">
        <f t="shared" si="66"/>
        <v/>
      </c>
      <c r="O4305" t="str">
        <f>IFERROR(VLOOKUP($A4305,Accounts!$A:$G,8,FALSE),"")</f>
        <v/>
      </c>
    </row>
    <row r="4306" spans="1:15" x14ac:dyDescent="0.2">
      <c r="A4306" t="str">
        <f t="shared" si="66"/>
        <v/>
      </c>
      <c r="O4306" t="str">
        <f>IFERROR(VLOOKUP($A4306,Accounts!$A:$G,8,FALSE),"")</f>
        <v/>
      </c>
    </row>
    <row r="4307" spans="1:15" x14ac:dyDescent="0.2">
      <c r="A4307" t="str">
        <f t="shared" si="66"/>
        <v/>
      </c>
      <c r="O4307" t="str">
        <f>IFERROR(VLOOKUP($A4307,Accounts!$A:$G,8,FALSE),"")</f>
        <v/>
      </c>
    </row>
    <row r="4308" spans="1:15" x14ac:dyDescent="0.2">
      <c r="A4308" t="str">
        <f t="shared" si="66"/>
        <v/>
      </c>
      <c r="O4308" t="str">
        <f>IFERROR(VLOOKUP($A4308,Accounts!$A:$G,8,FALSE),"")</f>
        <v/>
      </c>
    </row>
    <row r="4309" spans="1:15" x14ac:dyDescent="0.2">
      <c r="A4309" t="str">
        <f t="shared" si="66"/>
        <v/>
      </c>
      <c r="O4309" t="str">
        <f>IFERROR(VLOOKUP($A4309,Accounts!$A:$G,8,FALSE),"")</f>
        <v/>
      </c>
    </row>
    <row r="4310" spans="1:15" x14ac:dyDescent="0.2">
      <c r="A4310" t="str">
        <f t="shared" si="66"/>
        <v/>
      </c>
      <c r="O4310" t="str">
        <f>IFERROR(VLOOKUP($A4310,Accounts!$A:$G,8,FALSE),"")</f>
        <v/>
      </c>
    </row>
    <row r="4311" spans="1:15" x14ac:dyDescent="0.2">
      <c r="A4311" t="str">
        <f t="shared" si="66"/>
        <v/>
      </c>
      <c r="O4311" t="str">
        <f>IFERROR(VLOOKUP($A4311,Accounts!$A:$G,8,FALSE),"")</f>
        <v/>
      </c>
    </row>
    <row r="4312" spans="1:15" x14ac:dyDescent="0.2">
      <c r="A4312" t="str">
        <f t="shared" si="66"/>
        <v/>
      </c>
      <c r="O4312" t="str">
        <f>IFERROR(VLOOKUP($A4312,Accounts!$A:$G,8,FALSE),"")</f>
        <v/>
      </c>
    </row>
    <row r="4313" spans="1:15" x14ac:dyDescent="0.2">
      <c r="A4313" t="str">
        <f t="shared" si="66"/>
        <v/>
      </c>
      <c r="O4313" t="str">
        <f>IFERROR(VLOOKUP($A4313,Accounts!$A:$G,8,FALSE),"")</f>
        <v/>
      </c>
    </row>
    <row r="4314" spans="1:15" x14ac:dyDescent="0.2">
      <c r="A4314" t="str">
        <f t="shared" si="66"/>
        <v/>
      </c>
      <c r="O4314" t="str">
        <f>IFERROR(VLOOKUP($A4314,Accounts!$A:$G,8,FALSE),"")</f>
        <v/>
      </c>
    </row>
    <row r="4315" spans="1:15" x14ac:dyDescent="0.2">
      <c r="A4315" t="str">
        <f t="shared" si="66"/>
        <v/>
      </c>
      <c r="O4315" t="str">
        <f>IFERROR(VLOOKUP($A4315,Accounts!$A:$G,8,FALSE),"")</f>
        <v/>
      </c>
    </row>
    <row r="4316" spans="1:15" x14ac:dyDescent="0.2">
      <c r="A4316" t="str">
        <f t="shared" si="66"/>
        <v/>
      </c>
      <c r="O4316" t="str">
        <f>IFERROR(VLOOKUP($A4316,Accounts!$A:$G,8,FALSE),"")</f>
        <v/>
      </c>
    </row>
    <row r="4317" spans="1:15" x14ac:dyDescent="0.2">
      <c r="A4317" t="str">
        <f t="shared" si="66"/>
        <v/>
      </c>
      <c r="O4317" t="str">
        <f>IFERROR(VLOOKUP($A4317,Accounts!$A:$G,8,FALSE),"")</f>
        <v/>
      </c>
    </row>
    <row r="4318" spans="1:15" x14ac:dyDescent="0.2">
      <c r="A4318" t="str">
        <f t="shared" si="66"/>
        <v/>
      </c>
      <c r="O4318" t="str">
        <f>IFERROR(VLOOKUP($A4318,Accounts!$A:$G,8,FALSE),"")</f>
        <v/>
      </c>
    </row>
    <row r="4319" spans="1:15" x14ac:dyDescent="0.2">
      <c r="A4319" t="str">
        <f t="shared" si="66"/>
        <v/>
      </c>
      <c r="O4319" t="str">
        <f>IFERROR(VLOOKUP($A4319,Accounts!$A:$G,8,FALSE),"")</f>
        <v/>
      </c>
    </row>
    <row r="4320" spans="1:15" x14ac:dyDescent="0.2">
      <c r="A4320" t="str">
        <f t="shared" si="66"/>
        <v/>
      </c>
      <c r="O4320" t="str">
        <f>IFERROR(VLOOKUP($A4320,Accounts!$A:$G,8,FALSE),"")</f>
        <v/>
      </c>
    </row>
    <row r="4321" spans="1:15" x14ac:dyDescent="0.2">
      <c r="A4321" t="str">
        <f t="shared" si="66"/>
        <v/>
      </c>
      <c r="O4321" t="str">
        <f>IFERROR(VLOOKUP($A4321,Accounts!$A:$G,8,FALSE),"")</f>
        <v/>
      </c>
    </row>
    <row r="4322" spans="1:15" x14ac:dyDescent="0.2">
      <c r="A4322" t="str">
        <f t="shared" si="66"/>
        <v/>
      </c>
      <c r="O4322" t="str">
        <f>IFERROR(VLOOKUP($A4322,Accounts!$A:$G,8,FALSE),"")</f>
        <v/>
      </c>
    </row>
    <row r="4323" spans="1:15" x14ac:dyDescent="0.2">
      <c r="A4323" t="str">
        <f t="shared" si="66"/>
        <v/>
      </c>
      <c r="O4323" t="str">
        <f>IFERROR(VLOOKUP($A4323,Accounts!$A:$G,8,FALSE),"")</f>
        <v/>
      </c>
    </row>
    <row r="4324" spans="1:15" x14ac:dyDescent="0.2">
      <c r="A4324" t="str">
        <f t="shared" si="66"/>
        <v/>
      </c>
      <c r="O4324" t="str">
        <f>IFERROR(VLOOKUP($A4324,Accounts!$A:$G,8,FALSE),"")</f>
        <v/>
      </c>
    </row>
    <row r="4325" spans="1:15" x14ac:dyDescent="0.2">
      <c r="A4325" t="str">
        <f t="shared" si="66"/>
        <v/>
      </c>
      <c r="O4325" t="str">
        <f>IFERROR(VLOOKUP($A4325,Accounts!$A:$G,8,FALSE),"")</f>
        <v/>
      </c>
    </row>
    <row r="4326" spans="1:15" x14ac:dyDescent="0.2">
      <c r="A4326" t="str">
        <f t="shared" si="66"/>
        <v/>
      </c>
      <c r="O4326" t="str">
        <f>IFERROR(VLOOKUP($A4326,Accounts!$A:$G,8,FALSE),"")</f>
        <v/>
      </c>
    </row>
    <row r="4327" spans="1:15" x14ac:dyDescent="0.2">
      <c r="A4327" t="str">
        <f t="shared" si="66"/>
        <v/>
      </c>
      <c r="O4327" t="str">
        <f>IFERROR(VLOOKUP($A4327,Accounts!$A:$G,8,FALSE),"")</f>
        <v/>
      </c>
    </row>
    <row r="4328" spans="1:15" x14ac:dyDescent="0.2">
      <c r="A4328" t="str">
        <f t="shared" si="66"/>
        <v/>
      </c>
      <c r="O4328" t="str">
        <f>IFERROR(VLOOKUP($A4328,Accounts!$A:$G,8,FALSE),"")</f>
        <v/>
      </c>
    </row>
    <row r="4329" spans="1:15" x14ac:dyDescent="0.2">
      <c r="A4329" t="str">
        <f t="shared" si="66"/>
        <v/>
      </c>
      <c r="O4329" t="str">
        <f>IFERROR(VLOOKUP($A4329,Accounts!$A:$G,8,FALSE),"")</f>
        <v/>
      </c>
    </row>
    <row r="4330" spans="1:15" x14ac:dyDescent="0.2">
      <c r="A4330" t="str">
        <f t="shared" si="66"/>
        <v/>
      </c>
      <c r="O4330" t="str">
        <f>IFERROR(VLOOKUP($A4330,Accounts!$A:$G,8,FALSE),"")</f>
        <v/>
      </c>
    </row>
    <row r="4331" spans="1:15" x14ac:dyDescent="0.2">
      <c r="A4331" t="str">
        <f t="shared" si="66"/>
        <v/>
      </c>
      <c r="O4331" t="str">
        <f>IFERROR(VLOOKUP($A4331,Accounts!$A:$G,8,FALSE),"")</f>
        <v/>
      </c>
    </row>
    <row r="4332" spans="1:15" x14ac:dyDescent="0.2">
      <c r="A4332" t="str">
        <f t="shared" si="66"/>
        <v/>
      </c>
      <c r="O4332" t="str">
        <f>IFERROR(VLOOKUP($A4332,Accounts!$A:$G,8,FALSE),"")</f>
        <v/>
      </c>
    </row>
    <row r="4333" spans="1:15" x14ac:dyDescent="0.2">
      <c r="A4333" t="str">
        <f t="shared" si="66"/>
        <v/>
      </c>
      <c r="O4333" t="str">
        <f>IFERROR(VLOOKUP($A4333,Accounts!$A:$G,8,FALSE),"")</f>
        <v/>
      </c>
    </row>
    <row r="4334" spans="1:15" x14ac:dyDescent="0.2">
      <c r="A4334" t="str">
        <f t="shared" si="66"/>
        <v/>
      </c>
      <c r="O4334" t="str">
        <f>IFERROR(VLOOKUP($A4334,Accounts!$A:$G,8,FALSE),"")</f>
        <v/>
      </c>
    </row>
    <row r="4335" spans="1:15" x14ac:dyDescent="0.2">
      <c r="A4335" t="str">
        <f t="shared" si="66"/>
        <v/>
      </c>
      <c r="O4335" t="str">
        <f>IFERROR(VLOOKUP($A4335,Accounts!$A:$G,8,FALSE),"")</f>
        <v/>
      </c>
    </row>
    <row r="4336" spans="1:15" x14ac:dyDescent="0.2">
      <c r="A4336" t="str">
        <f t="shared" si="66"/>
        <v/>
      </c>
      <c r="O4336" t="str">
        <f>IFERROR(VLOOKUP($A4336,Accounts!$A:$G,8,FALSE),"")</f>
        <v/>
      </c>
    </row>
    <row r="4337" spans="1:15" x14ac:dyDescent="0.2">
      <c r="A4337" t="str">
        <f t="shared" si="66"/>
        <v/>
      </c>
      <c r="O4337" t="str">
        <f>IFERROR(VLOOKUP($A4337,Accounts!$A:$G,8,FALSE),"")</f>
        <v/>
      </c>
    </row>
    <row r="4338" spans="1:15" x14ac:dyDescent="0.2">
      <c r="A4338" t="str">
        <f t="shared" si="66"/>
        <v/>
      </c>
      <c r="O4338" t="str">
        <f>IFERROR(VLOOKUP($A4338,Accounts!$A:$G,8,FALSE),"")</f>
        <v/>
      </c>
    </row>
    <row r="4339" spans="1:15" x14ac:dyDescent="0.2">
      <c r="A4339" t="str">
        <f t="shared" si="66"/>
        <v/>
      </c>
      <c r="O4339" t="str">
        <f>IFERROR(VLOOKUP($A4339,Accounts!$A:$G,8,FALSE),"")</f>
        <v/>
      </c>
    </row>
    <row r="4340" spans="1:15" x14ac:dyDescent="0.2">
      <c r="A4340" t="str">
        <f t="shared" si="66"/>
        <v/>
      </c>
      <c r="O4340" t="str">
        <f>IFERROR(VLOOKUP($A4340,Accounts!$A:$G,8,FALSE),"")</f>
        <v/>
      </c>
    </row>
    <row r="4341" spans="1:15" x14ac:dyDescent="0.2">
      <c r="A4341" t="str">
        <f t="shared" si="66"/>
        <v/>
      </c>
      <c r="O4341" t="str">
        <f>IFERROR(VLOOKUP($A4341,Accounts!$A:$G,8,FALSE),"")</f>
        <v/>
      </c>
    </row>
    <row r="4342" spans="1:15" x14ac:dyDescent="0.2">
      <c r="A4342" t="str">
        <f t="shared" si="66"/>
        <v/>
      </c>
      <c r="O4342" t="str">
        <f>IFERROR(VLOOKUP($A4342,Accounts!$A:$G,8,FALSE),"")</f>
        <v/>
      </c>
    </row>
    <row r="4343" spans="1:15" x14ac:dyDescent="0.2">
      <c r="A4343" t="str">
        <f t="shared" si="66"/>
        <v/>
      </c>
      <c r="O4343" t="str">
        <f>IFERROR(VLOOKUP($A4343,Accounts!$A:$G,8,FALSE),"")</f>
        <v/>
      </c>
    </row>
    <row r="4344" spans="1:15" x14ac:dyDescent="0.2">
      <c r="A4344" t="str">
        <f t="shared" si="66"/>
        <v/>
      </c>
      <c r="O4344" t="str">
        <f>IFERROR(VLOOKUP($A4344,Accounts!$A:$G,8,FALSE),"")</f>
        <v/>
      </c>
    </row>
    <row r="4345" spans="1:15" x14ac:dyDescent="0.2">
      <c r="A4345" t="str">
        <f t="shared" si="66"/>
        <v/>
      </c>
      <c r="O4345" t="str">
        <f>IFERROR(VLOOKUP($A4345,Accounts!$A:$G,8,FALSE),"")</f>
        <v/>
      </c>
    </row>
    <row r="4346" spans="1:15" x14ac:dyDescent="0.2">
      <c r="A4346" t="str">
        <f t="shared" si="66"/>
        <v/>
      </c>
      <c r="O4346" t="str">
        <f>IFERROR(VLOOKUP($A4346,Accounts!$A:$G,8,FALSE),"")</f>
        <v/>
      </c>
    </row>
    <row r="4347" spans="1:15" x14ac:dyDescent="0.2">
      <c r="A4347" t="str">
        <f t="shared" si="66"/>
        <v/>
      </c>
      <c r="O4347" t="str">
        <f>IFERROR(VLOOKUP($A4347,Accounts!$A:$G,8,FALSE),"")</f>
        <v/>
      </c>
    </row>
    <row r="4348" spans="1:15" x14ac:dyDescent="0.2">
      <c r="A4348" t="str">
        <f t="shared" si="66"/>
        <v/>
      </c>
      <c r="O4348" t="str">
        <f>IFERROR(VLOOKUP($A4348,Accounts!$A:$G,8,FALSE),"")</f>
        <v/>
      </c>
    </row>
    <row r="4349" spans="1:15" x14ac:dyDescent="0.2">
      <c r="A4349" t="str">
        <f t="shared" si="66"/>
        <v/>
      </c>
      <c r="O4349" t="str">
        <f>IFERROR(VLOOKUP($A4349,Accounts!$A:$G,8,FALSE),"")</f>
        <v/>
      </c>
    </row>
    <row r="4350" spans="1:15" x14ac:dyDescent="0.2">
      <c r="A4350" t="str">
        <f t="shared" si="66"/>
        <v/>
      </c>
      <c r="O4350" t="str">
        <f>IFERROR(VLOOKUP($A4350,Accounts!$A:$G,8,FALSE),"")</f>
        <v/>
      </c>
    </row>
    <row r="4351" spans="1:15" x14ac:dyDescent="0.2">
      <c r="A4351" t="str">
        <f t="shared" si="66"/>
        <v/>
      </c>
      <c r="O4351" t="str">
        <f>IFERROR(VLOOKUP($A4351,Accounts!$A:$G,8,FALSE),"")</f>
        <v/>
      </c>
    </row>
    <row r="4352" spans="1:15" x14ac:dyDescent="0.2">
      <c r="A4352" t="str">
        <f t="shared" si="66"/>
        <v/>
      </c>
      <c r="O4352" t="str">
        <f>IFERROR(VLOOKUP($A4352,Accounts!$A:$G,8,FALSE),"")</f>
        <v/>
      </c>
    </row>
    <row r="4353" spans="1:15" x14ac:dyDescent="0.2">
      <c r="A4353" t="str">
        <f t="shared" si="66"/>
        <v/>
      </c>
      <c r="O4353" t="str">
        <f>IFERROR(VLOOKUP($A4353,Accounts!$A:$G,8,FALSE),"")</f>
        <v/>
      </c>
    </row>
    <row r="4354" spans="1:15" x14ac:dyDescent="0.2">
      <c r="A4354" t="str">
        <f t="shared" si="66"/>
        <v/>
      </c>
      <c r="O4354" t="str">
        <f>IFERROR(VLOOKUP($A4354,Accounts!$A:$G,8,FALSE),"")</f>
        <v/>
      </c>
    </row>
    <row r="4355" spans="1:15" x14ac:dyDescent="0.2">
      <c r="A4355" t="str">
        <f t="shared" ref="A4355:A4418" si="67">IFERROR(IF(J4355=0,B4355&amp;D4355&amp;I4355&amp;E4355,C4355&amp;D4355&amp;J4355&amp;G4355),"")</f>
        <v/>
      </c>
      <c r="O4355" t="str">
        <f>IFERROR(VLOOKUP($A4355,Accounts!$A:$G,8,FALSE),"")</f>
        <v/>
      </c>
    </row>
    <row r="4356" spans="1:15" x14ac:dyDescent="0.2">
      <c r="A4356" t="str">
        <f t="shared" si="67"/>
        <v/>
      </c>
      <c r="O4356" t="str">
        <f>IFERROR(VLOOKUP($A4356,Accounts!$A:$G,8,FALSE),"")</f>
        <v/>
      </c>
    </row>
    <row r="4357" spans="1:15" x14ac:dyDescent="0.2">
      <c r="A4357" t="str">
        <f t="shared" si="67"/>
        <v/>
      </c>
      <c r="O4357" t="str">
        <f>IFERROR(VLOOKUP($A4357,Accounts!$A:$G,8,FALSE),"")</f>
        <v/>
      </c>
    </row>
    <row r="4358" spans="1:15" x14ac:dyDescent="0.2">
      <c r="A4358" t="str">
        <f t="shared" si="67"/>
        <v/>
      </c>
      <c r="O4358" t="str">
        <f>IFERROR(VLOOKUP($A4358,Accounts!$A:$G,8,FALSE),"")</f>
        <v/>
      </c>
    </row>
    <row r="4359" spans="1:15" x14ac:dyDescent="0.2">
      <c r="A4359" t="str">
        <f t="shared" si="67"/>
        <v/>
      </c>
      <c r="O4359" t="str">
        <f>IFERROR(VLOOKUP($A4359,Accounts!$A:$G,8,FALSE),"")</f>
        <v/>
      </c>
    </row>
    <row r="4360" spans="1:15" x14ac:dyDescent="0.2">
      <c r="A4360" t="str">
        <f t="shared" si="67"/>
        <v/>
      </c>
      <c r="O4360" t="str">
        <f>IFERROR(VLOOKUP($A4360,Accounts!$A:$G,8,FALSE),"")</f>
        <v/>
      </c>
    </row>
    <row r="4361" spans="1:15" x14ac:dyDescent="0.2">
      <c r="A4361" t="str">
        <f t="shared" si="67"/>
        <v/>
      </c>
      <c r="O4361" t="str">
        <f>IFERROR(VLOOKUP($A4361,Accounts!$A:$G,8,FALSE),"")</f>
        <v/>
      </c>
    </row>
    <row r="4362" spans="1:15" x14ac:dyDescent="0.2">
      <c r="A4362" t="str">
        <f t="shared" si="67"/>
        <v/>
      </c>
      <c r="O4362" t="str">
        <f>IFERROR(VLOOKUP($A4362,Accounts!$A:$G,8,FALSE),"")</f>
        <v/>
      </c>
    </row>
    <row r="4363" spans="1:15" x14ac:dyDescent="0.2">
      <c r="A4363" t="str">
        <f t="shared" si="67"/>
        <v/>
      </c>
      <c r="O4363" t="str">
        <f>IFERROR(VLOOKUP($A4363,Accounts!$A:$G,8,FALSE),"")</f>
        <v/>
      </c>
    </row>
    <row r="4364" spans="1:15" x14ac:dyDescent="0.2">
      <c r="A4364" t="str">
        <f t="shared" si="67"/>
        <v/>
      </c>
      <c r="O4364" t="str">
        <f>IFERROR(VLOOKUP($A4364,Accounts!$A:$G,8,FALSE),"")</f>
        <v/>
      </c>
    </row>
    <row r="4365" spans="1:15" x14ac:dyDescent="0.2">
      <c r="A4365" t="str">
        <f t="shared" si="67"/>
        <v/>
      </c>
      <c r="O4365" t="str">
        <f>IFERROR(VLOOKUP($A4365,Accounts!$A:$G,8,FALSE),"")</f>
        <v/>
      </c>
    </row>
    <row r="4366" spans="1:15" x14ac:dyDescent="0.2">
      <c r="A4366" t="str">
        <f t="shared" si="67"/>
        <v/>
      </c>
      <c r="O4366" t="str">
        <f>IFERROR(VLOOKUP($A4366,Accounts!$A:$G,8,FALSE),"")</f>
        <v/>
      </c>
    </row>
    <row r="4367" spans="1:15" x14ac:dyDescent="0.2">
      <c r="A4367" t="str">
        <f t="shared" si="67"/>
        <v/>
      </c>
      <c r="O4367" t="str">
        <f>IFERROR(VLOOKUP($A4367,Accounts!$A:$G,8,FALSE),"")</f>
        <v/>
      </c>
    </row>
    <row r="4368" spans="1:15" x14ac:dyDescent="0.2">
      <c r="A4368" t="str">
        <f t="shared" si="67"/>
        <v/>
      </c>
      <c r="O4368" t="str">
        <f>IFERROR(VLOOKUP($A4368,Accounts!$A:$G,8,FALSE),"")</f>
        <v/>
      </c>
    </row>
    <row r="4369" spans="1:15" x14ac:dyDescent="0.2">
      <c r="A4369" t="str">
        <f t="shared" si="67"/>
        <v/>
      </c>
      <c r="O4369" t="str">
        <f>IFERROR(VLOOKUP($A4369,Accounts!$A:$G,8,FALSE),"")</f>
        <v/>
      </c>
    </row>
    <row r="4370" spans="1:15" x14ac:dyDescent="0.2">
      <c r="A4370" t="str">
        <f t="shared" si="67"/>
        <v/>
      </c>
      <c r="O4370" t="str">
        <f>IFERROR(VLOOKUP($A4370,Accounts!$A:$G,8,FALSE),"")</f>
        <v/>
      </c>
    </row>
    <row r="4371" spans="1:15" x14ac:dyDescent="0.2">
      <c r="A4371" t="str">
        <f t="shared" si="67"/>
        <v/>
      </c>
      <c r="O4371" t="str">
        <f>IFERROR(VLOOKUP($A4371,Accounts!$A:$G,8,FALSE),"")</f>
        <v/>
      </c>
    </row>
    <row r="4372" spans="1:15" x14ac:dyDescent="0.2">
      <c r="A4372" t="str">
        <f t="shared" si="67"/>
        <v/>
      </c>
      <c r="O4372" t="str">
        <f>IFERROR(VLOOKUP($A4372,Accounts!$A:$G,8,FALSE),"")</f>
        <v/>
      </c>
    </row>
    <row r="4373" spans="1:15" x14ac:dyDescent="0.2">
      <c r="A4373" t="str">
        <f t="shared" si="67"/>
        <v/>
      </c>
      <c r="O4373" t="str">
        <f>IFERROR(VLOOKUP($A4373,Accounts!$A:$G,8,FALSE),"")</f>
        <v/>
      </c>
    </row>
    <row r="4374" spans="1:15" x14ac:dyDescent="0.2">
      <c r="A4374" t="str">
        <f t="shared" si="67"/>
        <v/>
      </c>
      <c r="O4374" t="str">
        <f>IFERROR(VLOOKUP($A4374,Accounts!$A:$G,8,FALSE),"")</f>
        <v/>
      </c>
    </row>
    <row r="4375" spans="1:15" x14ac:dyDescent="0.2">
      <c r="A4375" t="str">
        <f t="shared" si="67"/>
        <v/>
      </c>
      <c r="O4375" t="str">
        <f>IFERROR(VLOOKUP($A4375,Accounts!$A:$G,8,FALSE),"")</f>
        <v/>
      </c>
    </row>
    <row r="4376" spans="1:15" x14ac:dyDescent="0.2">
      <c r="A4376" t="str">
        <f t="shared" si="67"/>
        <v/>
      </c>
      <c r="O4376" t="str">
        <f>IFERROR(VLOOKUP($A4376,Accounts!$A:$G,8,FALSE),"")</f>
        <v/>
      </c>
    </row>
    <row r="4377" spans="1:15" x14ac:dyDescent="0.2">
      <c r="A4377" t="str">
        <f t="shared" si="67"/>
        <v/>
      </c>
      <c r="O4377" t="str">
        <f>IFERROR(VLOOKUP($A4377,Accounts!$A:$G,8,FALSE),"")</f>
        <v/>
      </c>
    </row>
    <row r="4378" spans="1:15" x14ac:dyDescent="0.2">
      <c r="A4378" t="str">
        <f t="shared" si="67"/>
        <v/>
      </c>
      <c r="O4378" t="str">
        <f>IFERROR(VLOOKUP($A4378,Accounts!$A:$G,8,FALSE),"")</f>
        <v/>
      </c>
    </row>
    <row r="4379" spans="1:15" x14ac:dyDescent="0.2">
      <c r="A4379" t="str">
        <f t="shared" si="67"/>
        <v/>
      </c>
      <c r="O4379" t="str">
        <f>IFERROR(VLOOKUP($A4379,Accounts!$A:$G,8,FALSE),"")</f>
        <v/>
      </c>
    </row>
    <row r="4380" spans="1:15" x14ac:dyDescent="0.2">
      <c r="A4380" t="str">
        <f t="shared" si="67"/>
        <v/>
      </c>
      <c r="O4380" t="str">
        <f>IFERROR(VLOOKUP($A4380,Accounts!$A:$G,8,FALSE),"")</f>
        <v/>
      </c>
    </row>
    <row r="4381" spans="1:15" x14ac:dyDescent="0.2">
      <c r="A4381" t="str">
        <f t="shared" si="67"/>
        <v/>
      </c>
      <c r="O4381" t="str">
        <f>IFERROR(VLOOKUP($A4381,Accounts!$A:$G,8,FALSE),"")</f>
        <v/>
      </c>
    </row>
    <row r="4382" spans="1:15" x14ac:dyDescent="0.2">
      <c r="A4382" t="str">
        <f t="shared" si="67"/>
        <v/>
      </c>
      <c r="O4382" t="str">
        <f>IFERROR(VLOOKUP($A4382,Accounts!$A:$G,8,FALSE),"")</f>
        <v/>
      </c>
    </row>
    <row r="4383" spans="1:15" x14ac:dyDescent="0.2">
      <c r="A4383" t="str">
        <f t="shared" si="67"/>
        <v/>
      </c>
      <c r="O4383" t="str">
        <f>IFERROR(VLOOKUP($A4383,Accounts!$A:$G,8,FALSE),"")</f>
        <v/>
      </c>
    </row>
    <row r="4384" spans="1:15" x14ac:dyDescent="0.2">
      <c r="A4384" t="str">
        <f t="shared" si="67"/>
        <v/>
      </c>
      <c r="O4384" t="str">
        <f>IFERROR(VLOOKUP($A4384,Accounts!$A:$G,8,FALSE),"")</f>
        <v/>
      </c>
    </row>
    <row r="4385" spans="1:15" x14ac:dyDescent="0.2">
      <c r="A4385" t="str">
        <f t="shared" si="67"/>
        <v/>
      </c>
      <c r="O4385" t="str">
        <f>IFERROR(VLOOKUP($A4385,Accounts!$A:$G,8,FALSE),"")</f>
        <v/>
      </c>
    </row>
    <row r="4386" spans="1:15" x14ac:dyDescent="0.2">
      <c r="A4386" t="str">
        <f t="shared" si="67"/>
        <v/>
      </c>
      <c r="O4386" t="str">
        <f>IFERROR(VLOOKUP($A4386,Accounts!$A:$G,8,FALSE),"")</f>
        <v/>
      </c>
    </row>
    <row r="4387" spans="1:15" x14ac:dyDescent="0.2">
      <c r="A4387" t="str">
        <f t="shared" si="67"/>
        <v/>
      </c>
      <c r="O4387" t="str">
        <f>IFERROR(VLOOKUP($A4387,Accounts!$A:$G,8,FALSE),"")</f>
        <v/>
      </c>
    </row>
    <row r="4388" spans="1:15" x14ac:dyDescent="0.2">
      <c r="A4388" t="str">
        <f t="shared" si="67"/>
        <v/>
      </c>
      <c r="O4388" t="str">
        <f>IFERROR(VLOOKUP($A4388,Accounts!$A:$G,8,FALSE),"")</f>
        <v/>
      </c>
    </row>
    <row r="4389" spans="1:15" x14ac:dyDescent="0.2">
      <c r="A4389" t="str">
        <f t="shared" si="67"/>
        <v/>
      </c>
      <c r="O4389" t="str">
        <f>IFERROR(VLOOKUP($A4389,Accounts!$A:$G,8,FALSE),"")</f>
        <v/>
      </c>
    </row>
    <row r="4390" spans="1:15" x14ac:dyDescent="0.2">
      <c r="A4390" t="str">
        <f t="shared" si="67"/>
        <v/>
      </c>
      <c r="O4390" t="str">
        <f>IFERROR(VLOOKUP($A4390,Accounts!$A:$G,8,FALSE),"")</f>
        <v/>
      </c>
    </row>
    <row r="4391" spans="1:15" x14ac:dyDescent="0.2">
      <c r="A4391" t="str">
        <f t="shared" si="67"/>
        <v/>
      </c>
      <c r="O4391" t="str">
        <f>IFERROR(VLOOKUP($A4391,Accounts!$A:$G,8,FALSE),"")</f>
        <v/>
      </c>
    </row>
    <row r="4392" spans="1:15" x14ac:dyDescent="0.2">
      <c r="A4392" t="str">
        <f t="shared" si="67"/>
        <v/>
      </c>
      <c r="O4392" t="str">
        <f>IFERROR(VLOOKUP($A4392,Accounts!$A:$G,8,FALSE),"")</f>
        <v/>
      </c>
    </row>
    <row r="4393" spans="1:15" x14ac:dyDescent="0.2">
      <c r="A4393" t="str">
        <f t="shared" si="67"/>
        <v/>
      </c>
      <c r="O4393" t="str">
        <f>IFERROR(VLOOKUP($A4393,Accounts!$A:$G,8,FALSE),"")</f>
        <v/>
      </c>
    </row>
    <row r="4394" spans="1:15" x14ac:dyDescent="0.2">
      <c r="A4394" t="str">
        <f t="shared" si="67"/>
        <v/>
      </c>
      <c r="O4394" t="str">
        <f>IFERROR(VLOOKUP($A4394,Accounts!$A:$G,8,FALSE),"")</f>
        <v/>
      </c>
    </row>
    <row r="4395" spans="1:15" x14ac:dyDescent="0.2">
      <c r="A4395" t="str">
        <f t="shared" si="67"/>
        <v/>
      </c>
      <c r="O4395" t="str">
        <f>IFERROR(VLOOKUP($A4395,Accounts!$A:$G,8,FALSE),"")</f>
        <v/>
      </c>
    </row>
    <row r="4396" spans="1:15" x14ac:dyDescent="0.2">
      <c r="A4396" t="str">
        <f t="shared" si="67"/>
        <v/>
      </c>
      <c r="O4396" t="str">
        <f>IFERROR(VLOOKUP($A4396,Accounts!$A:$G,8,FALSE),"")</f>
        <v/>
      </c>
    </row>
    <row r="4397" spans="1:15" x14ac:dyDescent="0.2">
      <c r="A4397" t="str">
        <f t="shared" si="67"/>
        <v/>
      </c>
      <c r="O4397" t="str">
        <f>IFERROR(VLOOKUP($A4397,Accounts!$A:$G,8,FALSE),"")</f>
        <v/>
      </c>
    </row>
    <row r="4398" spans="1:15" x14ac:dyDescent="0.2">
      <c r="A4398" t="str">
        <f t="shared" si="67"/>
        <v/>
      </c>
      <c r="O4398" t="str">
        <f>IFERROR(VLOOKUP($A4398,Accounts!$A:$G,8,FALSE),"")</f>
        <v/>
      </c>
    </row>
    <row r="4399" spans="1:15" x14ac:dyDescent="0.2">
      <c r="A4399" t="str">
        <f t="shared" si="67"/>
        <v/>
      </c>
      <c r="O4399" t="str">
        <f>IFERROR(VLOOKUP($A4399,Accounts!$A:$G,8,FALSE),"")</f>
        <v/>
      </c>
    </row>
    <row r="4400" spans="1:15" x14ac:dyDescent="0.2">
      <c r="A4400" t="str">
        <f t="shared" si="67"/>
        <v/>
      </c>
      <c r="O4400" t="str">
        <f>IFERROR(VLOOKUP($A4400,Accounts!$A:$G,8,FALSE),"")</f>
        <v/>
      </c>
    </row>
    <row r="4401" spans="1:15" x14ac:dyDescent="0.2">
      <c r="A4401" t="str">
        <f t="shared" si="67"/>
        <v/>
      </c>
      <c r="O4401" t="str">
        <f>IFERROR(VLOOKUP($A4401,Accounts!$A:$G,8,FALSE),"")</f>
        <v/>
      </c>
    </row>
    <row r="4402" spans="1:15" x14ac:dyDescent="0.2">
      <c r="A4402" t="str">
        <f t="shared" si="67"/>
        <v/>
      </c>
      <c r="O4402" t="str">
        <f>IFERROR(VLOOKUP($A4402,Accounts!$A:$G,8,FALSE),"")</f>
        <v/>
      </c>
    </row>
    <row r="4403" spans="1:15" x14ac:dyDescent="0.2">
      <c r="A4403" t="str">
        <f t="shared" si="67"/>
        <v/>
      </c>
      <c r="O4403" t="str">
        <f>IFERROR(VLOOKUP($A4403,Accounts!$A:$G,8,FALSE),"")</f>
        <v/>
      </c>
    </row>
    <row r="4404" spans="1:15" x14ac:dyDescent="0.2">
      <c r="A4404" t="str">
        <f t="shared" si="67"/>
        <v/>
      </c>
      <c r="O4404" t="str">
        <f>IFERROR(VLOOKUP($A4404,Accounts!$A:$G,8,FALSE),"")</f>
        <v/>
      </c>
    </row>
    <row r="4405" spans="1:15" x14ac:dyDescent="0.2">
      <c r="A4405" t="str">
        <f t="shared" si="67"/>
        <v/>
      </c>
      <c r="O4405" t="str">
        <f>IFERROR(VLOOKUP($A4405,Accounts!$A:$G,8,FALSE),"")</f>
        <v/>
      </c>
    </row>
    <row r="4406" spans="1:15" x14ac:dyDescent="0.2">
      <c r="A4406" t="str">
        <f t="shared" si="67"/>
        <v/>
      </c>
      <c r="O4406" t="str">
        <f>IFERROR(VLOOKUP($A4406,Accounts!$A:$G,8,FALSE),"")</f>
        <v/>
      </c>
    </row>
    <row r="4407" spans="1:15" x14ac:dyDescent="0.2">
      <c r="A4407" t="str">
        <f t="shared" si="67"/>
        <v/>
      </c>
      <c r="O4407" t="str">
        <f>IFERROR(VLOOKUP($A4407,Accounts!$A:$G,8,FALSE),"")</f>
        <v/>
      </c>
    </row>
    <row r="4408" spans="1:15" x14ac:dyDescent="0.2">
      <c r="A4408" t="str">
        <f t="shared" si="67"/>
        <v/>
      </c>
      <c r="O4408" t="str">
        <f>IFERROR(VLOOKUP($A4408,Accounts!$A:$G,8,FALSE),"")</f>
        <v/>
      </c>
    </row>
    <row r="4409" spans="1:15" x14ac:dyDescent="0.2">
      <c r="A4409" t="str">
        <f t="shared" si="67"/>
        <v/>
      </c>
      <c r="O4409" t="str">
        <f>IFERROR(VLOOKUP($A4409,Accounts!$A:$G,8,FALSE),"")</f>
        <v/>
      </c>
    </row>
    <row r="4410" spans="1:15" x14ac:dyDescent="0.2">
      <c r="A4410" t="str">
        <f t="shared" si="67"/>
        <v/>
      </c>
      <c r="O4410" t="str">
        <f>IFERROR(VLOOKUP($A4410,Accounts!$A:$G,8,FALSE),"")</f>
        <v/>
      </c>
    </row>
    <row r="4411" spans="1:15" x14ac:dyDescent="0.2">
      <c r="A4411" t="str">
        <f t="shared" si="67"/>
        <v/>
      </c>
      <c r="O4411" t="str">
        <f>IFERROR(VLOOKUP($A4411,Accounts!$A:$G,8,FALSE),"")</f>
        <v/>
      </c>
    </row>
    <row r="4412" spans="1:15" x14ac:dyDescent="0.2">
      <c r="A4412" t="str">
        <f t="shared" si="67"/>
        <v/>
      </c>
      <c r="O4412" t="str">
        <f>IFERROR(VLOOKUP($A4412,Accounts!$A:$G,8,FALSE),"")</f>
        <v/>
      </c>
    </row>
    <row r="4413" spans="1:15" x14ac:dyDescent="0.2">
      <c r="A4413" t="str">
        <f t="shared" si="67"/>
        <v/>
      </c>
      <c r="O4413" t="str">
        <f>IFERROR(VLOOKUP($A4413,Accounts!$A:$G,8,FALSE),"")</f>
        <v/>
      </c>
    </row>
    <row r="4414" spans="1:15" x14ac:dyDescent="0.2">
      <c r="A4414" t="str">
        <f t="shared" si="67"/>
        <v/>
      </c>
      <c r="O4414" t="str">
        <f>IFERROR(VLOOKUP($A4414,Accounts!$A:$G,8,FALSE),"")</f>
        <v/>
      </c>
    </row>
    <row r="4415" spans="1:15" x14ac:dyDescent="0.2">
      <c r="A4415" t="str">
        <f t="shared" si="67"/>
        <v/>
      </c>
      <c r="O4415" t="str">
        <f>IFERROR(VLOOKUP($A4415,Accounts!$A:$G,8,FALSE),"")</f>
        <v/>
      </c>
    </row>
    <row r="4416" spans="1:15" x14ac:dyDescent="0.2">
      <c r="A4416" t="str">
        <f t="shared" si="67"/>
        <v/>
      </c>
      <c r="O4416" t="str">
        <f>IFERROR(VLOOKUP($A4416,Accounts!$A:$G,8,FALSE),"")</f>
        <v/>
      </c>
    </row>
    <row r="4417" spans="1:15" x14ac:dyDescent="0.2">
      <c r="A4417" t="str">
        <f t="shared" si="67"/>
        <v/>
      </c>
      <c r="O4417" t="str">
        <f>IFERROR(VLOOKUP($A4417,Accounts!$A:$G,8,FALSE),"")</f>
        <v/>
      </c>
    </row>
    <row r="4418" spans="1:15" x14ac:dyDescent="0.2">
      <c r="A4418" t="str">
        <f t="shared" si="67"/>
        <v/>
      </c>
      <c r="O4418" t="str">
        <f>IFERROR(VLOOKUP($A4418,Accounts!$A:$G,8,FALSE),"")</f>
        <v/>
      </c>
    </row>
    <row r="4419" spans="1:15" x14ac:dyDescent="0.2">
      <c r="A4419" t="str">
        <f t="shared" ref="A4419:A4482" si="68">IFERROR(IF(J4419=0,B4419&amp;D4419&amp;I4419&amp;E4419,C4419&amp;D4419&amp;J4419&amp;G4419),"")</f>
        <v/>
      </c>
      <c r="O4419" t="str">
        <f>IFERROR(VLOOKUP($A4419,Accounts!$A:$G,8,FALSE),"")</f>
        <v/>
      </c>
    </row>
    <row r="4420" spans="1:15" x14ac:dyDescent="0.2">
      <c r="A4420" t="str">
        <f t="shared" si="68"/>
        <v/>
      </c>
      <c r="O4420" t="str">
        <f>IFERROR(VLOOKUP($A4420,Accounts!$A:$G,8,FALSE),"")</f>
        <v/>
      </c>
    </row>
    <row r="4421" spans="1:15" x14ac:dyDescent="0.2">
      <c r="A4421" t="str">
        <f t="shared" si="68"/>
        <v/>
      </c>
      <c r="O4421" t="str">
        <f>IFERROR(VLOOKUP($A4421,Accounts!$A:$G,8,FALSE),"")</f>
        <v/>
      </c>
    </row>
    <row r="4422" spans="1:15" x14ac:dyDescent="0.2">
      <c r="A4422" t="str">
        <f t="shared" si="68"/>
        <v/>
      </c>
      <c r="O4422" t="str">
        <f>IFERROR(VLOOKUP($A4422,Accounts!$A:$G,8,FALSE),"")</f>
        <v/>
      </c>
    </row>
    <row r="4423" spans="1:15" x14ac:dyDescent="0.2">
      <c r="A4423" t="str">
        <f t="shared" si="68"/>
        <v/>
      </c>
      <c r="O4423" t="str">
        <f>IFERROR(VLOOKUP($A4423,Accounts!$A:$G,8,FALSE),"")</f>
        <v/>
      </c>
    </row>
    <row r="4424" spans="1:15" x14ac:dyDescent="0.2">
      <c r="A4424" t="str">
        <f t="shared" si="68"/>
        <v/>
      </c>
      <c r="O4424" t="str">
        <f>IFERROR(VLOOKUP($A4424,Accounts!$A:$G,8,FALSE),"")</f>
        <v/>
      </c>
    </row>
    <row r="4425" spans="1:15" x14ac:dyDescent="0.2">
      <c r="A4425" t="str">
        <f t="shared" si="68"/>
        <v/>
      </c>
      <c r="O4425" t="str">
        <f>IFERROR(VLOOKUP($A4425,Accounts!$A:$G,8,FALSE),"")</f>
        <v/>
      </c>
    </row>
    <row r="4426" spans="1:15" x14ac:dyDescent="0.2">
      <c r="A4426" t="str">
        <f t="shared" si="68"/>
        <v/>
      </c>
      <c r="O4426" t="str">
        <f>IFERROR(VLOOKUP($A4426,Accounts!$A:$G,8,FALSE),"")</f>
        <v/>
      </c>
    </row>
    <row r="4427" spans="1:15" x14ac:dyDescent="0.2">
      <c r="A4427" t="str">
        <f t="shared" si="68"/>
        <v/>
      </c>
      <c r="O4427" t="str">
        <f>IFERROR(VLOOKUP($A4427,Accounts!$A:$G,8,FALSE),"")</f>
        <v/>
      </c>
    </row>
    <row r="4428" spans="1:15" x14ac:dyDescent="0.2">
      <c r="A4428" t="str">
        <f t="shared" si="68"/>
        <v/>
      </c>
      <c r="O4428" t="str">
        <f>IFERROR(VLOOKUP($A4428,Accounts!$A:$G,8,FALSE),"")</f>
        <v/>
      </c>
    </row>
    <row r="4429" spans="1:15" x14ac:dyDescent="0.2">
      <c r="A4429" t="str">
        <f t="shared" si="68"/>
        <v/>
      </c>
      <c r="O4429" t="str">
        <f>IFERROR(VLOOKUP($A4429,Accounts!$A:$G,8,FALSE),"")</f>
        <v/>
      </c>
    </row>
    <row r="4430" spans="1:15" x14ac:dyDescent="0.2">
      <c r="A4430" t="str">
        <f t="shared" si="68"/>
        <v/>
      </c>
      <c r="O4430" t="str">
        <f>IFERROR(VLOOKUP($A4430,Accounts!$A:$G,8,FALSE),"")</f>
        <v/>
      </c>
    </row>
    <row r="4431" spans="1:15" x14ac:dyDescent="0.2">
      <c r="A4431" t="str">
        <f t="shared" si="68"/>
        <v/>
      </c>
      <c r="O4431" t="str">
        <f>IFERROR(VLOOKUP($A4431,Accounts!$A:$G,8,FALSE),"")</f>
        <v/>
      </c>
    </row>
    <row r="4432" spans="1:15" x14ac:dyDescent="0.2">
      <c r="A4432" t="str">
        <f t="shared" si="68"/>
        <v/>
      </c>
      <c r="O4432" t="str">
        <f>IFERROR(VLOOKUP($A4432,Accounts!$A:$G,8,FALSE),"")</f>
        <v/>
      </c>
    </row>
    <row r="4433" spans="1:15" x14ac:dyDescent="0.2">
      <c r="A4433" t="str">
        <f t="shared" si="68"/>
        <v/>
      </c>
      <c r="O4433" t="str">
        <f>IFERROR(VLOOKUP($A4433,Accounts!$A:$G,8,FALSE),"")</f>
        <v/>
      </c>
    </row>
    <row r="4434" spans="1:15" x14ac:dyDescent="0.2">
      <c r="A4434" t="str">
        <f t="shared" si="68"/>
        <v/>
      </c>
      <c r="O4434" t="str">
        <f>IFERROR(VLOOKUP($A4434,Accounts!$A:$G,8,FALSE),"")</f>
        <v/>
      </c>
    </row>
    <row r="4435" spans="1:15" x14ac:dyDescent="0.2">
      <c r="A4435" t="str">
        <f t="shared" si="68"/>
        <v/>
      </c>
      <c r="O4435" t="str">
        <f>IFERROR(VLOOKUP($A4435,Accounts!$A:$G,8,FALSE),"")</f>
        <v/>
      </c>
    </row>
    <row r="4436" spans="1:15" x14ac:dyDescent="0.2">
      <c r="A4436" t="str">
        <f t="shared" si="68"/>
        <v/>
      </c>
      <c r="O4436" t="str">
        <f>IFERROR(VLOOKUP($A4436,Accounts!$A:$G,8,FALSE),"")</f>
        <v/>
      </c>
    </row>
    <row r="4437" spans="1:15" x14ac:dyDescent="0.2">
      <c r="A4437" t="str">
        <f t="shared" si="68"/>
        <v/>
      </c>
      <c r="O4437" t="str">
        <f>IFERROR(VLOOKUP($A4437,Accounts!$A:$G,8,FALSE),"")</f>
        <v/>
      </c>
    </row>
    <row r="4438" spans="1:15" x14ac:dyDescent="0.2">
      <c r="A4438" t="str">
        <f t="shared" si="68"/>
        <v/>
      </c>
      <c r="O4438" t="str">
        <f>IFERROR(VLOOKUP($A4438,Accounts!$A:$G,8,FALSE),"")</f>
        <v/>
      </c>
    </row>
    <row r="4439" spans="1:15" x14ac:dyDescent="0.2">
      <c r="A4439" t="str">
        <f t="shared" si="68"/>
        <v/>
      </c>
      <c r="O4439" t="str">
        <f>IFERROR(VLOOKUP($A4439,Accounts!$A:$G,8,FALSE),"")</f>
        <v/>
      </c>
    </row>
    <row r="4440" spans="1:15" x14ac:dyDescent="0.2">
      <c r="A4440" t="str">
        <f t="shared" si="68"/>
        <v/>
      </c>
      <c r="O4440" t="str">
        <f>IFERROR(VLOOKUP($A4440,Accounts!$A:$G,8,FALSE),"")</f>
        <v/>
      </c>
    </row>
    <row r="4441" spans="1:15" x14ac:dyDescent="0.2">
      <c r="A4441" t="str">
        <f t="shared" si="68"/>
        <v/>
      </c>
      <c r="O4441" t="str">
        <f>IFERROR(VLOOKUP($A4441,Accounts!$A:$G,8,FALSE),"")</f>
        <v/>
      </c>
    </row>
    <row r="4442" spans="1:15" x14ac:dyDescent="0.2">
      <c r="A4442" t="str">
        <f t="shared" si="68"/>
        <v/>
      </c>
      <c r="O4442" t="str">
        <f>IFERROR(VLOOKUP($A4442,Accounts!$A:$G,8,FALSE),"")</f>
        <v/>
      </c>
    </row>
    <row r="4443" spans="1:15" x14ac:dyDescent="0.2">
      <c r="A4443" t="str">
        <f t="shared" si="68"/>
        <v/>
      </c>
      <c r="O4443" t="str">
        <f>IFERROR(VLOOKUP($A4443,Accounts!$A:$G,8,FALSE),"")</f>
        <v/>
      </c>
    </row>
    <row r="4444" spans="1:15" x14ac:dyDescent="0.2">
      <c r="A4444" t="str">
        <f t="shared" si="68"/>
        <v/>
      </c>
      <c r="O4444" t="str">
        <f>IFERROR(VLOOKUP($A4444,Accounts!$A:$G,8,FALSE),"")</f>
        <v/>
      </c>
    </row>
    <row r="4445" spans="1:15" x14ac:dyDescent="0.2">
      <c r="A4445" t="str">
        <f t="shared" si="68"/>
        <v/>
      </c>
      <c r="O4445" t="str">
        <f>IFERROR(VLOOKUP($A4445,Accounts!$A:$G,8,FALSE),"")</f>
        <v/>
      </c>
    </row>
    <row r="4446" spans="1:15" x14ac:dyDescent="0.2">
      <c r="A4446" t="str">
        <f t="shared" si="68"/>
        <v/>
      </c>
      <c r="O4446" t="str">
        <f>IFERROR(VLOOKUP($A4446,Accounts!$A:$G,8,FALSE),"")</f>
        <v/>
      </c>
    </row>
    <row r="4447" spans="1:15" x14ac:dyDescent="0.2">
      <c r="A4447" t="str">
        <f t="shared" si="68"/>
        <v/>
      </c>
      <c r="O4447" t="str">
        <f>IFERROR(VLOOKUP($A4447,Accounts!$A:$G,8,FALSE),"")</f>
        <v/>
      </c>
    </row>
    <row r="4448" spans="1:15" x14ac:dyDescent="0.2">
      <c r="A4448" t="str">
        <f t="shared" si="68"/>
        <v/>
      </c>
      <c r="O4448" t="str">
        <f>IFERROR(VLOOKUP($A4448,Accounts!$A:$G,8,FALSE),"")</f>
        <v/>
      </c>
    </row>
    <row r="4449" spans="1:15" x14ac:dyDescent="0.2">
      <c r="A4449" t="str">
        <f t="shared" si="68"/>
        <v/>
      </c>
      <c r="O4449" t="str">
        <f>IFERROR(VLOOKUP($A4449,Accounts!$A:$G,8,FALSE),"")</f>
        <v/>
      </c>
    </row>
    <row r="4450" spans="1:15" x14ac:dyDescent="0.2">
      <c r="A4450" t="str">
        <f t="shared" si="68"/>
        <v/>
      </c>
      <c r="O4450" t="str">
        <f>IFERROR(VLOOKUP($A4450,Accounts!$A:$G,8,FALSE),"")</f>
        <v/>
      </c>
    </row>
    <row r="4451" spans="1:15" x14ac:dyDescent="0.2">
      <c r="A4451" t="str">
        <f t="shared" si="68"/>
        <v/>
      </c>
      <c r="O4451" t="str">
        <f>IFERROR(VLOOKUP($A4451,Accounts!$A:$G,8,FALSE),"")</f>
        <v/>
      </c>
    </row>
    <row r="4452" spans="1:15" x14ac:dyDescent="0.2">
      <c r="A4452" t="str">
        <f t="shared" si="68"/>
        <v/>
      </c>
      <c r="O4452" t="str">
        <f>IFERROR(VLOOKUP($A4452,Accounts!$A:$G,8,FALSE),"")</f>
        <v/>
      </c>
    </row>
    <row r="4453" spans="1:15" x14ac:dyDescent="0.2">
      <c r="A4453" t="str">
        <f t="shared" si="68"/>
        <v/>
      </c>
      <c r="O4453" t="str">
        <f>IFERROR(VLOOKUP($A4453,Accounts!$A:$G,8,FALSE),"")</f>
        <v/>
      </c>
    </row>
    <row r="4454" spans="1:15" x14ac:dyDescent="0.2">
      <c r="A4454" t="str">
        <f t="shared" si="68"/>
        <v/>
      </c>
      <c r="O4454" t="str">
        <f>IFERROR(VLOOKUP($A4454,Accounts!$A:$G,8,FALSE),"")</f>
        <v/>
      </c>
    </row>
    <row r="4455" spans="1:15" x14ac:dyDescent="0.2">
      <c r="A4455" t="str">
        <f t="shared" si="68"/>
        <v/>
      </c>
      <c r="O4455" t="str">
        <f>IFERROR(VLOOKUP($A4455,Accounts!$A:$G,8,FALSE),"")</f>
        <v/>
      </c>
    </row>
    <row r="4456" spans="1:15" x14ac:dyDescent="0.2">
      <c r="A4456" t="str">
        <f t="shared" si="68"/>
        <v/>
      </c>
      <c r="O4456" t="str">
        <f>IFERROR(VLOOKUP($A4456,Accounts!$A:$G,8,FALSE),"")</f>
        <v/>
      </c>
    </row>
    <row r="4457" spans="1:15" x14ac:dyDescent="0.2">
      <c r="A4457" t="str">
        <f t="shared" si="68"/>
        <v/>
      </c>
      <c r="O4457" t="str">
        <f>IFERROR(VLOOKUP($A4457,Accounts!$A:$G,8,FALSE),"")</f>
        <v/>
      </c>
    </row>
    <row r="4458" spans="1:15" x14ac:dyDescent="0.2">
      <c r="A4458" t="str">
        <f t="shared" si="68"/>
        <v/>
      </c>
      <c r="O4458" t="str">
        <f>IFERROR(VLOOKUP($A4458,Accounts!$A:$G,8,FALSE),"")</f>
        <v/>
      </c>
    </row>
    <row r="4459" spans="1:15" x14ac:dyDescent="0.2">
      <c r="A4459" t="str">
        <f t="shared" si="68"/>
        <v/>
      </c>
      <c r="O4459" t="str">
        <f>IFERROR(VLOOKUP($A4459,Accounts!$A:$G,8,FALSE),"")</f>
        <v/>
      </c>
    </row>
    <row r="4460" spans="1:15" x14ac:dyDescent="0.2">
      <c r="A4460" t="str">
        <f t="shared" si="68"/>
        <v/>
      </c>
      <c r="O4460" t="str">
        <f>IFERROR(VLOOKUP($A4460,Accounts!$A:$G,8,FALSE),"")</f>
        <v/>
      </c>
    </row>
    <row r="4461" spans="1:15" x14ac:dyDescent="0.2">
      <c r="A4461" t="str">
        <f t="shared" si="68"/>
        <v/>
      </c>
      <c r="O4461" t="str">
        <f>IFERROR(VLOOKUP($A4461,Accounts!$A:$G,8,FALSE),"")</f>
        <v/>
      </c>
    </row>
    <row r="4462" spans="1:15" x14ac:dyDescent="0.2">
      <c r="A4462" t="str">
        <f t="shared" si="68"/>
        <v/>
      </c>
      <c r="O4462" t="str">
        <f>IFERROR(VLOOKUP($A4462,Accounts!$A:$G,8,FALSE),"")</f>
        <v/>
      </c>
    </row>
    <row r="4463" spans="1:15" x14ac:dyDescent="0.2">
      <c r="A4463" t="str">
        <f t="shared" si="68"/>
        <v/>
      </c>
      <c r="O4463" t="str">
        <f>IFERROR(VLOOKUP($A4463,Accounts!$A:$G,8,FALSE),"")</f>
        <v/>
      </c>
    </row>
    <row r="4464" spans="1:15" x14ac:dyDescent="0.2">
      <c r="A4464" t="str">
        <f t="shared" si="68"/>
        <v/>
      </c>
      <c r="O4464" t="str">
        <f>IFERROR(VLOOKUP($A4464,Accounts!$A:$G,8,FALSE),"")</f>
        <v/>
      </c>
    </row>
    <row r="4465" spans="1:15" x14ac:dyDescent="0.2">
      <c r="A4465" t="str">
        <f t="shared" si="68"/>
        <v/>
      </c>
      <c r="O4465" t="str">
        <f>IFERROR(VLOOKUP($A4465,Accounts!$A:$G,8,FALSE),"")</f>
        <v/>
      </c>
    </row>
    <row r="4466" spans="1:15" x14ac:dyDescent="0.2">
      <c r="A4466" t="str">
        <f t="shared" si="68"/>
        <v/>
      </c>
      <c r="O4466" t="str">
        <f>IFERROR(VLOOKUP($A4466,Accounts!$A:$G,8,FALSE),"")</f>
        <v/>
      </c>
    </row>
    <row r="4467" spans="1:15" x14ac:dyDescent="0.2">
      <c r="A4467" t="str">
        <f t="shared" si="68"/>
        <v/>
      </c>
      <c r="O4467" t="str">
        <f>IFERROR(VLOOKUP($A4467,Accounts!$A:$G,8,FALSE),"")</f>
        <v/>
      </c>
    </row>
    <row r="4468" spans="1:15" x14ac:dyDescent="0.2">
      <c r="A4468" t="str">
        <f t="shared" si="68"/>
        <v/>
      </c>
      <c r="O4468" t="str">
        <f>IFERROR(VLOOKUP($A4468,Accounts!$A:$G,8,FALSE),"")</f>
        <v/>
      </c>
    </row>
    <row r="4469" spans="1:15" x14ac:dyDescent="0.2">
      <c r="A4469" t="str">
        <f t="shared" si="68"/>
        <v/>
      </c>
      <c r="O4469" t="str">
        <f>IFERROR(VLOOKUP($A4469,Accounts!$A:$G,8,FALSE),"")</f>
        <v/>
      </c>
    </row>
    <row r="4470" spans="1:15" x14ac:dyDescent="0.2">
      <c r="A4470" t="str">
        <f t="shared" si="68"/>
        <v/>
      </c>
      <c r="O4470" t="str">
        <f>IFERROR(VLOOKUP($A4470,Accounts!$A:$G,8,FALSE),"")</f>
        <v/>
      </c>
    </row>
    <row r="4471" spans="1:15" x14ac:dyDescent="0.2">
      <c r="A4471" t="str">
        <f t="shared" si="68"/>
        <v/>
      </c>
      <c r="O4471" t="str">
        <f>IFERROR(VLOOKUP($A4471,Accounts!$A:$G,8,FALSE),"")</f>
        <v/>
      </c>
    </row>
    <row r="4472" spans="1:15" x14ac:dyDescent="0.2">
      <c r="A4472" t="str">
        <f t="shared" si="68"/>
        <v/>
      </c>
      <c r="O4472" t="str">
        <f>IFERROR(VLOOKUP($A4472,Accounts!$A:$G,8,FALSE),"")</f>
        <v/>
      </c>
    </row>
    <row r="4473" spans="1:15" x14ac:dyDescent="0.2">
      <c r="A4473" t="str">
        <f t="shared" si="68"/>
        <v/>
      </c>
      <c r="O4473" t="str">
        <f>IFERROR(VLOOKUP($A4473,Accounts!$A:$G,8,FALSE),"")</f>
        <v/>
      </c>
    </row>
    <row r="4474" spans="1:15" x14ac:dyDescent="0.2">
      <c r="A4474" t="str">
        <f t="shared" si="68"/>
        <v/>
      </c>
      <c r="O4474" t="str">
        <f>IFERROR(VLOOKUP($A4474,Accounts!$A:$G,8,FALSE),"")</f>
        <v/>
      </c>
    </row>
    <row r="4475" spans="1:15" x14ac:dyDescent="0.2">
      <c r="A4475" t="str">
        <f t="shared" si="68"/>
        <v/>
      </c>
      <c r="O4475" t="str">
        <f>IFERROR(VLOOKUP($A4475,Accounts!$A:$G,8,FALSE),"")</f>
        <v/>
      </c>
    </row>
    <row r="4476" spans="1:15" x14ac:dyDescent="0.2">
      <c r="A4476" t="str">
        <f t="shared" si="68"/>
        <v/>
      </c>
      <c r="O4476" t="str">
        <f>IFERROR(VLOOKUP($A4476,Accounts!$A:$G,8,FALSE),"")</f>
        <v/>
      </c>
    </row>
    <row r="4477" spans="1:15" x14ac:dyDescent="0.2">
      <c r="A4477" t="str">
        <f t="shared" si="68"/>
        <v/>
      </c>
      <c r="O4477" t="str">
        <f>IFERROR(VLOOKUP($A4477,Accounts!$A:$G,8,FALSE),"")</f>
        <v/>
      </c>
    </row>
    <row r="4478" spans="1:15" x14ac:dyDescent="0.2">
      <c r="A4478" t="str">
        <f t="shared" si="68"/>
        <v/>
      </c>
      <c r="O4478" t="str">
        <f>IFERROR(VLOOKUP($A4478,Accounts!$A:$G,8,FALSE),"")</f>
        <v/>
      </c>
    </row>
    <row r="4479" spans="1:15" x14ac:dyDescent="0.2">
      <c r="A4479" t="str">
        <f t="shared" si="68"/>
        <v/>
      </c>
      <c r="O4479" t="str">
        <f>IFERROR(VLOOKUP($A4479,Accounts!$A:$G,8,FALSE),"")</f>
        <v/>
      </c>
    </row>
    <row r="4480" spans="1:15" x14ac:dyDescent="0.2">
      <c r="A4480" t="str">
        <f t="shared" si="68"/>
        <v/>
      </c>
      <c r="O4480" t="str">
        <f>IFERROR(VLOOKUP($A4480,Accounts!$A:$G,8,FALSE),"")</f>
        <v/>
      </c>
    </row>
    <row r="4481" spans="1:15" x14ac:dyDescent="0.2">
      <c r="A4481" t="str">
        <f t="shared" si="68"/>
        <v/>
      </c>
      <c r="O4481" t="str">
        <f>IFERROR(VLOOKUP($A4481,Accounts!$A:$G,8,FALSE),"")</f>
        <v/>
      </c>
    </row>
    <row r="4482" spans="1:15" x14ac:dyDescent="0.2">
      <c r="A4482" t="str">
        <f t="shared" si="68"/>
        <v/>
      </c>
      <c r="O4482" t="str">
        <f>IFERROR(VLOOKUP($A4482,Accounts!$A:$G,8,FALSE),"")</f>
        <v/>
      </c>
    </row>
    <row r="4483" spans="1:15" x14ac:dyDescent="0.2">
      <c r="A4483" t="str">
        <f t="shared" ref="A4483:A4546" si="69">IFERROR(IF(J4483=0,B4483&amp;D4483&amp;I4483&amp;E4483,C4483&amp;D4483&amp;J4483&amp;G4483),"")</f>
        <v/>
      </c>
      <c r="O4483" t="str">
        <f>IFERROR(VLOOKUP($A4483,Accounts!$A:$G,8,FALSE),"")</f>
        <v/>
      </c>
    </row>
    <row r="4484" spans="1:15" x14ac:dyDescent="0.2">
      <c r="A4484" t="str">
        <f t="shared" si="69"/>
        <v/>
      </c>
      <c r="O4484" t="str">
        <f>IFERROR(VLOOKUP($A4484,Accounts!$A:$G,8,FALSE),"")</f>
        <v/>
      </c>
    </row>
    <row r="4485" spans="1:15" x14ac:dyDescent="0.2">
      <c r="A4485" t="str">
        <f t="shared" si="69"/>
        <v/>
      </c>
      <c r="O4485" t="str">
        <f>IFERROR(VLOOKUP($A4485,Accounts!$A:$G,8,FALSE),"")</f>
        <v/>
      </c>
    </row>
    <row r="4486" spans="1:15" x14ac:dyDescent="0.2">
      <c r="A4486" t="str">
        <f t="shared" si="69"/>
        <v/>
      </c>
      <c r="O4486" t="str">
        <f>IFERROR(VLOOKUP($A4486,Accounts!$A:$G,8,FALSE),"")</f>
        <v/>
      </c>
    </row>
    <row r="4487" spans="1:15" x14ac:dyDescent="0.2">
      <c r="A4487" t="str">
        <f t="shared" si="69"/>
        <v/>
      </c>
      <c r="O4487" t="str">
        <f>IFERROR(VLOOKUP($A4487,Accounts!$A:$G,8,FALSE),"")</f>
        <v/>
      </c>
    </row>
    <row r="4488" spans="1:15" x14ac:dyDescent="0.2">
      <c r="A4488" t="str">
        <f t="shared" si="69"/>
        <v/>
      </c>
      <c r="O4488" t="str">
        <f>IFERROR(VLOOKUP($A4488,Accounts!$A:$G,8,FALSE),"")</f>
        <v/>
      </c>
    </row>
    <row r="4489" spans="1:15" x14ac:dyDescent="0.2">
      <c r="A4489" t="str">
        <f t="shared" si="69"/>
        <v/>
      </c>
      <c r="O4489" t="str">
        <f>IFERROR(VLOOKUP($A4489,Accounts!$A:$G,8,FALSE),"")</f>
        <v/>
      </c>
    </row>
    <row r="4490" spans="1:15" x14ac:dyDescent="0.2">
      <c r="A4490" t="str">
        <f t="shared" si="69"/>
        <v/>
      </c>
      <c r="O4490" t="str">
        <f>IFERROR(VLOOKUP($A4490,Accounts!$A:$G,8,FALSE),"")</f>
        <v/>
      </c>
    </row>
    <row r="4491" spans="1:15" x14ac:dyDescent="0.2">
      <c r="A4491" t="str">
        <f t="shared" si="69"/>
        <v/>
      </c>
      <c r="O4491" t="str">
        <f>IFERROR(VLOOKUP($A4491,Accounts!$A:$G,8,FALSE),"")</f>
        <v/>
      </c>
    </row>
    <row r="4492" spans="1:15" x14ac:dyDescent="0.2">
      <c r="A4492" t="str">
        <f t="shared" si="69"/>
        <v/>
      </c>
      <c r="O4492" t="str">
        <f>IFERROR(VLOOKUP($A4492,Accounts!$A:$G,8,FALSE),"")</f>
        <v/>
      </c>
    </row>
    <row r="4493" spans="1:15" x14ac:dyDescent="0.2">
      <c r="A4493" t="str">
        <f t="shared" si="69"/>
        <v/>
      </c>
      <c r="O4493" t="str">
        <f>IFERROR(VLOOKUP($A4493,Accounts!$A:$G,8,FALSE),"")</f>
        <v/>
      </c>
    </row>
    <row r="4494" spans="1:15" x14ac:dyDescent="0.2">
      <c r="A4494" t="str">
        <f t="shared" si="69"/>
        <v/>
      </c>
      <c r="O4494" t="str">
        <f>IFERROR(VLOOKUP($A4494,Accounts!$A:$G,8,FALSE),"")</f>
        <v/>
      </c>
    </row>
    <row r="4495" spans="1:15" x14ac:dyDescent="0.2">
      <c r="A4495" t="str">
        <f t="shared" si="69"/>
        <v/>
      </c>
      <c r="O4495" t="str">
        <f>IFERROR(VLOOKUP($A4495,Accounts!$A:$G,8,FALSE),"")</f>
        <v/>
      </c>
    </row>
    <row r="4496" spans="1:15" x14ac:dyDescent="0.2">
      <c r="A4496" t="str">
        <f t="shared" si="69"/>
        <v/>
      </c>
      <c r="O4496" t="str">
        <f>IFERROR(VLOOKUP($A4496,Accounts!$A:$G,8,FALSE),"")</f>
        <v/>
      </c>
    </row>
    <row r="4497" spans="1:15" x14ac:dyDescent="0.2">
      <c r="A4497" t="str">
        <f t="shared" si="69"/>
        <v/>
      </c>
      <c r="O4497" t="str">
        <f>IFERROR(VLOOKUP($A4497,Accounts!$A:$G,8,FALSE),"")</f>
        <v/>
      </c>
    </row>
    <row r="4498" spans="1:15" x14ac:dyDescent="0.2">
      <c r="A4498" t="str">
        <f t="shared" si="69"/>
        <v/>
      </c>
      <c r="O4498" t="str">
        <f>IFERROR(VLOOKUP($A4498,Accounts!$A:$G,8,FALSE),"")</f>
        <v/>
      </c>
    </row>
    <row r="4499" spans="1:15" x14ac:dyDescent="0.2">
      <c r="A4499" t="str">
        <f t="shared" si="69"/>
        <v/>
      </c>
      <c r="O4499" t="str">
        <f>IFERROR(VLOOKUP($A4499,Accounts!$A:$G,8,FALSE),"")</f>
        <v/>
      </c>
    </row>
    <row r="4500" spans="1:15" x14ac:dyDescent="0.2">
      <c r="A4500" t="str">
        <f t="shared" si="69"/>
        <v/>
      </c>
      <c r="O4500" t="str">
        <f>IFERROR(VLOOKUP($A4500,Accounts!$A:$G,8,FALSE),"")</f>
        <v/>
      </c>
    </row>
    <row r="4501" spans="1:15" x14ac:dyDescent="0.2">
      <c r="A4501" t="str">
        <f t="shared" si="69"/>
        <v/>
      </c>
      <c r="O4501" t="str">
        <f>IFERROR(VLOOKUP($A4501,Accounts!$A:$G,8,FALSE),"")</f>
        <v/>
      </c>
    </row>
    <row r="4502" spans="1:15" x14ac:dyDescent="0.2">
      <c r="A4502" t="str">
        <f t="shared" si="69"/>
        <v/>
      </c>
      <c r="O4502" t="str">
        <f>IFERROR(VLOOKUP($A4502,Accounts!$A:$G,8,FALSE),"")</f>
        <v/>
      </c>
    </row>
    <row r="4503" spans="1:15" x14ac:dyDescent="0.2">
      <c r="A4503" t="str">
        <f t="shared" si="69"/>
        <v/>
      </c>
      <c r="O4503" t="str">
        <f>IFERROR(VLOOKUP($A4503,Accounts!$A:$G,8,FALSE),"")</f>
        <v/>
      </c>
    </row>
    <row r="4504" spans="1:15" x14ac:dyDescent="0.2">
      <c r="A4504" t="str">
        <f t="shared" si="69"/>
        <v/>
      </c>
      <c r="O4504" t="str">
        <f>IFERROR(VLOOKUP($A4504,Accounts!$A:$G,8,FALSE),"")</f>
        <v/>
      </c>
    </row>
    <row r="4505" spans="1:15" x14ac:dyDescent="0.2">
      <c r="A4505" t="str">
        <f t="shared" si="69"/>
        <v/>
      </c>
      <c r="O4505" t="str">
        <f>IFERROR(VLOOKUP($A4505,Accounts!$A:$G,8,FALSE),"")</f>
        <v/>
      </c>
    </row>
    <row r="4506" spans="1:15" x14ac:dyDescent="0.2">
      <c r="A4506" t="str">
        <f t="shared" si="69"/>
        <v/>
      </c>
      <c r="O4506" t="str">
        <f>IFERROR(VLOOKUP($A4506,Accounts!$A:$G,8,FALSE),"")</f>
        <v/>
      </c>
    </row>
    <row r="4507" spans="1:15" x14ac:dyDescent="0.2">
      <c r="A4507" t="str">
        <f t="shared" si="69"/>
        <v/>
      </c>
      <c r="O4507" t="str">
        <f>IFERROR(VLOOKUP($A4507,Accounts!$A:$G,8,FALSE),"")</f>
        <v/>
      </c>
    </row>
    <row r="4508" spans="1:15" x14ac:dyDescent="0.2">
      <c r="A4508" t="str">
        <f t="shared" si="69"/>
        <v/>
      </c>
      <c r="O4508" t="str">
        <f>IFERROR(VLOOKUP($A4508,Accounts!$A:$G,8,FALSE),"")</f>
        <v/>
      </c>
    </row>
    <row r="4509" spans="1:15" x14ac:dyDescent="0.2">
      <c r="A4509" t="str">
        <f t="shared" si="69"/>
        <v/>
      </c>
      <c r="O4509" t="str">
        <f>IFERROR(VLOOKUP($A4509,Accounts!$A:$G,8,FALSE),"")</f>
        <v/>
      </c>
    </row>
    <row r="4510" spans="1:15" x14ac:dyDescent="0.2">
      <c r="A4510" t="str">
        <f t="shared" si="69"/>
        <v/>
      </c>
      <c r="O4510" t="str">
        <f>IFERROR(VLOOKUP($A4510,Accounts!$A:$G,8,FALSE),"")</f>
        <v/>
      </c>
    </row>
    <row r="4511" spans="1:15" x14ac:dyDescent="0.2">
      <c r="A4511" t="str">
        <f t="shared" si="69"/>
        <v/>
      </c>
      <c r="O4511" t="str">
        <f>IFERROR(VLOOKUP($A4511,Accounts!$A:$G,8,FALSE),"")</f>
        <v/>
      </c>
    </row>
    <row r="4512" spans="1:15" x14ac:dyDescent="0.2">
      <c r="A4512" t="str">
        <f t="shared" si="69"/>
        <v/>
      </c>
      <c r="O4512" t="str">
        <f>IFERROR(VLOOKUP($A4512,Accounts!$A:$G,8,FALSE),"")</f>
        <v/>
      </c>
    </row>
    <row r="4513" spans="1:15" x14ac:dyDescent="0.2">
      <c r="A4513" t="str">
        <f t="shared" si="69"/>
        <v/>
      </c>
      <c r="O4513" t="str">
        <f>IFERROR(VLOOKUP($A4513,Accounts!$A:$G,8,FALSE),"")</f>
        <v/>
      </c>
    </row>
    <row r="4514" spans="1:15" x14ac:dyDescent="0.2">
      <c r="A4514" t="str">
        <f t="shared" si="69"/>
        <v/>
      </c>
      <c r="O4514" t="str">
        <f>IFERROR(VLOOKUP($A4514,Accounts!$A:$G,8,FALSE),"")</f>
        <v/>
      </c>
    </row>
    <row r="4515" spans="1:15" x14ac:dyDescent="0.2">
      <c r="A4515" t="str">
        <f t="shared" si="69"/>
        <v/>
      </c>
      <c r="O4515" t="str">
        <f>IFERROR(VLOOKUP($A4515,Accounts!$A:$G,8,FALSE),"")</f>
        <v/>
      </c>
    </row>
    <row r="4516" spans="1:15" x14ac:dyDescent="0.2">
      <c r="A4516" t="str">
        <f t="shared" si="69"/>
        <v/>
      </c>
      <c r="O4516" t="str">
        <f>IFERROR(VLOOKUP($A4516,Accounts!$A:$G,8,FALSE),"")</f>
        <v/>
      </c>
    </row>
    <row r="4517" spans="1:15" x14ac:dyDescent="0.2">
      <c r="A4517" t="str">
        <f t="shared" si="69"/>
        <v/>
      </c>
      <c r="O4517" t="str">
        <f>IFERROR(VLOOKUP($A4517,Accounts!$A:$G,8,FALSE),"")</f>
        <v/>
      </c>
    </row>
    <row r="4518" spans="1:15" x14ac:dyDescent="0.2">
      <c r="A4518" t="str">
        <f t="shared" si="69"/>
        <v/>
      </c>
      <c r="O4518" t="str">
        <f>IFERROR(VLOOKUP($A4518,Accounts!$A:$G,8,FALSE),"")</f>
        <v/>
      </c>
    </row>
    <row r="4519" spans="1:15" x14ac:dyDescent="0.2">
      <c r="A4519" t="str">
        <f t="shared" si="69"/>
        <v/>
      </c>
      <c r="O4519" t="str">
        <f>IFERROR(VLOOKUP($A4519,Accounts!$A:$G,8,FALSE),"")</f>
        <v/>
      </c>
    </row>
    <row r="4520" spans="1:15" x14ac:dyDescent="0.2">
      <c r="A4520" t="str">
        <f t="shared" si="69"/>
        <v/>
      </c>
      <c r="O4520" t="str">
        <f>IFERROR(VLOOKUP($A4520,Accounts!$A:$G,8,FALSE),"")</f>
        <v/>
      </c>
    </row>
    <row r="4521" spans="1:15" x14ac:dyDescent="0.2">
      <c r="A4521" t="str">
        <f t="shared" si="69"/>
        <v/>
      </c>
      <c r="O4521" t="str">
        <f>IFERROR(VLOOKUP($A4521,Accounts!$A:$G,8,FALSE),"")</f>
        <v/>
      </c>
    </row>
    <row r="4522" spans="1:15" x14ac:dyDescent="0.2">
      <c r="A4522" t="str">
        <f t="shared" si="69"/>
        <v/>
      </c>
      <c r="O4522" t="str">
        <f>IFERROR(VLOOKUP($A4522,Accounts!$A:$G,8,FALSE),"")</f>
        <v/>
      </c>
    </row>
    <row r="4523" spans="1:15" x14ac:dyDescent="0.2">
      <c r="A4523" t="str">
        <f t="shared" si="69"/>
        <v/>
      </c>
      <c r="O4523" t="str">
        <f>IFERROR(VLOOKUP($A4523,Accounts!$A:$G,8,FALSE),"")</f>
        <v/>
      </c>
    </row>
    <row r="4524" spans="1:15" x14ac:dyDescent="0.2">
      <c r="A4524" t="str">
        <f t="shared" si="69"/>
        <v/>
      </c>
      <c r="O4524" t="str">
        <f>IFERROR(VLOOKUP($A4524,Accounts!$A:$G,8,FALSE),"")</f>
        <v/>
      </c>
    </row>
    <row r="4525" spans="1:15" x14ac:dyDescent="0.2">
      <c r="A4525" t="str">
        <f t="shared" si="69"/>
        <v/>
      </c>
      <c r="O4525" t="str">
        <f>IFERROR(VLOOKUP($A4525,Accounts!$A:$G,8,FALSE),"")</f>
        <v/>
      </c>
    </row>
    <row r="4526" spans="1:15" x14ac:dyDescent="0.2">
      <c r="A4526" t="str">
        <f t="shared" si="69"/>
        <v/>
      </c>
      <c r="O4526" t="str">
        <f>IFERROR(VLOOKUP($A4526,Accounts!$A:$G,8,FALSE),"")</f>
        <v/>
      </c>
    </row>
    <row r="4527" spans="1:15" x14ac:dyDescent="0.2">
      <c r="A4527" t="str">
        <f t="shared" si="69"/>
        <v/>
      </c>
      <c r="O4527" t="str">
        <f>IFERROR(VLOOKUP($A4527,Accounts!$A:$G,8,FALSE),"")</f>
        <v/>
      </c>
    </row>
    <row r="4528" spans="1:15" x14ac:dyDescent="0.2">
      <c r="A4528" t="str">
        <f t="shared" si="69"/>
        <v/>
      </c>
      <c r="O4528" t="str">
        <f>IFERROR(VLOOKUP($A4528,Accounts!$A:$G,8,FALSE),"")</f>
        <v/>
      </c>
    </row>
    <row r="4529" spans="1:15" x14ac:dyDescent="0.2">
      <c r="A4529" t="str">
        <f t="shared" si="69"/>
        <v/>
      </c>
      <c r="O4529" t="str">
        <f>IFERROR(VLOOKUP($A4529,Accounts!$A:$G,8,FALSE),"")</f>
        <v/>
      </c>
    </row>
    <row r="4530" spans="1:15" x14ac:dyDescent="0.2">
      <c r="A4530" t="str">
        <f t="shared" si="69"/>
        <v/>
      </c>
      <c r="O4530" t="str">
        <f>IFERROR(VLOOKUP($A4530,Accounts!$A:$G,8,FALSE),"")</f>
        <v/>
      </c>
    </row>
    <row r="4531" spans="1:15" x14ac:dyDescent="0.2">
      <c r="A4531" t="str">
        <f t="shared" si="69"/>
        <v/>
      </c>
      <c r="O4531" t="str">
        <f>IFERROR(VLOOKUP($A4531,Accounts!$A:$G,8,FALSE),"")</f>
        <v/>
      </c>
    </row>
    <row r="4532" spans="1:15" x14ac:dyDescent="0.2">
      <c r="A4532" t="str">
        <f t="shared" si="69"/>
        <v/>
      </c>
      <c r="O4532" t="str">
        <f>IFERROR(VLOOKUP($A4532,Accounts!$A:$G,8,FALSE),"")</f>
        <v/>
      </c>
    </row>
    <row r="4533" spans="1:15" x14ac:dyDescent="0.2">
      <c r="A4533" t="str">
        <f t="shared" si="69"/>
        <v/>
      </c>
      <c r="O4533" t="str">
        <f>IFERROR(VLOOKUP($A4533,Accounts!$A:$G,8,FALSE),"")</f>
        <v/>
      </c>
    </row>
    <row r="4534" spans="1:15" x14ac:dyDescent="0.2">
      <c r="A4534" t="str">
        <f t="shared" si="69"/>
        <v/>
      </c>
      <c r="O4534" t="str">
        <f>IFERROR(VLOOKUP($A4534,Accounts!$A:$G,8,FALSE),"")</f>
        <v/>
      </c>
    </row>
    <row r="4535" spans="1:15" x14ac:dyDescent="0.2">
      <c r="A4535" t="str">
        <f t="shared" si="69"/>
        <v/>
      </c>
      <c r="O4535" t="str">
        <f>IFERROR(VLOOKUP($A4535,Accounts!$A:$G,8,FALSE),"")</f>
        <v/>
      </c>
    </row>
    <row r="4536" spans="1:15" x14ac:dyDescent="0.2">
      <c r="A4536" t="str">
        <f t="shared" si="69"/>
        <v/>
      </c>
      <c r="O4536" t="str">
        <f>IFERROR(VLOOKUP($A4536,Accounts!$A:$G,8,FALSE),"")</f>
        <v/>
      </c>
    </row>
    <row r="4537" spans="1:15" x14ac:dyDescent="0.2">
      <c r="A4537" t="str">
        <f t="shared" si="69"/>
        <v/>
      </c>
      <c r="O4537" t="str">
        <f>IFERROR(VLOOKUP($A4537,Accounts!$A:$G,8,FALSE),"")</f>
        <v/>
      </c>
    </row>
    <row r="4538" spans="1:15" x14ac:dyDescent="0.2">
      <c r="A4538" t="str">
        <f t="shared" si="69"/>
        <v/>
      </c>
      <c r="O4538" t="str">
        <f>IFERROR(VLOOKUP($A4538,Accounts!$A:$G,8,FALSE),"")</f>
        <v/>
      </c>
    </row>
    <row r="4539" spans="1:15" x14ac:dyDescent="0.2">
      <c r="A4539" t="str">
        <f t="shared" si="69"/>
        <v/>
      </c>
      <c r="O4539" t="str">
        <f>IFERROR(VLOOKUP($A4539,Accounts!$A:$G,8,FALSE),"")</f>
        <v/>
      </c>
    </row>
    <row r="4540" spans="1:15" x14ac:dyDescent="0.2">
      <c r="A4540" t="str">
        <f t="shared" si="69"/>
        <v/>
      </c>
      <c r="O4540" t="str">
        <f>IFERROR(VLOOKUP($A4540,Accounts!$A:$G,8,FALSE),"")</f>
        <v/>
      </c>
    </row>
    <row r="4541" spans="1:15" x14ac:dyDescent="0.2">
      <c r="A4541" t="str">
        <f t="shared" si="69"/>
        <v/>
      </c>
      <c r="O4541" t="str">
        <f>IFERROR(VLOOKUP($A4541,Accounts!$A:$G,8,FALSE),"")</f>
        <v/>
      </c>
    </row>
    <row r="4542" spans="1:15" x14ac:dyDescent="0.2">
      <c r="A4542" t="str">
        <f t="shared" si="69"/>
        <v/>
      </c>
      <c r="O4542" t="str">
        <f>IFERROR(VLOOKUP($A4542,Accounts!$A:$G,8,FALSE),"")</f>
        <v/>
      </c>
    </row>
    <row r="4543" spans="1:15" x14ac:dyDescent="0.2">
      <c r="A4543" t="str">
        <f t="shared" si="69"/>
        <v/>
      </c>
      <c r="O4543" t="str">
        <f>IFERROR(VLOOKUP($A4543,Accounts!$A:$G,8,FALSE),"")</f>
        <v/>
      </c>
    </row>
    <row r="4544" spans="1:15" x14ac:dyDescent="0.2">
      <c r="A4544" t="str">
        <f t="shared" si="69"/>
        <v/>
      </c>
      <c r="O4544" t="str">
        <f>IFERROR(VLOOKUP($A4544,Accounts!$A:$G,8,FALSE),"")</f>
        <v/>
      </c>
    </row>
    <row r="4545" spans="1:15" x14ac:dyDescent="0.2">
      <c r="A4545" t="str">
        <f t="shared" si="69"/>
        <v/>
      </c>
      <c r="O4545" t="str">
        <f>IFERROR(VLOOKUP($A4545,Accounts!$A:$G,8,FALSE),"")</f>
        <v/>
      </c>
    </row>
    <row r="4546" spans="1:15" x14ac:dyDescent="0.2">
      <c r="A4546" t="str">
        <f t="shared" si="69"/>
        <v/>
      </c>
      <c r="O4546" t="str">
        <f>IFERROR(VLOOKUP($A4546,Accounts!$A:$G,8,FALSE),"")</f>
        <v/>
      </c>
    </row>
    <row r="4547" spans="1:15" x14ac:dyDescent="0.2">
      <c r="A4547" t="str">
        <f t="shared" ref="A4547:A4610" si="70">IFERROR(IF(J4547=0,B4547&amp;D4547&amp;I4547&amp;E4547,C4547&amp;D4547&amp;J4547&amp;G4547),"")</f>
        <v/>
      </c>
      <c r="O4547" t="str">
        <f>IFERROR(VLOOKUP($A4547,Accounts!$A:$G,8,FALSE),"")</f>
        <v/>
      </c>
    </row>
    <row r="4548" spans="1:15" x14ac:dyDescent="0.2">
      <c r="A4548" t="str">
        <f t="shared" si="70"/>
        <v/>
      </c>
      <c r="O4548" t="str">
        <f>IFERROR(VLOOKUP($A4548,Accounts!$A:$G,8,FALSE),"")</f>
        <v/>
      </c>
    </row>
    <row r="4549" spans="1:15" x14ac:dyDescent="0.2">
      <c r="A4549" t="str">
        <f t="shared" si="70"/>
        <v/>
      </c>
      <c r="O4549" t="str">
        <f>IFERROR(VLOOKUP($A4549,Accounts!$A:$G,8,FALSE),"")</f>
        <v/>
      </c>
    </row>
    <row r="4550" spans="1:15" x14ac:dyDescent="0.2">
      <c r="A4550" t="str">
        <f t="shared" si="70"/>
        <v/>
      </c>
      <c r="O4550" t="str">
        <f>IFERROR(VLOOKUP($A4550,Accounts!$A:$G,8,FALSE),"")</f>
        <v/>
      </c>
    </row>
    <row r="4551" spans="1:15" x14ac:dyDescent="0.2">
      <c r="A4551" t="str">
        <f t="shared" si="70"/>
        <v/>
      </c>
      <c r="O4551" t="str">
        <f>IFERROR(VLOOKUP($A4551,Accounts!$A:$G,8,FALSE),"")</f>
        <v/>
      </c>
    </row>
    <row r="4552" spans="1:15" x14ac:dyDescent="0.2">
      <c r="A4552" t="str">
        <f t="shared" si="70"/>
        <v/>
      </c>
      <c r="O4552" t="str">
        <f>IFERROR(VLOOKUP($A4552,Accounts!$A:$G,8,FALSE),"")</f>
        <v/>
      </c>
    </row>
    <row r="4553" spans="1:15" x14ac:dyDescent="0.2">
      <c r="A4553" t="str">
        <f t="shared" si="70"/>
        <v/>
      </c>
      <c r="O4553" t="str">
        <f>IFERROR(VLOOKUP($A4553,Accounts!$A:$G,8,FALSE),"")</f>
        <v/>
      </c>
    </row>
    <row r="4554" spans="1:15" x14ac:dyDescent="0.2">
      <c r="A4554" t="str">
        <f t="shared" si="70"/>
        <v/>
      </c>
      <c r="O4554" t="str">
        <f>IFERROR(VLOOKUP($A4554,Accounts!$A:$G,8,FALSE),"")</f>
        <v/>
      </c>
    </row>
    <row r="4555" spans="1:15" x14ac:dyDescent="0.2">
      <c r="A4555" t="str">
        <f t="shared" si="70"/>
        <v/>
      </c>
      <c r="O4555" t="str">
        <f>IFERROR(VLOOKUP($A4555,Accounts!$A:$G,8,FALSE),"")</f>
        <v/>
      </c>
    </row>
    <row r="4556" spans="1:15" x14ac:dyDescent="0.2">
      <c r="A4556" t="str">
        <f t="shared" si="70"/>
        <v/>
      </c>
      <c r="O4556" t="str">
        <f>IFERROR(VLOOKUP($A4556,Accounts!$A:$G,8,FALSE),"")</f>
        <v/>
      </c>
    </row>
    <row r="4557" spans="1:15" x14ac:dyDescent="0.2">
      <c r="A4557" t="str">
        <f t="shared" si="70"/>
        <v/>
      </c>
      <c r="O4557" t="str">
        <f>IFERROR(VLOOKUP($A4557,Accounts!$A:$G,8,FALSE),"")</f>
        <v/>
      </c>
    </row>
    <row r="4558" spans="1:15" x14ac:dyDescent="0.2">
      <c r="A4558" t="str">
        <f t="shared" si="70"/>
        <v/>
      </c>
      <c r="O4558" t="str">
        <f>IFERROR(VLOOKUP($A4558,Accounts!$A:$G,8,FALSE),"")</f>
        <v/>
      </c>
    </row>
    <row r="4559" spans="1:15" x14ac:dyDescent="0.2">
      <c r="A4559" t="str">
        <f t="shared" si="70"/>
        <v/>
      </c>
      <c r="O4559" t="str">
        <f>IFERROR(VLOOKUP($A4559,Accounts!$A:$G,8,FALSE),"")</f>
        <v/>
      </c>
    </row>
    <row r="4560" spans="1:15" x14ac:dyDescent="0.2">
      <c r="A4560" t="str">
        <f t="shared" si="70"/>
        <v/>
      </c>
      <c r="O4560" t="str">
        <f>IFERROR(VLOOKUP($A4560,Accounts!$A:$G,8,FALSE),"")</f>
        <v/>
      </c>
    </row>
    <row r="4561" spans="1:15" x14ac:dyDescent="0.2">
      <c r="A4561" t="str">
        <f t="shared" si="70"/>
        <v/>
      </c>
      <c r="O4561" t="str">
        <f>IFERROR(VLOOKUP($A4561,Accounts!$A:$G,8,FALSE),"")</f>
        <v/>
      </c>
    </row>
    <row r="4562" spans="1:15" x14ac:dyDescent="0.2">
      <c r="A4562" t="str">
        <f t="shared" si="70"/>
        <v/>
      </c>
      <c r="O4562" t="str">
        <f>IFERROR(VLOOKUP($A4562,Accounts!$A:$G,8,FALSE),"")</f>
        <v/>
      </c>
    </row>
    <row r="4563" spans="1:15" x14ac:dyDescent="0.2">
      <c r="A4563" t="str">
        <f t="shared" si="70"/>
        <v/>
      </c>
      <c r="O4563" t="str">
        <f>IFERROR(VLOOKUP($A4563,Accounts!$A:$G,8,FALSE),"")</f>
        <v/>
      </c>
    </row>
    <row r="4564" spans="1:15" x14ac:dyDescent="0.2">
      <c r="A4564" t="str">
        <f t="shared" si="70"/>
        <v/>
      </c>
      <c r="O4564" t="str">
        <f>IFERROR(VLOOKUP($A4564,Accounts!$A:$G,8,FALSE),"")</f>
        <v/>
      </c>
    </row>
    <row r="4565" spans="1:15" x14ac:dyDescent="0.2">
      <c r="A4565" t="str">
        <f t="shared" si="70"/>
        <v/>
      </c>
      <c r="O4565" t="str">
        <f>IFERROR(VLOOKUP($A4565,Accounts!$A:$G,8,FALSE),"")</f>
        <v/>
      </c>
    </row>
    <row r="4566" spans="1:15" x14ac:dyDescent="0.2">
      <c r="A4566" t="str">
        <f t="shared" si="70"/>
        <v/>
      </c>
      <c r="O4566" t="str">
        <f>IFERROR(VLOOKUP($A4566,Accounts!$A:$G,8,FALSE),"")</f>
        <v/>
      </c>
    </row>
    <row r="4567" spans="1:15" x14ac:dyDescent="0.2">
      <c r="A4567" t="str">
        <f t="shared" si="70"/>
        <v/>
      </c>
      <c r="O4567" t="str">
        <f>IFERROR(VLOOKUP($A4567,Accounts!$A:$G,8,FALSE),"")</f>
        <v/>
      </c>
    </row>
    <row r="4568" spans="1:15" x14ac:dyDescent="0.2">
      <c r="A4568" t="str">
        <f t="shared" si="70"/>
        <v/>
      </c>
      <c r="O4568" t="str">
        <f>IFERROR(VLOOKUP($A4568,Accounts!$A:$G,8,FALSE),"")</f>
        <v/>
      </c>
    </row>
    <row r="4569" spans="1:15" x14ac:dyDescent="0.2">
      <c r="A4569" t="str">
        <f t="shared" si="70"/>
        <v/>
      </c>
      <c r="O4569" t="str">
        <f>IFERROR(VLOOKUP($A4569,Accounts!$A:$G,8,FALSE),"")</f>
        <v/>
      </c>
    </row>
    <row r="4570" spans="1:15" x14ac:dyDescent="0.2">
      <c r="A4570" t="str">
        <f t="shared" si="70"/>
        <v/>
      </c>
      <c r="O4570" t="str">
        <f>IFERROR(VLOOKUP($A4570,Accounts!$A:$G,8,FALSE),"")</f>
        <v/>
      </c>
    </row>
    <row r="4571" spans="1:15" x14ac:dyDescent="0.2">
      <c r="A4571" t="str">
        <f t="shared" si="70"/>
        <v/>
      </c>
      <c r="O4571" t="str">
        <f>IFERROR(VLOOKUP($A4571,Accounts!$A:$G,8,FALSE),"")</f>
        <v/>
      </c>
    </row>
    <row r="4572" spans="1:15" x14ac:dyDescent="0.2">
      <c r="A4572" t="str">
        <f t="shared" si="70"/>
        <v/>
      </c>
      <c r="O4572" t="str">
        <f>IFERROR(VLOOKUP($A4572,Accounts!$A:$G,8,FALSE),"")</f>
        <v/>
      </c>
    </row>
    <row r="4573" spans="1:15" x14ac:dyDescent="0.2">
      <c r="A4573" t="str">
        <f t="shared" si="70"/>
        <v/>
      </c>
      <c r="O4573" t="str">
        <f>IFERROR(VLOOKUP($A4573,Accounts!$A:$G,8,FALSE),"")</f>
        <v/>
      </c>
    </row>
    <row r="4574" spans="1:15" x14ac:dyDescent="0.2">
      <c r="A4574" t="str">
        <f t="shared" si="70"/>
        <v/>
      </c>
      <c r="O4574" t="str">
        <f>IFERROR(VLOOKUP($A4574,Accounts!$A:$G,8,FALSE),"")</f>
        <v/>
      </c>
    </row>
    <row r="4575" spans="1:15" x14ac:dyDescent="0.2">
      <c r="A4575" t="str">
        <f t="shared" si="70"/>
        <v/>
      </c>
      <c r="O4575" t="str">
        <f>IFERROR(VLOOKUP($A4575,Accounts!$A:$G,8,FALSE),"")</f>
        <v/>
      </c>
    </row>
    <row r="4576" spans="1:15" x14ac:dyDescent="0.2">
      <c r="A4576" t="str">
        <f t="shared" si="70"/>
        <v/>
      </c>
      <c r="O4576" t="str">
        <f>IFERROR(VLOOKUP($A4576,Accounts!$A:$G,8,FALSE),"")</f>
        <v/>
      </c>
    </row>
    <row r="4577" spans="1:15" x14ac:dyDescent="0.2">
      <c r="A4577" t="str">
        <f t="shared" si="70"/>
        <v/>
      </c>
      <c r="O4577" t="str">
        <f>IFERROR(VLOOKUP($A4577,Accounts!$A:$G,8,FALSE),"")</f>
        <v/>
      </c>
    </row>
    <row r="4578" spans="1:15" x14ac:dyDescent="0.2">
      <c r="A4578" t="str">
        <f t="shared" si="70"/>
        <v/>
      </c>
      <c r="O4578" t="str">
        <f>IFERROR(VLOOKUP($A4578,Accounts!$A:$G,8,FALSE),"")</f>
        <v/>
      </c>
    </row>
    <row r="4579" spans="1:15" x14ac:dyDescent="0.2">
      <c r="A4579" t="str">
        <f t="shared" si="70"/>
        <v/>
      </c>
      <c r="O4579" t="str">
        <f>IFERROR(VLOOKUP($A4579,Accounts!$A:$G,8,FALSE),"")</f>
        <v/>
      </c>
    </row>
    <row r="4580" spans="1:15" x14ac:dyDescent="0.2">
      <c r="A4580" t="str">
        <f t="shared" si="70"/>
        <v/>
      </c>
      <c r="O4580" t="str">
        <f>IFERROR(VLOOKUP($A4580,Accounts!$A:$G,8,FALSE),"")</f>
        <v/>
      </c>
    </row>
    <row r="4581" spans="1:15" x14ac:dyDescent="0.2">
      <c r="A4581" t="str">
        <f t="shared" si="70"/>
        <v/>
      </c>
      <c r="O4581" t="str">
        <f>IFERROR(VLOOKUP($A4581,Accounts!$A:$G,8,FALSE),"")</f>
        <v/>
      </c>
    </row>
    <row r="4582" spans="1:15" x14ac:dyDescent="0.2">
      <c r="A4582" t="str">
        <f t="shared" si="70"/>
        <v/>
      </c>
      <c r="O4582" t="str">
        <f>IFERROR(VLOOKUP($A4582,Accounts!$A:$G,8,FALSE),"")</f>
        <v/>
      </c>
    </row>
    <row r="4583" spans="1:15" x14ac:dyDescent="0.2">
      <c r="A4583" t="str">
        <f t="shared" si="70"/>
        <v/>
      </c>
      <c r="O4583" t="str">
        <f>IFERROR(VLOOKUP($A4583,Accounts!$A:$G,8,FALSE),"")</f>
        <v/>
      </c>
    </row>
    <row r="4584" spans="1:15" x14ac:dyDescent="0.2">
      <c r="A4584" t="str">
        <f t="shared" si="70"/>
        <v/>
      </c>
      <c r="O4584" t="str">
        <f>IFERROR(VLOOKUP($A4584,Accounts!$A:$G,8,FALSE),"")</f>
        <v/>
      </c>
    </row>
    <row r="4585" spans="1:15" x14ac:dyDescent="0.2">
      <c r="A4585" t="str">
        <f t="shared" si="70"/>
        <v/>
      </c>
      <c r="O4585" t="str">
        <f>IFERROR(VLOOKUP($A4585,Accounts!$A:$G,8,FALSE),"")</f>
        <v/>
      </c>
    </row>
    <row r="4586" spans="1:15" x14ac:dyDescent="0.2">
      <c r="A4586" t="str">
        <f t="shared" si="70"/>
        <v/>
      </c>
      <c r="O4586" t="str">
        <f>IFERROR(VLOOKUP($A4586,Accounts!$A:$G,8,FALSE),"")</f>
        <v/>
      </c>
    </row>
    <row r="4587" spans="1:15" x14ac:dyDescent="0.2">
      <c r="A4587" t="str">
        <f t="shared" si="70"/>
        <v/>
      </c>
      <c r="O4587" t="str">
        <f>IFERROR(VLOOKUP($A4587,Accounts!$A:$G,8,FALSE),"")</f>
        <v/>
      </c>
    </row>
    <row r="4588" spans="1:15" x14ac:dyDescent="0.2">
      <c r="A4588" t="str">
        <f t="shared" si="70"/>
        <v/>
      </c>
      <c r="O4588" t="str">
        <f>IFERROR(VLOOKUP($A4588,Accounts!$A:$G,8,FALSE),"")</f>
        <v/>
      </c>
    </row>
    <row r="4589" spans="1:15" x14ac:dyDescent="0.2">
      <c r="A4589" t="str">
        <f t="shared" si="70"/>
        <v/>
      </c>
      <c r="O4589" t="str">
        <f>IFERROR(VLOOKUP($A4589,Accounts!$A:$G,8,FALSE),"")</f>
        <v/>
      </c>
    </row>
    <row r="4590" spans="1:15" x14ac:dyDescent="0.2">
      <c r="A4590" t="str">
        <f t="shared" si="70"/>
        <v/>
      </c>
      <c r="O4590" t="str">
        <f>IFERROR(VLOOKUP($A4590,Accounts!$A:$G,8,FALSE),"")</f>
        <v/>
      </c>
    </row>
    <row r="4591" spans="1:15" x14ac:dyDescent="0.2">
      <c r="A4591" t="str">
        <f t="shared" si="70"/>
        <v/>
      </c>
      <c r="O4591" t="str">
        <f>IFERROR(VLOOKUP($A4591,Accounts!$A:$G,8,FALSE),"")</f>
        <v/>
      </c>
    </row>
    <row r="4592" spans="1:15" x14ac:dyDescent="0.2">
      <c r="A4592" t="str">
        <f t="shared" si="70"/>
        <v/>
      </c>
      <c r="O4592" t="str">
        <f>IFERROR(VLOOKUP($A4592,Accounts!$A:$G,8,FALSE),"")</f>
        <v/>
      </c>
    </row>
    <row r="4593" spans="1:15" x14ac:dyDescent="0.2">
      <c r="A4593" t="str">
        <f t="shared" si="70"/>
        <v/>
      </c>
      <c r="O4593" t="str">
        <f>IFERROR(VLOOKUP($A4593,Accounts!$A:$G,8,FALSE),"")</f>
        <v/>
      </c>
    </row>
    <row r="4594" spans="1:15" x14ac:dyDescent="0.2">
      <c r="A4594" t="str">
        <f t="shared" si="70"/>
        <v/>
      </c>
      <c r="O4594" t="str">
        <f>IFERROR(VLOOKUP($A4594,Accounts!$A:$G,8,FALSE),"")</f>
        <v/>
      </c>
    </row>
    <row r="4595" spans="1:15" x14ac:dyDescent="0.2">
      <c r="A4595" t="str">
        <f t="shared" si="70"/>
        <v/>
      </c>
      <c r="O4595" t="str">
        <f>IFERROR(VLOOKUP($A4595,Accounts!$A:$G,8,FALSE),"")</f>
        <v/>
      </c>
    </row>
    <row r="4596" spans="1:15" x14ac:dyDescent="0.2">
      <c r="A4596" t="str">
        <f t="shared" si="70"/>
        <v/>
      </c>
      <c r="O4596" t="str">
        <f>IFERROR(VLOOKUP($A4596,Accounts!$A:$G,8,FALSE),"")</f>
        <v/>
      </c>
    </row>
    <row r="4597" spans="1:15" x14ac:dyDescent="0.2">
      <c r="A4597" t="str">
        <f t="shared" si="70"/>
        <v/>
      </c>
      <c r="O4597" t="str">
        <f>IFERROR(VLOOKUP($A4597,Accounts!$A:$G,8,FALSE),"")</f>
        <v/>
      </c>
    </row>
    <row r="4598" spans="1:15" x14ac:dyDescent="0.2">
      <c r="A4598" t="str">
        <f t="shared" si="70"/>
        <v/>
      </c>
      <c r="O4598" t="str">
        <f>IFERROR(VLOOKUP($A4598,Accounts!$A:$G,8,FALSE),"")</f>
        <v/>
      </c>
    </row>
    <row r="4599" spans="1:15" x14ac:dyDescent="0.2">
      <c r="A4599" t="str">
        <f t="shared" si="70"/>
        <v/>
      </c>
      <c r="O4599" t="str">
        <f>IFERROR(VLOOKUP($A4599,Accounts!$A:$G,8,FALSE),"")</f>
        <v/>
      </c>
    </row>
    <row r="4600" spans="1:15" x14ac:dyDescent="0.2">
      <c r="A4600" t="str">
        <f t="shared" si="70"/>
        <v/>
      </c>
      <c r="O4600" t="str">
        <f>IFERROR(VLOOKUP($A4600,Accounts!$A:$G,8,FALSE),"")</f>
        <v/>
      </c>
    </row>
    <row r="4601" spans="1:15" x14ac:dyDescent="0.2">
      <c r="A4601" t="str">
        <f t="shared" si="70"/>
        <v/>
      </c>
      <c r="O4601" t="str">
        <f>IFERROR(VLOOKUP($A4601,Accounts!$A:$G,8,FALSE),"")</f>
        <v/>
      </c>
    </row>
    <row r="4602" spans="1:15" x14ac:dyDescent="0.2">
      <c r="A4602" t="str">
        <f t="shared" si="70"/>
        <v/>
      </c>
      <c r="O4602" t="str">
        <f>IFERROR(VLOOKUP($A4602,Accounts!$A:$G,8,FALSE),"")</f>
        <v/>
      </c>
    </row>
    <row r="4603" spans="1:15" x14ac:dyDescent="0.2">
      <c r="A4603" t="str">
        <f t="shared" si="70"/>
        <v/>
      </c>
      <c r="O4603" t="str">
        <f>IFERROR(VLOOKUP($A4603,Accounts!$A:$G,8,FALSE),"")</f>
        <v/>
      </c>
    </row>
    <row r="4604" spans="1:15" x14ac:dyDescent="0.2">
      <c r="A4604" t="str">
        <f t="shared" si="70"/>
        <v/>
      </c>
      <c r="O4604" t="str">
        <f>IFERROR(VLOOKUP($A4604,Accounts!$A:$G,8,FALSE),"")</f>
        <v/>
      </c>
    </row>
    <row r="4605" spans="1:15" x14ac:dyDescent="0.2">
      <c r="A4605" t="str">
        <f t="shared" si="70"/>
        <v/>
      </c>
      <c r="O4605" t="str">
        <f>IFERROR(VLOOKUP($A4605,Accounts!$A:$G,8,FALSE),"")</f>
        <v/>
      </c>
    </row>
    <row r="4606" spans="1:15" x14ac:dyDescent="0.2">
      <c r="A4606" t="str">
        <f t="shared" si="70"/>
        <v/>
      </c>
      <c r="O4606" t="str">
        <f>IFERROR(VLOOKUP($A4606,Accounts!$A:$G,8,FALSE),"")</f>
        <v/>
      </c>
    </row>
    <row r="4607" spans="1:15" x14ac:dyDescent="0.2">
      <c r="A4607" t="str">
        <f t="shared" si="70"/>
        <v/>
      </c>
      <c r="O4607" t="str">
        <f>IFERROR(VLOOKUP($A4607,Accounts!$A:$G,8,FALSE),"")</f>
        <v/>
      </c>
    </row>
    <row r="4608" spans="1:15" x14ac:dyDescent="0.2">
      <c r="A4608" t="str">
        <f t="shared" si="70"/>
        <v/>
      </c>
      <c r="O4608" t="str">
        <f>IFERROR(VLOOKUP($A4608,Accounts!$A:$G,8,FALSE),"")</f>
        <v/>
      </c>
    </row>
    <row r="4609" spans="1:15" x14ac:dyDescent="0.2">
      <c r="A4609" t="str">
        <f t="shared" si="70"/>
        <v/>
      </c>
      <c r="O4609" t="str">
        <f>IFERROR(VLOOKUP($A4609,Accounts!$A:$G,8,FALSE),"")</f>
        <v/>
      </c>
    </row>
    <row r="4610" spans="1:15" x14ac:dyDescent="0.2">
      <c r="A4610" t="str">
        <f t="shared" si="70"/>
        <v/>
      </c>
      <c r="O4610" t="str">
        <f>IFERROR(VLOOKUP($A4610,Accounts!$A:$G,8,FALSE),"")</f>
        <v/>
      </c>
    </row>
    <row r="4611" spans="1:15" x14ac:dyDescent="0.2">
      <c r="A4611" t="str">
        <f t="shared" ref="A4611:A4674" si="71">IFERROR(IF(J4611=0,B4611&amp;D4611&amp;I4611&amp;E4611,C4611&amp;D4611&amp;J4611&amp;G4611),"")</f>
        <v/>
      </c>
      <c r="O4611" t="str">
        <f>IFERROR(VLOOKUP($A4611,Accounts!$A:$G,8,FALSE),"")</f>
        <v/>
      </c>
    </row>
    <row r="4612" spans="1:15" x14ac:dyDescent="0.2">
      <c r="A4612" t="str">
        <f t="shared" si="71"/>
        <v/>
      </c>
      <c r="O4612" t="str">
        <f>IFERROR(VLOOKUP($A4612,Accounts!$A:$G,8,FALSE),"")</f>
        <v/>
      </c>
    </row>
    <row r="4613" spans="1:15" x14ac:dyDescent="0.2">
      <c r="A4613" t="str">
        <f t="shared" si="71"/>
        <v/>
      </c>
      <c r="O4613" t="str">
        <f>IFERROR(VLOOKUP($A4613,Accounts!$A:$G,8,FALSE),"")</f>
        <v/>
      </c>
    </row>
    <row r="4614" spans="1:15" x14ac:dyDescent="0.2">
      <c r="A4614" t="str">
        <f t="shared" si="71"/>
        <v/>
      </c>
      <c r="O4614" t="str">
        <f>IFERROR(VLOOKUP($A4614,Accounts!$A:$G,8,FALSE),"")</f>
        <v/>
      </c>
    </row>
    <row r="4615" spans="1:15" x14ac:dyDescent="0.2">
      <c r="A4615" t="str">
        <f t="shared" si="71"/>
        <v/>
      </c>
      <c r="O4615" t="str">
        <f>IFERROR(VLOOKUP($A4615,Accounts!$A:$G,8,FALSE),"")</f>
        <v/>
      </c>
    </row>
    <row r="4616" spans="1:15" x14ac:dyDescent="0.2">
      <c r="A4616" t="str">
        <f t="shared" si="71"/>
        <v/>
      </c>
      <c r="O4616" t="str">
        <f>IFERROR(VLOOKUP($A4616,Accounts!$A:$G,8,FALSE),"")</f>
        <v/>
      </c>
    </row>
    <row r="4617" spans="1:15" x14ac:dyDescent="0.2">
      <c r="A4617" t="str">
        <f t="shared" si="71"/>
        <v/>
      </c>
      <c r="O4617" t="str">
        <f>IFERROR(VLOOKUP($A4617,Accounts!$A:$G,8,FALSE),"")</f>
        <v/>
      </c>
    </row>
    <row r="4618" spans="1:15" x14ac:dyDescent="0.2">
      <c r="A4618" t="str">
        <f t="shared" si="71"/>
        <v/>
      </c>
      <c r="O4618" t="str">
        <f>IFERROR(VLOOKUP($A4618,Accounts!$A:$G,8,FALSE),"")</f>
        <v/>
      </c>
    </row>
    <row r="4619" spans="1:15" x14ac:dyDescent="0.2">
      <c r="A4619" t="str">
        <f t="shared" si="71"/>
        <v/>
      </c>
      <c r="O4619" t="str">
        <f>IFERROR(VLOOKUP($A4619,Accounts!$A:$G,8,FALSE),"")</f>
        <v/>
      </c>
    </row>
    <row r="4620" spans="1:15" x14ac:dyDescent="0.2">
      <c r="A4620" t="str">
        <f t="shared" si="71"/>
        <v/>
      </c>
      <c r="O4620" t="str">
        <f>IFERROR(VLOOKUP($A4620,Accounts!$A:$G,8,FALSE),"")</f>
        <v/>
      </c>
    </row>
    <row r="4621" spans="1:15" x14ac:dyDescent="0.2">
      <c r="A4621" t="str">
        <f t="shared" si="71"/>
        <v/>
      </c>
      <c r="O4621" t="str">
        <f>IFERROR(VLOOKUP($A4621,Accounts!$A:$G,8,FALSE),"")</f>
        <v/>
      </c>
    </row>
    <row r="4622" spans="1:15" x14ac:dyDescent="0.2">
      <c r="A4622" t="str">
        <f t="shared" si="71"/>
        <v/>
      </c>
      <c r="O4622" t="str">
        <f>IFERROR(VLOOKUP($A4622,Accounts!$A:$G,8,FALSE),"")</f>
        <v/>
      </c>
    </row>
    <row r="4623" spans="1:15" x14ac:dyDescent="0.2">
      <c r="A4623" t="str">
        <f t="shared" si="71"/>
        <v/>
      </c>
      <c r="O4623" t="str">
        <f>IFERROR(VLOOKUP($A4623,Accounts!$A:$G,8,FALSE),"")</f>
        <v/>
      </c>
    </row>
    <row r="4624" spans="1:15" x14ac:dyDescent="0.2">
      <c r="A4624" t="str">
        <f t="shared" si="71"/>
        <v/>
      </c>
      <c r="O4624" t="str">
        <f>IFERROR(VLOOKUP($A4624,Accounts!$A:$G,8,FALSE),"")</f>
        <v/>
      </c>
    </row>
    <row r="4625" spans="1:15" x14ac:dyDescent="0.2">
      <c r="A4625" t="str">
        <f t="shared" si="71"/>
        <v/>
      </c>
      <c r="O4625" t="str">
        <f>IFERROR(VLOOKUP($A4625,Accounts!$A:$G,8,FALSE),"")</f>
        <v/>
      </c>
    </row>
    <row r="4626" spans="1:15" x14ac:dyDescent="0.2">
      <c r="A4626" t="str">
        <f t="shared" si="71"/>
        <v/>
      </c>
      <c r="O4626" t="str">
        <f>IFERROR(VLOOKUP($A4626,Accounts!$A:$G,8,FALSE),"")</f>
        <v/>
      </c>
    </row>
    <row r="4627" spans="1:15" x14ac:dyDescent="0.2">
      <c r="A4627" t="str">
        <f t="shared" si="71"/>
        <v/>
      </c>
      <c r="O4627" t="str">
        <f>IFERROR(VLOOKUP($A4627,Accounts!$A:$G,8,FALSE),"")</f>
        <v/>
      </c>
    </row>
    <row r="4628" spans="1:15" x14ac:dyDescent="0.2">
      <c r="A4628" t="str">
        <f t="shared" si="71"/>
        <v/>
      </c>
      <c r="O4628" t="str">
        <f>IFERROR(VLOOKUP($A4628,Accounts!$A:$G,8,FALSE),"")</f>
        <v/>
      </c>
    </row>
    <row r="4629" spans="1:15" x14ac:dyDescent="0.2">
      <c r="A4629" t="str">
        <f t="shared" si="71"/>
        <v/>
      </c>
      <c r="O4629" t="str">
        <f>IFERROR(VLOOKUP($A4629,Accounts!$A:$G,8,FALSE),"")</f>
        <v/>
      </c>
    </row>
    <row r="4630" spans="1:15" x14ac:dyDescent="0.2">
      <c r="A4630" t="str">
        <f t="shared" si="71"/>
        <v/>
      </c>
      <c r="O4630" t="str">
        <f>IFERROR(VLOOKUP($A4630,Accounts!$A:$G,8,FALSE),"")</f>
        <v/>
      </c>
    </row>
    <row r="4631" spans="1:15" x14ac:dyDescent="0.2">
      <c r="A4631" t="str">
        <f t="shared" si="71"/>
        <v/>
      </c>
      <c r="O4631" t="str">
        <f>IFERROR(VLOOKUP($A4631,Accounts!$A:$G,8,FALSE),"")</f>
        <v/>
      </c>
    </row>
    <row r="4632" spans="1:15" x14ac:dyDescent="0.2">
      <c r="A4632" t="str">
        <f t="shared" si="71"/>
        <v/>
      </c>
      <c r="O4632" t="str">
        <f>IFERROR(VLOOKUP($A4632,Accounts!$A:$G,8,FALSE),"")</f>
        <v/>
      </c>
    </row>
    <row r="4633" spans="1:15" x14ac:dyDescent="0.2">
      <c r="A4633" t="str">
        <f t="shared" si="71"/>
        <v/>
      </c>
      <c r="O4633" t="str">
        <f>IFERROR(VLOOKUP($A4633,Accounts!$A:$G,8,FALSE),"")</f>
        <v/>
      </c>
    </row>
    <row r="4634" spans="1:15" x14ac:dyDescent="0.2">
      <c r="A4634" t="str">
        <f t="shared" si="71"/>
        <v/>
      </c>
      <c r="O4634" t="str">
        <f>IFERROR(VLOOKUP($A4634,Accounts!$A:$G,8,FALSE),"")</f>
        <v/>
      </c>
    </row>
    <row r="4635" spans="1:15" x14ac:dyDescent="0.2">
      <c r="A4635" t="str">
        <f t="shared" si="71"/>
        <v/>
      </c>
      <c r="O4635" t="str">
        <f>IFERROR(VLOOKUP($A4635,Accounts!$A:$G,8,FALSE),"")</f>
        <v/>
      </c>
    </row>
    <row r="4636" spans="1:15" x14ac:dyDescent="0.2">
      <c r="A4636" t="str">
        <f t="shared" si="71"/>
        <v/>
      </c>
      <c r="O4636" t="str">
        <f>IFERROR(VLOOKUP($A4636,Accounts!$A:$G,8,FALSE),"")</f>
        <v/>
      </c>
    </row>
    <row r="4637" spans="1:15" x14ac:dyDescent="0.2">
      <c r="A4637" t="str">
        <f t="shared" si="71"/>
        <v/>
      </c>
      <c r="O4637" t="str">
        <f>IFERROR(VLOOKUP($A4637,Accounts!$A:$G,8,FALSE),"")</f>
        <v/>
      </c>
    </row>
    <row r="4638" spans="1:15" x14ac:dyDescent="0.2">
      <c r="A4638" t="str">
        <f t="shared" si="71"/>
        <v/>
      </c>
      <c r="O4638" t="str">
        <f>IFERROR(VLOOKUP($A4638,Accounts!$A:$G,8,FALSE),"")</f>
        <v/>
      </c>
    </row>
    <row r="4639" spans="1:15" x14ac:dyDescent="0.2">
      <c r="A4639" t="str">
        <f t="shared" si="71"/>
        <v/>
      </c>
      <c r="O4639" t="str">
        <f>IFERROR(VLOOKUP($A4639,Accounts!$A:$G,8,FALSE),"")</f>
        <v/>
      </c>
    </row>
    <row r="4640" spans="1:15" x14ac:dyDescent="0.2">
      <c r="A4640" t="str">
        <f t="shared" si="71"/>
        <v/>
      </c>
      <c r="O4640" t="str">
        <f>IFERROR(VLOOKUP($A4640,Accounts!$A:$G,8,FALSE),"")</f>
        <v/>
      </c>
    </row>
    <row r="4641" spans="1:15" x14ac:dyDescent="0.2">
      <c r="A4641" t="str">
        <f t="shared" si="71"/>
        <v/>
      </c>
      <c r="O4641" t="str">
        <f>IFERROR(VLOOKUP($A4641,Accounts!$A:$G,8,FALSE),"")</f>
        <v/>
      </c>
    </row>
    <row r="4642" spans="1:15" x14ac:dyDescent="0.2">
      <c r="A4642" t="str">
        <f t="shared" si="71"/>
        <v/>
      </c>
      <c r="O4642" t="str">
        <f>IFERROR(VLOOKUP($A4642,Accounts!$A:$G,8,FALSE),"")</f>
        <v/>
      </c>
    </row>
    <row r="4643" spans="1:15" x14ac:dyDescent="0.2">
      <c r="A4643" t="str">
        <f t="shared" si="71"/>
        <v/>
      </c>
      <c r="O4643" t="str">
        <f>IFERROR(VLOOKUP($A4643,Accounts!$A:$G,8,FALSE),"")</f>
        <v/>
      </c>
    </row>
    <row r="4644" spans="1:15" x14ac:dyDescent="0.2">
      <c r="A4644" t="str">
        <f t="shared" si="71"/>
        <v/>
      </c>
      <c r="O4644" t="str">
        <f>IFERROR(VLOOKUP($A4644,Accounts!$A:$G,8,FALSE),"")</f>
        <v/>
      </c>
    </row>
    <row r="4645" spans="1:15" x14ac:dyDescent="0.2">
      <c r="A4645" t="str">
        <f t="shared" si="71"/>
        <v/>
      </c>
      <c r="O4645" t="str">
        <f>IFERROR(VLOOKUP($A4645,Accounts!$A:$G,8,FALSE),"")</f>
        <v/>
      </c>
    </row>
    <row r="4646" spans="1:15" x14ac:dyDescent="0.2">
      <c r="A4646" t="str">
        <f t="shared" si="71"/>
        <v/>
      </c>
      <c r="O4646" t="str">
        <f>IFERROR(VLOOKUP($A4646,Accounts!$A:$G,8,FALSE),"")</f>
        <v/>
      </c>
    </row>
    <row r="4647" spans="1:15" x14ac:dyDescent="0.2">
      <c r="A4647" t="str">
        <f t="shared" si="71"/>
        <v/>
      </c>
      <c r="O4647" t="str">
        <f>IFERROR(VLOOKUP($A4647,Accounts!$A:$G,8,FALSE),"")</f>
        <v/>
      </c>
    </row>
    <row r="4648" spans="1:15" x14ac:dyDescent="0.2">
      <c r="A4648" t="str">
        <f t="shared" si="71"/>
        <v/>
      </c>
      <c r="O4648" t="str">
        <f>IFERROR(VLOOKUP($A4648,Accounts!$A:$G,8,FALSE),"")</f>
        <v/>
      </c>
    </row>
    <row r="4649" spans="1:15" x14ac:dyDescent="0.2">
      <c r="A4649" t="str">
        <f t="shared" si="71"/>
        <v/>
      </c>
      <c r="O4649" t="str">
        <f>IFERROR(VLOOKUP($A4649,Accounts!$A:$G,8,FALSE),"")</f>
        <v/>
      </c>
    </row>
    <row r="4650" spans="1:15" x14ac:dyDescent="0.2">
      <c r="A4650" t="str">
        <f t="shared" si="71"/>
        <v/>
      </c>
      <c r="O4650" t="str">
        <f>IFERROR(VLOOKUP($A4650,Accounts!$A:$G,8,FALSE),"")</f>
        <v/>
      </c>
    </row>
    <row r="4651" spans="1:15" x14ac:dyDescent="0.2">
      <c r="A4651" t="str">
        <f t="shared" si="71"/>
        <v/>
      </c>
      <c r="O4651" t="str">
        <f>IFERROR(VLOOKUP($A4651,Accounts!$A:$G,8,FALSE),"")</f>
        <v/>
      </c>
    </row>
    <row r="4652" spans="1:15" x14ac:dyDescent="0.2">
      <c r="A4652" t="str">
        <f t="shared" si="71"/>
        <v/>
      </c>
      <c r="O4652" t="str">
        <f>IFERROR(VLOOKUP($A4652,Accounts!$A:$G,8,FALSE),"")</f>
        <v/>
      </c>
    </row>
    <row r="4653" spans="1:15" x14ac:dyDescent="0.2">
      <c r="A4653" t="str">
        <f t="shared" si="71"/>
        <v/>
      </c>
      <c r="O4653" t="str">
        <f>IFERROR(VLOOKUP($A4653,Accounts!$A:$G,8,FALSE),"")</f>
        <v/>
      </c>
    </row>
    <row r="4654" spans="1:15" x14ac:dyDescent="0.2">
      <c r="A4654" t="str">
        <f t="shared" si="71"/>
        <v/>
      </c>
      <c r="O4654" t="str">
        <f>IFERROR(VLOOKUP($A4654,Accounts!$A:$G,8,FALSE),"")</f>
        <v/>
      </c>
    </row>
    <row r="4655" spans="1:15" x14ac:dyDescent="0.2">
      <c r="A4655" t="str">
        <f t="shared" si="71"/>
        <v/>
      </c>
      <c r="O4655" t="str">
        <f>IFERROR(VLOOKUP($A4655,Accounts!$A:$G,8,FALSE),"")</f>
        <v/>
      </c>
    </row>
    <row r="4656" spans="1:15" x14ac:dyDescent="0.2">
      <c r="A4656" t="str">
        <f t="shared" si="71"/>
        <v/>
      </c>
      <c r="O4656" t="str">
        <f>IFERROR(VLOOKUP($A4656,Accounts!$A:$G,8,FALSE),"")</f>
        <v/>
      </c>
    </row>
    <row r="4657" spans="1:15" x14ac:dyDescent="0.2">
      <c r="A4657" t="str">
        <f t="shared" si="71"/>
        <v/>
      </c>
      <c r="O4657" t="str">
        <f>IFERROR(VLOOKUP($A4657,Accounts!$A:$G,8,FALSE),"")</f>
        <v/>
      </c>
    </row>
    <row r="4658" spans="1:15" x14ac:dyDescent="0.2">
      <c r="A4658" t="str">
        <f t="shared" si="71"/>
        <v/>
      </c>
      <c r="O4658" t="str">
        <f>IFERROR(VLOOKUP($A4658,Accounts!$A:$G,8,FALSE),"")</f>
        <v/>
      </c>
    </row>
    <row r="4659" spans="1:15" x14ac:dyDescent="0.2">
      <c r="A4659" t="str">
        <f t="shared" si="71"/>
        <v/>
      </c>
      <c r="O4659" t="str">
        <f>IFERROR(VLOOKUP($A4659,Accounts!$A:$G,8,FALSE),"")</f>
        <v/>
      </c>
    </row>
    <row r="4660" spans="1:15" x14ac:dyDescent="0.2">
      <c r="A4660" t="str">
        <f t="shared" si="71"/>
        <v/>
      </c>
      <c r="O4660" t="str">
        <f>IFERROR(VLOOKUP($A4660,Accounts!$A:$G,8,FALSE),"")</f>
        <v/>
      </c>
    </row>
    <row r="4661" spans="1:15" x14ac:dyDescent="0.2">
      <c r="A4661" t="str">
        <f t="shared" si="71"/>
        <v/>
      </c>
      <c r="O4661" t="str">
        <f>IFERROR(VLOOKUP($A4661,Accounts!$A:$G,8,FALSE),"")</f>
        <v/>
      </c>
    </row>
    <row r="4662" spans="1:15" x14ac:dyDescent="0.2">
      <c r="A4662" t="str">
        <f t="shared" si="71"/>
        <v/>
      </c>
      <c r="O4662" t="str">
        <f>IFERROR(VLOOKUP($A4662,Accounts!$A:$G,8,FALSE),"")</f>
        <v/>
      </c>
    </row>
    <row r="4663" spans="1:15" x14ac:dyDescent="0.2">
      <c r="A4663" t="str">
        <f t="shared" si="71"/>
        <v/>
      </c>
      <c r="O4663" t="str">
        <f>IFERROR(VLOOKUP($A4663,Accounts!$A:$G,8,FALSE),"")</f>
        <v/>
      </c>
    </row>
    <row r="4664" spans="1:15" x14ac:dyDescent="0.2">
      <c r="A4664" t="str">
        <f t="shared" si="71"/>
        <v/>
      </c>
      <c r="O4664" t="str">
        <f>IFERROR(VLOOKUP($A4664,Accounts!$A:$G,8,FALSE),"")</f>
        <v/>
      </c>
    </row>
    <row r="4665" spans="1:15" x14ac:dyDescent="0.2">
      <c r="A4665" t="str">
        <f t="shared" si="71"/>
        <v/>
      </c>
      <c r="O4665" t="str">
        <f>IFERROR(VLOOKUP($A4665,Accounts!$A:$G,8,FALSE),"")</f>
        <v/>
      </c>
    </row>
    <row r="4666" spans="1:15" x14ac:dyDescent="0.2">
      <c r="A4666" t="str">
        <f t="shared" si="71"/>
        <v/>
      </c>
      <c r="O4666" t="str">
        <f>IFERROR(VLOOKUP($A4666,Accounts!$A:$G,8,FALSE),"")</f>
        <v/>
      </c>
    </row>
    <row r="4667" spans="1:15" x14ac:dyDescent="0.2">
      <c r="A4667" t="str">
        <f t="shared" si="71"/>
        <v/>
      </c>
      <c r="O4667" t="str">
        <f>IFERROR(VLOOKUP($A4667,Accounts!$A:$G,8,FALSE),"")</f>
        <v/>
      </c>
    </row>
    <row r="4668" spans="1:15" x14ac:dyDescent="0.2">
      <c r="A4668" t="str">
        <f t="shared" si="71"/>
        <v/>
      </c>
      <c r="O4668" t="str">
        <f>IFERROR(VLOOKUP($A4668,Accounts!$A:$G,8,FALSE),"")</f>
        <v/>
      </c>
    </row>
    <row r="4669" spans="1:15" x14ac:dyDescent="0.2">
      <c r="A4669" t="str">
        <f t="shared" si="71"/>
        <v/>
      </c>
      <c r="O4669" t="str">
        <f>IFERROR(VLOOKUP($A4669,Accounts!$A:$G,8,FALSE),"")</f>
        <v/>
      </c>
    </row>
    <row r="4670" spans="1:15" x14ac:dyDescent="0.2">
      <c r="A4670" t="str">
        <f t="shared" si="71"/>
        <v/>
      </c>
      <c r="O4670" t="str">
        <f>IFERROR(VLOOKUP($A4670,Accounts!$A:$G,8,FALSE),"")</f>
        <v/>
      </c>
    </row>
    <row r="4671" spans="1:15" x14ac:dyDescent="0.2">
      <c r="A4671" t="str">
        <f t="shared" si="71"/>
        <v/>
      </c>
      <c r="O4671" t="str">
        <f>IFERROR(VLOOKUP($A4671,Accounts!$A:$G,8,FALSE),"")</f>
        <v/>
      </c>
    </row>
    <row r="4672" spans="1:15" x14ac:dyDescent="0.2">
      <c r="A4672" t="str">
        <f t="shared" si="71"/>
        <v/>
      </c>
      <c r="O4672" t="str">
        <f>IFERROR(VLOOKUP($A4672,Accounts!$A:$G,8,FALSE),"")</f>
        <v/>
      </c>
    </row>
    <row r="4673" spans="1:15" x14ac:dyDescent="0.2">
      <c r="A4673" t="str">
        <f t="shared" si="71"/>
        <v/>
      </c>
      <c r="O4673" t="str">
        <f>IFERROR(VLOOKUP($A4673,Accounts!$A:$G,8,FALSE),"")</f>
        <v/>
      </c>
    </row>
    <row r="4674" spans="1:15" x14ac:dyDescent="0.2">
      <c r="A4674" t="str">
        <f t="shared" si="71"/>
        <v/>
      </c>
      <c r="O4674" t="str">
        <f>IFERROR(VLOOKUP($A4674,Accounts!$A:$G,8,FALSE),"")</f>
        <v/>
      </c>
    </row>
    <row r="4675" spans="1:15" x14ac:dyDescent="0.2">
      <c r="A4675" t="str">
        <f t="shared" ref="A4675:A4738" si="72">IFERROR(IF(J4675=0,B4675&amp;D4675&amp;I4675&amp;E4675,C4675&amp;D4675&amp;J4675&amp;G4675),"")</f>
        <v/>
      </c>
      <c r="O4675" t="str">
        <f>IFERROR(VLOOKUP($A4675,Accounts!$A:$G,8,FALSE),"")</f>
        <v/>
      </c>
    </row>
    <row r="4676" spans="1:15" x14ac:dyDescent="0.2">
      <c r="A4676" t="str">
        <f t="shared" si="72"/>
        <v/>
      </c>
      <c r="O4676" t="str">
        <f>IFERROR(VLOOKUP($A4676,Accounts!$A:$G,8,FALSE),"")</f>
        <v/>
      </c>
    </row>
    <row r="4677" spans="1:15" x14ac:dyDescent="0.2">
      <c r="A4677" t="str">
        <f t="shared" si="72"/>
        <v/>
      </c>
      <c r="O4677" t="str">
        <f>IFERROR(VLOOKUP($A4677,Accounts!$A:$G,8,FALSE),"")</f>
        <v/>
      </c>
    </row>
    <row r="4678" spans="1:15" x14ac:dyDescent="0.2">
      <c r="A4678" t="str">
        <f t="shared" si="72"/>
        <v/>
      </c>
      <c r="O4678" t="str">
        <f>IFERROR(VLOOKUP($A4678,Accounts!$A:$G,8,FALSE),"")</f>
        <v/>
      </c>
    </row>
    <row r="4679" spans="1:15" x14ac:dyDescent="0.2">
      <c r="A4679" t="str">
        <f t="shared" si="72"/>
        <v/>
      </c>
      <c r="O4679" t="str">
        <f>IFERROR(VLOOKUP($A4679,Accounts!$A:$G,8,FALSE),"")</f>
        <v/>
      </c>
    </row>
    <row r="4680" spans="1:15" x14ac:dyDescent="0.2">
      <c r="A4680" t="str">
        <f t="shared" si="72"/>
        <v/>
      </c>
      <c r="O4680" t="str">
        <f>IFERROR(VLOOKUP($A4680,Accounts!$A:$G,8,FALSE),"")</f>
        <v/>
      </c>
    </row>
    <row r="4681" spans="1:15" x14ac:dyDescent="0.2">
      <c r="A4681" t="str">
        <f t="shared" si="72"/>
        <v/>
      </c>
      <c r="O4681" t="str">
        <f>IFERROR(VLOOKUP($A4681,Accounts!$A:$G,8,FALSE),"")</f>
        <v/>
      </c>
    </row>
    <row r="4682" spans="1:15" x14ac:dyDescent="0.2">
      <c r="A4682" t="str">
        <f t="shared" si="72"/>
        <v/>
      </c>
      <c r="O4682" t="str">
        <f>IFERROR(VLOOKUP($A4682,Accounts!$A:$G,8,FALSE),"")</f>
        <v/>
      </c>
    </row>
    <row r="4683" spans="1:15" x14ac:dyDescent="0.2">
      <c r="A4683" t="str">
        <f t="shared" si="72"/>
        <v/>
      </c>
      <c r="O4683" t="str">
        <f>IFERROR(VLOOKUP($A4683,Accounts!$A:$G,8,FALSE),"")</f>
        <v/>
      </c>
    </row>
    <row r="4684" spans="1:15" x14ac:dyDescent="0.2">
      <c r="A4684" t="str">
        <f t="shared" si="72"/>
        <v/>
      </c>
      <c r="O4684" t="str">
        <f>IFERROR(VLOOKUP($A4684,Accounts!$A:$G,8,FALSE),"")</f>
        <v/>
      </c>
    </row>
    <row r="4685" spans="1:15" x14ac:dyDescent="0.2">
      <c r="A4685" t="str">
        <f t="shared" si="72"/>
        <v/>
      </c>
      <c r="O4685" t="str">
        <f>IFERROR(VLOOKUP($A4685,Accounts!$A:$G,8,FALSE),"")</f>
        <v/>
      </c>
    </row>
    <row r="4686" spans="1:15" x14ac:dyDescent="0.2">
      <c r="A4686" t="str">
        <f t="shared" si="72"/>
        <v/>
      </c>
      <c r="O4686" t="str">
        <f>IFERROR(VLOOKUP($A4686,Accounts!$A:$G,8,FALSE),"")</f>
        <v/>
      </c>
    </row>
    <row r="4687" spans="1:15" x14ac:dyDescent="0.2">
      <c r="A4687" t="str">
        <f t="shared" si="72"/>
        <v/>
      </c>
      <c r="O4687" t="str">
        <f>IFERROR(VLOOKUP($A4687,Accounts!$A:$G,8,FALSE),"")</f>
        <v/>
      </c>
    </row>
    <row r="4688" spans="1:15" x14ac:dyDescent="0.2">
      <c r="A4688" t="str">
        <f t="shared" si="72"/>
        <v/>
      </c>
      <c r="O4688" t="str">
        <f>IFERROR(VLOOKUP($A4688,Accounts!$A:$G,8,FALSE),"")</f>
        <v/>
      </c>
    </row>
    <row r="4689" spans="1:15" x14ac:dyDescent="0.2">
      <c r="A4689" t="str">
        <f t="shared" si="72"/>
        <v/>
      </c>
      <c r="O4689" t="str">
        <f>IFERROR(VLOOKUP($A4689,Accounts!$A:$G,8,FALSE),"")</f>
        <v/>
      </c>
    </row>
    <row r="4690" spans="1:15" x14ac:dyDescent="0.2">
      <c r="A4690" t="str">
        <f t="shared" si="72"/>
        <v/>
      </c>
      <c r="O4690" t="str">
        <f>IFERROR(VLOOKUP($A4690,Accounts!$A:$G,8,FALSE),"")</f>
        <v/>
      </c>
    </row>
    <row r="4691" spans="1:15" x14ac:dyDescent="0.2">
      <c r="A4691" t="str">
        <f t="shared" si="72"/>
        <v/>
      </c>
      <c r="O4691" t="str">
        <f>IFERROR(VLOOKUP($A4691,Accounts!$A:$G,8,FALSE),"")</f>
        <v/>
      </c>
    </row>
    <row r="4692" spans="1:15" x14ac:dyDescent="0.2">
      <c r="A4692" t="str">
        <f t="shared" si="72"/>
        <v/>
      </c>
      <c r="O4692" t="str">
        <f>IFERROR(VLOOKUP($A4692,Accounts!$A:$G,8,FALSE),"")</f>
        <v/>
      </c>
    </row>
    <row r="4693" spans="1:15" x14ac:dyDescent="0.2">
      <c r="A4693" t="str">
        <f t="shared" si="72"/>
        <v/>
      </c>
      <c r="O4693" t="str">
        <f>IFERROR(VLOOKUP($A4693,Accounts!$A:$G,8,FALSE),"")</f>
        <v/>
      </c>
    </row>
    <row r="4694" spans="1:15" x14ac:dyDescent="0.2">
      <c r="A4694" t="str">
        <f t="shared" si="72"/>
        <v/>
      </c>
      <c r="O4694" t="str">
        <f>IFERROR(VLOOKUP($A4694,Accounts!$A:$G,8,FALSE),"")</f>
        <v/>
      </c>
    </row>
    <row r="4695" spans="1:15" x14ac:dyDescent="0.2">
      <c r="A4695" t="str">
        <f t="shared" si="72"/>
        <v/>
      </c>
      <c r="O4695" t="str">
        <f>IFERROR(VLOOKUP($A4695,Accounts!$A:$G,8,FALSE),"")</f>
        <v/>
      </c>
    </row>
    <row r="4696" spans="1:15" x14ac:dyDescent="0.2">
      <c r="A4696" t="str">
        <f t="shared" si="72"/>
        <v/>
      </c>
      <c r="O4696" t="str">
        <f>IFERROR(VLOOKUP($A4696,Accounts!$A:$G,8,FALSE),"")</f>
        <v/>
      </c>
    </row>
    <row r="4697" spans="1:15" x14ac:dyDescent="0.2">
      <c r="A4697" t="str">
        <f t="shared" si="72"/>
        <v/>
      </c>
      <c r="O4697" t="str">
        <f>IFERROR(VLOOKUP($A4697,Accounts!$A:$G,8,FALSE),"")</f>
        <v/>
      </c>
    </row>
    <row r="4698" spans="1:15" x14ac:dyDescent="0.2">
      <c r="A4698" t="str">
        <f t="shared" si="72"/>
        <v/>
      </c>
      <c r="O4698" t="str">
        <f>IFERROR(VLOOKUP($A4698,Accounts!$A:$G,8,FALSE),"")</f>
        <v/>
      </c>
    </row>
    <row r="4699" spans="1:15" x14ac:dyDescent="0.2">
      <c r="A4699" t="str">
        <f t="shared" si="72"/>
        <v/>
      </c>
      <c r="O4699" t="str">
        <f>IFERROR(VLOOKUP($A4699,Accounts!$A:$G,8,FALSE),"")</f>
        <v/>
      </c>
    </row>
    <row r="4700" spans="1:15" x14ac:dyDescent="0.2">
      <c r="A4700" t="str">
        <f t="shared" si="72"/>
        <v/>
      </c>
      <c r="O4700" t="str">
        <f>IFERROR(VLOOKUP($A4700,Accounts!$A:$G,8,FALSE),"")</f>
        <v/>
      </c>
    </row>
    <row r="4701" spans="1:15" x14ac:dyDescent="0.2">
      <c r="A4701" t="str">
        <f t="shared" si="72"/>
        <v/>
      </c>
      <c r="O4701" t="str">
        <f>IFERROR(VLOOKUP($A4701,Accounts!$A:$G,8,FALSE),"")</f>
        <v/>
      </c>
    </row>
    <row r="4702" spans="1:15" x14ac:dyDescent="0.2">
      <c r="A4702" t="str">
        <f t="shared" si="72"/>
        <v/>
      </c>
      <c r="O4702" t="str">
        <f>IFERROR(VLOOKUP($A4702,Accounts!$A:$G,8,FALSE),"")</f>
        <v/>
      </c>
    </row>
    <row r="4703" spans="1:15" x14ac:dyDescent="0.2">
      <c r="A4703" t="str">
        <f t="shared" si="72"/>
        <v/>
      </c>
      <c r="O4703" t="str">
        <f>IFERROR(VLOOKUP($A4703,Accounts!$A:$G,8,FALSE),"")</f>
        <v/>
      </c>
    </row>
    <row r="4704" spans="1:15" x14ac:dyDescent="0.2">
      <c r="A4704" t="str">
        <f t="shared" si="72"/>
        <v/>
      </c>
      <c r="O4704" t="str">
        <f>IFERROR(VLOOKUP($A4704,Accounts!$A:$G,8,FALSE),"")</f>
        <v/>
      </c>
    </row>
    <row r="4705" spans="1:15" x14ac:dyDescent="0.2">
      <c r="A4705" t="str">
        <f t="shared" si="72"/>
        <v/>
      </c>
      <c r="O4705" t="str">
        <f>IFERROR(VLOOKUP($A4705,Accounts!$A:$G,8,FALSE),"")</f>
        <v/>
      </c>
    </row>
    <row r="4706" spans="1:15" x14ac:dyDescent="0.2">
      <c r="A4706" t="str">
        <f t="shared" si="72"/>
        <v/>
      </c>
      <c r="O4706" t="str">
        <f>IFERROR(VLOOKUP($A4706,Accounts!$A:$G,8,FALSE),"")</f>
        <v/>
      </c>
    </row>
    <row r="4707" spans="1:15" x14ac:dyDescent="0.2">
      <c r="A4707" t="str">
        <f t="shared" si="72"/>
        <v/>
      </c>
      <c r="O4707" t="str">
        <f>IFERROR(VLOOKUP($A4707,Accounts!$A:$G,8,FALSE),"")</f>
        <v/>
      </c>
    </row>
    <row r="4708" spans="1:15" x14ac:dyDescent="0.2">
      <c r="A4708" t="str">
        <f t="shared" si="72"/>
        <v/>
      </c>
      <c r="O4708" t="str">
        <f>IFERROR(VLOOKUP($A4708,Accounts!$A:$G,8,FALSE),"")</f>
        <v/>
      </c>
    </row>
    <row r="4709" spans="1:15" x14ac:dyDescent="0.2">
      <c r="A4709" t="str">
        <f t="shared" si="72"/>
        <v/>
      </c>
      <c r="O4709" t="str">
        <f>IFERROR(VLOOKUP($A4709,Accounts!$A:$G,8,FALSE),"")</f>
        <v/>
      </c>
    </row>
    <row r="4710" spans="1:15" x14ac:dyDescent="0.2">
      <c r="A4710" t="str">
        <f t="shared" si="72"/>
        <v/>
      </c>
      <c r="O4710" t="str">
        <f>IFERROR(VLOOKUP($A4710,Accounts!$A:$G,8,FALSE),"")</f>
        <v/>
      </c>
    </row>
    <row r="4711" spans="1:15" x14ac:dyDescent="0.2">
      <c r="A4711" t="str">
        <f t="shared" si="72"/>
        <v/>
      </c>
      <c r="O4711" t="str">
        <f>IFERROR(VLOOKUP($A4711,Accounts!$A:$G,8,FALSE),"")</f>
        <v/>
      </c>
    </row>
    <row r="4712" spans="1:15" x14ac:dyDescent="0.2">
      <c r="A4712" t="str">
        <f t="shared" si="72"/>
        <v/>
      </c>
      <c r="O4712" t="str">
        <f>IFERROR(VLOOKUP($A4712,Accounts!$A:$G,8,FALSE),"")</f>
        <v/>
      </c>
    </row>
    <row r="4713" spans="1:15" x14ac:dyDescent="0.2">
      <c r="A4713" t="str">
        <f t="shared" si="72"/>
        <v/>
      </c>
      <c r="O4713" t="str">
        <f>IFERROR(VLOOKUP($A4713,Accounts!$A:$G,8,FALSE),"")</f>
        <v/>
      </c>
    </row>
    <row r="4714" spans="1:15" x14ac:dyDescent="0.2">
      <c r="A4714" t="str">
        <f t="shared" si="72"/>
        <v/>
      </c>
      <c r="O4714" t="str">
        <f>IFERROR(VLOOKUP($A4714,Accounts!$A:$G,8,FALSE),"")</f>
        <v/>
      </c>
    </row>
    <row r="4715" spans="1:15" x14ac:dyDescent="0.2">
      <c r="A4715" t="str">
        <f t="shared" si="72"/>
        <v/>
      </c>
      <c r="O4715" t="str">
        <f>IFERROR(VLOOKUP($A4715,Accounts!$A:$G,8,FALSE),"")</f>
        <v/>
      </c>
    </row>
    <row r="4716" spans="1:15" x14ac:dyDescent="0.2">
      <c r="A4716" t="str">
        <f t="shared" si="72"/>
        <v/>
      </c>
      <c r="O4716" t="str">
        <f>IFERROR(VLOOKUP($A4716,Accounts!$A:$G,8,FALSE),"")</f>
        <v/>
      </c>
    </row>
    <row r="4717" spans="1:15" x14ac:dyDescent="0.2">
      <c r="A4717" t="str">
        <f t="shared" si="72"/>
        <v/>
      </c>
      <c r="O4717" t="str">
        <f>IFERROR(VLOOKUP($A4717,Accounts!$A:$G,8,FALSE),"")</f>
        <v/>
      </c>
    </row>
    <row r="4718" spans="1:15" x14ac:dyDescent="0.2">
      <c r="A4718" t="str">
        <f t="shared" si="72"/>
        <v/>
      </c>
      <c r="O4718" t="str">
        <f>IFERROR(VLOOKUP($A4718,Accounts!$A:$G,8,FALSE),"")</f>
        <v/>
      </c>
    </row>
    <row r="4719" spans="1:15" x14ac:dyDescent="0.2">
      <c r="A4719" t="str">
        <f t="shared" si="72"/>
        <v/>
      </c>
      <c r="O4719" t="str">
        <f>IFERROR(VLOOKUP($A4719,Accounts!$A:$G,8,FALSE),"")</f>
        <v/>
      </c>
    </row>
    <row r="4720" spans="1:15" x14ac:dyDescent="0.2">
      <c r="A4720" t="str">
        <f t="shared" si="72"/>
        <v/>
      </c>
      <c r="O4720" t="str">
        <f>IFERROR(VLOOKUP($A4720,Accounts!$A:$G,8,FALSE),"")</f>
        <v/>
      </c>
    </row>
    <row r="4721" spans="1:15" x14ac:dyDescent="0.2">
      <c r="A4721" t="str">
        <f t="shared" si="72"/>
        <v/>
      </c>
      <c r="O4721" t="str">
        <f>IFERROR(VLOOKUP($A4721,Accounts!$A:$G,8,FALSE),"")</f>
        <v/>
      </c>
    </row>
    <row r="4722" spans="1:15" x14ac:dyDescent="0.2">
      <c r="A4722" t="str">
        <f t="shared" si="72"/>
        <v/>
      </c>
      <c r="O4722" t="str">
        <f>IFERROR(VLOOKUP($A4722,Accounts!$A:$G,8,FALSE),"")</f>
        <v/>
      </c>
    </row>
    <row r="4723" spans="1:15" x14ac:dyDescent="0.2">
      <c r="A4723" t="str">
        <f t="shared" si="72"/>
        <v/>
      </c>
      <c r="O4723" t="str">
        <f>IFERROR(VLOOKUP($A4723,Accounts!$A:$G,8,FALSE),"")</f>
        <v/>
      </c>
    </row>
    <row r="4724" spans="1:15" x14ac:dyDescent="0.2">
      <c r="A4724" t="str">
        <f t="shared" si="72"/>
        <v/>
      </c>
      <c r="O4724" t="str">
        <f>IFERROR(VLOOKUP($A4724,Accounts!$A:$G,8,FALSE),"")</f>
        <v/>
      </c>
    </row>
    <row r="4725" spans="1:15" x14ac:dyDescent="0.2">
      <c r="A4725" t="str">
        <f t="shared" si="72"/>
        <v/>
      </c>
      <c r="O4725" t="str">
        <f>IFERROR(VLOOKUP($A4725,Accounts!$A:$G,8,FALSE),"")</f>
        <v/>
      </c>
    </row>
    <row r="4726" spans="1:15" x14ac:dyDescent="0.2">
      <c r="A4726" t="str">
        <f t="shared" si="72"/>
        <v/>
      </c>
      <c r="O4726" t="str">
        <f>IFERROR(VLOOKUP($A4726,Accounts!$A:$G,8,FALSE),"")</f>
        <v/>
      </c>
    </row>
    <row r="4727" spans="1:15" x14ac:dyDescent="0.2">
      <c r="A4727" t="str">
        <f t="shared" si="72"/>
        <v/>
      </c>
      <c r="O4727" t="str">
        <f>IFERROR(VLOOKUP($A4727,Accounts!$A:$G,8,FALSE),"")</f>
        <v/>
      </c>
    </row>
    <row r="4728" spans="1:15" x14ac:dyDescent="0.2">
      <c r="A4728" t="str">
        <f t="shared" si="72"/>
        <v/>
      </c>
      <c r="O4728" t="str">
        <f>IFERROR(VLOOKUP($A4728,Accounts!$A:$G,8,FALSE),"")</f>
        <v/>
      </c>
    </row>
    <row r="4729" spans="1:15" x14ac:dyDescent="0.2">
      <c r="A4729" t="str">
        <f t="shared" si="72"/>
        <v/>
      </c>
      <c r="O4729" t="str">
        <f>IFERROR(VLOOKUP($A4729,Accounts!$A:$G,8,FALSE),"")</f>
        <v/>
      </c>
    </row>
    <row r="4730" spans="1:15" x14ac:dyDescent="0.2">
      <c r="A4730" t="str">
        <f t="shared" si="72"/>
        <v/>
      </c>
      <c r="O4730" t="str">
        <f>IFERROR(VLOOKUP($A4730,Accounts!$A:$G,8,FALSE),"")</f>
        <v/>
      </c>
    </row>
    <row r="4731" spans="1:15" x14ac:dyDescent="0.2">
      <c r="A4731" t="str">
        <f t="shared" si="72"/>
        <v/>
      </c>
      <c r="O4731" t="str">
        <f>IFERROR(VLOOKUP($A4731,Accounts!$A:$G,8,FALSE),"")</f>
        <v/>
      </c>
    </row>
    <row r="4732" spans="1:15" x14ac:dyDescent="0.2">
      <c r="A4732" t="str">
        <f t="shared" si="72"/>
        <v/>
      </c>
      <c r="O4732" t="str">
        <f>IFERROR(VLOOKUP($A4732,Accounts!$A:$G,8,FALSE),"")</f>
        <v/>
      </c>
    </row>
    <row r="4733" spans="1:15" x14ac:dyDescent="0.2">
      <c r="A4733" t="str">
        <f t="shared" si="72"/>
        <v/>
      </c>
      <c r="O4733" t="str">
        <f>IFERROR(VLOOKUP($A4733,Accounts!$A:$G,8,FALSE),"")</f>
        <v/>
      </c>
    </row>
    <row r="4734" spans="1:15" x14ac:dyDescent="0.2">
      <c r="A4734" t="str">
        <f t="shared" si="72"/>
        <v/>
      </c>
      <c r="O4734" t="str">
        <f>IFERROR(VLOOKUP($A4734,Accounts!$A:$G,8,FALSE),"")</f>
        <v/>
      </c>
    </row>
    <row r="4735" spans="1:15" x14ac:dyDescent="0.2">
      <c r="A4735" t="str">
        <f t="shared" si="72"/>
        <v/>
      </c>
      <c r="O4735" t="str">
        <f>IFERROR(VLOOKUP($A4735,Accounts!$A:$G,8,FALSE),"")</f>
        <v/>
      </c>
    </row>
    <row r="4736" spans="1:15" x14ac:dyDescent="0.2">
      <c r="A4736" t="str">
        <f t="shared" si="72"/>
        <v/>
      </c>
      <c r="O4736" t="str">
        <f>IFERROR(VLOOKUP($A4736,Accounts!$A:$G,8,FALSE),"")</f>
        <v/>
      </c>
    </row>
    <row r="4737" spans="1:15" x14ac:dyDescent="0.2">
      <c r="A4737" t="str">
        <f t="shared" si="72"/>
        <v/>
      </c>
      <c r="O4737" t="str">
        <f>IFERROR(VLOOKUP($A4737,Accounts!$A:$G,8,FALSE),"")</f>
        <v/>
      </c>
    </row>
    <row r="4738" spans="1:15" x14ac:dyDescent="0.2">
      <c r="A4738" t="str">
        <f t="shared" si="72"/>
        <v/>
      </c>
      <c r="O4738" t="str">
        <f>IFERROR(VLOOKUP($A4738,Accounts!$A:$G,8,FALSE),"")</f>
        <v/>
      </c>
    </row>
    <row r="4739" spans="1:15" x14ac:dyDescent="0.2">
      <c r="A4739" t="str">
        <f t="shared" ref="A4739:A4802" si="73">IFERROR(IF(J4739=0,B4739&amp;D4739&amp;I4739&amp;E4739,C4739&amp;D4739&amp;J4739&amp;G4739),"")</f>
        <v/>
      </c>
      <c r="O4739" t="str">
        <f>IFERROR(VLOOKUP($A4739,Accounts!$A:$G,8,FALSE),"")</f>
        <v/>
      </c>
    </row>
    <row r="4740" spans="1:15" x14ac:dyDescent="0.2">
      <c r="A4740" t="str">
        <f t="shared" si="73"/>
        <v/>
      </c>
      <c r="O4740" t="str">
        <f>IFERROR(VLOOKUP($A4740,Accounts!$A:$G,8,FALSE),"")</f>
        <v/>
      </c>
    </row>
    <row r="4741" spans="1:15" x14ac:dyDescent="0.2">
      <c r="A4741" t="str">
        <f t="shared" si="73"/>
        <v/>
      </c>
      <c r="O4741" t="str">
        <f>IFERROR(VLOOKUP($A4741,Accounts!$A:$G,8,FALSE),"")</f>
        <v/>
      </c>
    </row>
    <row r="4742" spans="1:15" x14ac:dyDescent="0.2">
      <c r="A4742" t="str">
        <f t="shared" si="73"/>
        <v/>
      </c>
      <c r="O4742" t="str">
        <f>IFERROR(VLOOKUP($A4742,Accounts!$A:$G,8,FALSE),"")</f>
        <v/>
      </c>
    </row>
    <row r="4743" spans="1:15" x14ac:dyDescent="0.2">
      <c r="A4743" t="str">
        <f t="shared" si="73"/>
        <v/>
      </c>
      <c r="O4743" t="str">
        <f>IFERROR(VLOOKUP($A4743,Accounts!$A:$G,8,FALSE),"")</f>
        <v/>
      </c>
    </row>
    <row r="4744" spans="1:15" x14ac:dyDescent="0.2">
      <c r="A4744" t="str">
        <f t="shared" si="73"/>
        <v/>
      </c>
      <c r="O4744" t="str">
        <f>IFERROR(VLOOKUP($A4744,Accounts!$A:$G,8,FALSE),"")</f>
        <v/>
      </c>
    </row>
    <row r="4745" spans="1:15" x14ac:dyDescent="0.2">
      <c r="A4745" t="str">
        <f t="shared" si="73"/>
        <v/>
      </c>
      <c r="O4745" t="str">
        <f>IFERROR(VLOOKUP($A4745,Accounts!$A:$G,8,FALSE),"")</f>
        <v/>
      </c>
    </row>
    <row r="4746" spans="1:15" x14ac:dyDescent="0.2">
      <c r="A4746" t="str">
        <f t="shared" si="73"/>
        <v/>
      </c>
      <c r="O4746" t="str">
        <f>IFERROR(VLOOKUP($A4746,Accounts!$A:$G,8,FALSE),"")</f>
        <v/>
      </c>
    </row>
    <row r="4747" spans="1:15" x14ac:dyDescent="0.2">
      <c r="A4747" t="str">
        <f t="shared" si="73"/>
        <v/>
      </c>
      <c r="O4747" t="str">
        <f>IFERROR(VLOOKUP($A4747,Accounts!$A:$G,8,FALSE),"")</f>
        <v/>
      </c>
    </row>
    <row r="4748" spans="1:15" x14ac:dyDescent="0.2">
      <c r="A4748" t="str">
        <f t="shared" si="73"/>
        <v/>
      </c>
      <c r="O4748" t="str">
        <f>IFERROR(VLOOKUP($A4748,Accounts!$A:$G,8,FALSE),"")</f>
        <v/>
      </c>
    </row>
    <row r="4749" spans="1:15" x14ac:dyDescent="0.2">
      <c r="A4749" t="str">
        <f t="shared" si="73"/>
        <v/>
      </c>
      <c r="O4749" t="str">
        <f>IFERROR(VLOOKUP($A4749,Accounts!$A:$G,8,FALSE),"")</f>
        <v/>
      </c>
    </row>
    <row r="4750" spans="1:15" x14ac:dyDescent="0.2">
      <c r="A4750" t="str">
        <f t="shared" si="73"/>
        <v/>
      </c>
      <c r="O4750" t="str">
        <f>IFERROR(VLOOKUP($A4750,Accounts!$A:$G,8,FALSE),"")</f>
        <v/>
      </c>
    </row>
    <row r="4751" spans="1:15" x14ac:dyDescent="0.2">
      <c r="A4751" t="str">
        <f t="shared" si="73"/>
        <v/>
      </c>
      <c r="O4751" t="str">
        <f>IFERROR(VLOOKUP($A4751,Accounts!$A:$G,8,FALSE),"")</f>
        <v/>
      </c>
    </row>
    <row r="4752" spans="1:15" x14ac:dyDescent="0.2">
      <c r="A4752" t="str">
        <f t="shared" si="73"/>
        <v/>
      </c>
      <c r="O4752" t="str">
        <f>IFERROR(VLOOKUP($A4752,Accounts!$A:$G,8,FALSE),"")</f>
        <v/>
      </c>
    </row>
    <row r="4753" spans="1:15" x14ac:dyDescent="0.2">
      <c r="A4753" t="str">
        <f t="shared" si="73"/>
        <v/>
      </c>
      <c r="O4753" t="str">
        <f>IFERROR(VLOOKUP($A4753,Accounts!$A:$G,8,FALSE),"")</f>
        <v/>
      </c>
    </row>
    <row r="4754" spans="1:15" x14ac:dyDescent="0.2">
      <c r="A4754" t="str">
        <f t="shared" si="73"/>
        <v/>
      </c>
      <c r="O4754" t="str">
        <f>IFERROR(VLOOKUP($A4754,Accounts!$A:$G,8,FALSE),"")</f>
        <v/>
      </c>
    </row>
    <row r="4755" spans="1:15" x14ac:dyDescent="0.2">
      <c r="A4755" t="str">
        <f t="shared" si="73"/>
        <v/>
      </c>
      <c r="O4755" t="str">
        <f>IFERROR(VLOOKUP($A4755,Accounts!$A:$G,8,FALSE),"")</f>
        <v/>
      </c>
    </row>
    <row r="4756" spans="1:15" x14ac:dyDescent="0.2">
      <c r="A4756" t="str">
        <f t="shared" si="73"/>
        <v/>
      </c>
      <c r="O4756" t="str">
        <f>IFERROR(VLOOKUP($A4756,Accounts!$A:$G,8,FALSE),"")</f>
        <v/>
      </c>
    </row>
    <row r="4757" spans="1:15" x14ac:dyDescent="0.2">
      <c r="A4757" t="str">
        <f t="shared" si="73"/>
        <v/>
      </c>
      <c r="O4757" t="str">
        <f>IFERROR(VLOOKUP($A4757,Accounts!$A:$G,8,FALSE),"")</f>
        <v/>
      </c>
    </row>
    <row r="4758" spans="1:15" x14ac:dyDescent="0.2">
      <c r="A4758" t="str">
        <f t="shared" si="73"/>
        <v/>
      </c>
      <c r="O4758" t="str">
        <f>IFERROR(VLOOKUP($A4758,Accounts!$A:$G,8,FALSE),"")</f>
        <v/>
      </c>
    </row>
    <row r="4759" spans="1:15" x14ac:dyDescent="0.2">
      <c r="A4759" t="str">
        <f t="shared" si="73"/>
        <v/>
      </c>
      <c r="O4759" t="str">
        <f>IFERROR(VLOOKUP($A4759,Accounts!$A:$G,8,FALSE),"")</f>
        <v/>
      </c>
    </row>
    <row r="4760" spans="1:15" x14ac:dyDescent="0.2">
      <c r="A4760" t="str">
        <f t="shared" si="73"/>
        <v/>
      </c>
      <c r="O4760" t="str">
        <f>IFERROR(VLOOKUP($A4760,Accounts!$A:$G,8,FALSE),"")</f>
        <v/>
      </c>
    </row>
    <row r="4761" spans="1:15" x14ac:dyDescent="0.2">
      <c r="A4761" t="str">
        <f t="shared" si="73"/>
        <v/>
      </c>
      <c r="O4761" t="str">
        <f>IFERROR(VLOOKUP($A4761,Accounts!$A:$G,8,FALSE),"")</f>
        <v/>
      </c>
    </row>
    <row r="4762" spans="1:15" x14ac:dyDescent="0.2">
      <c r="A4762" t="str">
        <f t="shared" si="73"/>
        <v/>
      </c>
      <c r="O4762" t="str">
        <f>IFERROR(VLOOKUP($A4762,Accounts!$A:$G,8,FALSE),"")</f>
        <v/>
      </c>
    </row>
    <row r="4763" spans="1:15" x14ac:dyDescent="0.2">
      <c r="A4763" t="str">
        <f t="shared" si="73"/>
        <v/>
      </c>
      <c r="O4763" t="str">
        <f>IFERROR(VLOOKUP($A4763,Accounts!$A:$G,8,FALSE),"")</f>
        <v/>
      </c>
    </row>
    <row r="4764" spans="1:15" x14ac:dyDescent="0.2">
      <c r="A4764" t="str">
        <f t="shared" si="73"/>
        <v/>
      </c>
      <c r="O4764" t="str">
        <f>IFERROR(VLOOKUP($A4764,Accounts!$A:$G,8,FALSE),"")</f>
        <v/>
      </c>
    </row>
    <row r="4765" spans="1:15" x14ac:dyDescent="0.2">
      <c r="A4765" t="str">
        <f t="shared" si="73"/>
        <v/>
      </c>
      <c r="O4765" t="str">
        <f>IFERROR(VLOOKUP($A4765,Accounts!$A:$G,8,FALSE),"")</f>
        <v/>
      </c>
    </row>
    <row r="4766" spans="1:15" x14ac:dyDescent="0.2">
      <c r="A4766" t="str">
        <f t="shared" si="73"/>
        <v/>
      </c>
      <c r="O4766" t="str">
        <f>IFERROR(VLOOKUP($A4766,Accounts!$A:$G,8,FALSE),"")</f>
        <v/>
      </c>
    </row>
    <row r="4767" spans="1:15" x14ac:dyDescent="0.2">
      <c r="A4767" t="str">
        <f t="shared" si="73"/>
        <v/>
      </c>
      <c r="O4767" t="str">
        <f>IFERROR(VLOOKUP($A4767,Accounts!$A:$G,8,FALSE),"")</f>
        <v/>
      </c>
    </row>
    <row r="4768" spans="1:15" x14ac:dyDescent="0.2">
      <c r="A4768" t="str">
        <f t="shared" si="73"/>
        <v/>
      </c>
      <c r="O4768" t="str">
        <f>IFERROR(VLOOKUP($A4768,Accounts!$A:$G,8,FALSE),"")</f>
        <v/>
      </c>
    </row>
    <row r="4769" spans="1:15" x14ac:dyDescent="0.2">
      <c r="A4769" t="str">
        <f t="shared" si="73"/>
        <v/>
      </c>
      <c r="O4769" t="str">
        <f>IFERROR(VLOOKUP($A4769,Accounts!$A:$G,8,FALSE),"")</f>
        <v/>
      </c>
    </row>
    <row r="4770" spans="1:15" x14ac:dyDescent="0.2">
      <c r="A4770" t="str">
        <f t="shared" si="73"/>
        <v/>
      </c>
      <c r="O4770" t="str">
        <f>IFERROR(VLOOKUP($A4770,Accounts!$A:$G,8,FALSE),"")</f>
        <v/>
      </c>
    </row>
    <row r="4771" spans="1:15" x14ac:dyDescent="0.2">
      <c r="A4771" t="str">
        <f t="shared" si="73"/>
        <v/>
      </c>
      <c r="O4771" t="str">
        <f>IFERROR(VLOOKUP($A4771,Accounts!$A:$G,8,FALSE),"")</f>
        <v/>
      </c>
    </row>
    <row r="4772" spans="1:15" x14ac:dyDescent="0.2">
      <c r="A4772" t="str">
        <f t="shared" si="73"/>
        <v/>
      </c>
      <c r="O4772" t="str">
        <f>IFERROR(VLOOKUP($A4772,Accounts!$A:$G,8,FALSE),"")</f>
        <v/>
      </c>
    </row>
    <row r="4773" spans="1:15" x14ac:dyDescent="0.2">
      <c r="A4773" t="str">
        <f t="shared" si="73"/>
        <v/>
      </c>
      <c r="O4773" t="str">
        <f>IFERROR(VLOOKUP($A4773,Accounts!$A:$G,8,FALSE),"")</f>
        <v/>
      </c>
    </row>
    <row r="4774" spans="1:15" x14ac:dyDescent="0.2">
      <c r="A4774" t="str">
        <f t="shared" si="73"/>
        <v/>
      </c>
      <c r="O4774" t="str">
        <f>IFERROR(VLOOKUP($A4774,Accounts!$A:$G,8,FALSE),"")</f>
        <v/>
      </c>
    </row>
    <row r="4775" spans="1:15" x14ac:dyDescent="0.2">
      <c r="A4775" t="str">
        <f t="shared" si="73"/>
        <v/>
      </c>
      <c r="O4775" t="str">
        <f>IFERROR(VLOOKUP($A4775,Accounts!$A:$G,8,FALSE),"")</f>
        <v/>
      </c>
    </row>
    <row r="4776" spans="1:15" x14ac:dyDescent="0.2">
      <c r="A4776" t="str">
        <f t="shared" si="73"/>
        <v/>
      </c>
      <c r="O4776" t="str">
        <f>IFERROR(VLOOKUP($A4776,Accounts!$A:$G,8,FALSE),"")</f>
        <v/>
      </c>
    </row>
    <row r="4777" spans="1:15" x14ac:dyDescent="0.2">
      <c r="A4777" t="str">
        <f t="shared" si="73"/>
        <v/>
      </c>
      <c r="O4777" t="str">
        <f>IFERROR(VLOOKUP($A4777,Accounts!$A:$G,8,FALSE),"")</f>
        <v/>
      </c>
    </row>
    <row r="4778" spans="1:15" x14ac:dyDescent="0.2">
      <c r="A4778" t="str">
        <f t="shared" si="73"/>
        <v/>
      </c>
      <c r="O4778" t="str">
        <f>IFERROR(VLOOKUP($A4778,Accounts!$A:$G,8,FALSE),"")</f>
        <v/>
      </c>
    </row>
    <row r="4779" spans="1:15" x14ac:dyDescent="0.2">
      <c r="A4779" t="str">
        <f t="shared" si="73"/>
        <v/>
      </c>
      <c r="O4779" t="str">
        <f>IFERROR(VLOOKUP($A4779,Accounts!$A:$G,8,FALSE),"")</f>
        <v/>
      </c>
    </row>
    <row r="4780" spans="1:15" x14ac:dyDescent="0.2">
      <c r="A4780" t="str">
        <f t="shared" si="73"/>
        <v/>
      </c>
      <c r="O4780" t="str">
        <f>IFERROR(VLOOKUP($A4780,Accounts!$A:$G,8,FALSE),"")</f>
        <v/>
      </c>
    </row>
    <row r="4781" spans="1:15" x14ac:dyDescent="0.2">
      <c r="A4781" t="str">
        <f t="shared" si="73"/>
        <v/>
      </c>
      <c r="O4781" t="str">
        <f>IFERROR(VLOOKUP($A4781,Accounts!$A:$G,8,FALSE),"")</f>
        <v/>
      </c>
    </row>
    <row r="4782" spans="1:15" x14ac:dyDescent="0.2">
      <c r="A4782" t="str">
        <f t="shared" si="73"/>
        <v/>
      </c>
      <c r="O4782" t="str">
        <f>IFERROR(VLOOKUP($A4782,Accounts!$A:$G,8,FALSE),"")</f>
        <v/>
      </c>
    </row>
    <row r="4783" spans="1:15" x14ac:dyDescent="0.2">
      <c r="A4783" t="str">
        <f t="shared" si="73"/>
        <v/>
      </c>
      <c r="O4783" t="str">
        <f>IFERROR(VLOOKUP($A4783,Accounts!$A:$G,8,FALSE),"")</f>
        <v/>
      </c>
    </row>
    <row r="4784" spans="1:15" x14ac:dyDescent="0.2">
      <c r="A4784" t="str">
        <f t="shared" si="73"/>
        <v/>
      </c>
      <c r="O4784" t="str">
        <f>IFERROR(VLOOKUP($A4784,Accounts!$A:$G,8,FALSE),"")</f>
        <v/>
      </c>
    </row>
    <row r="4785" spans="1:15" x14ac:dyDescent="0.2">
      <c r="A4785" t="str">
        <f t="shared" si="73"/>
        <v/>
      </c>
      <c r="O4785" t="str">
        <f>IFERROR(VLOOKUP($A4785,Accounts!$A:$G,8,FALSE),"")</f>
        <v/>
      </c>
    </row>
    <row r="4786" spans="1:15" x14ac:dyDescent="0.2">
      <c r="A4786" t="str">
        <f t="shared" si="73"/>
        <v/>
      </c>
      <c r="O4786" t="str">
        <f>IFERROR(VLOOKUP($A4786,Accounts!$A:$G,8,FALSE),"")</f>
        <v/>
      </c>
    </row>
    <row r="4787" spans="1:15" x14ac:dyDescent="0.2">
      <c r="A4787" t="str">
        <f t="shared" si="73"/>
        <v/>
      </c>
      <c r="O4787" t="str">
        <f>IFERROR(VLOOKUP($A4787,Accounts!$A:$G,8,FALSE),"")</f>
        <v/>
      </c>
    </row>
    <row r="4788" spans="1:15" x14ac:dyDescent="0.2">
      <c r="A4788" t="str">
        <f t="shared" si="73"/>
        <v/>
      </c>
      <c r="O4788" t="str">
        <f>IFERROR(VLOOKUP($A4788,Accounts!$A:$G,8,FALSE),"")</f>
        <v/>
      </c>
    </row>
    <row r="4789" spans="1:15" x14ac:dyDescent="0.2">
      <c r="A4789" t="str">
        <f t="shared" si="73"/>
        <v/>
      </c>
      <c r="O4789" t="str">
        <f>IFERROR(VLOOKUP($A4789,Accounts!$A:$G,8,FALSE),"")</f>
        <v/>
      </c>
    </row>
    <row r="4790" spans="1:15" x14ac:dyDescent="0.2">
      <c r="A4790" t="str">
        <f t="shared" si="73"/>
        <v/>
      </c>
      <c r="O4790" t="str">
        <f>IFERROR(VLOOKUP($A4790,Accounts!$A:$G,8,FALSE),"")</f>
        <v/>
      </c>
    </row>
    <row r="4791" spans="1:15" x14ac:dyDescent="0.2">
      <c r="A4791" t="str">
        <f t="shared" si="73"/>
        <v/>
      </c>
      <c r="O4791" t="str">
        <f>IFERROR(VLOOKUP($A4791,Accounts!$A:$G,8,FALSE),"")</f>
        <v/>
      </c>
    </row>
    <row r="4792" spans="1:15" x14ac:dyDescent="0.2">
      <c r="A4792" t="str">
        <f t="shared" si="73"/>
        <v/>
      </c>
      <c r="O4792" t="str">
        <f>IFERROR(VLOOKUP($A4792,Accounts!$A:$G,8,FALSE),"")</f>
        <v/>
      </c>
    </row>
    <row r="4793" spans="1:15" x14ac:dyDescent="0.2">
      <c r="A4793" t="str">
        <f t="shared" si="73"/>
        <v/>
      </c>
      <c r="O4793" t="str">
        <f>IFERROR(VLOOKUP($A4793,Accounts!$A:$G,8,FALSE),"")</f>
        <v/>
      </c>
    </row>
    <row r="4794" spans="1:15" x14ac:dyDescent="0.2">
      <c r="A4794" t="str">
        <f t="shared" si="73"/>
        <v/>
      </c>
      <c r="O4794" t="str">
        <f>IFERROR(VLOOKUP($A4794,Accounts!$A:$G,8,FALSE),"")</f>
        <v/>
      </c>
    </row>
    <row r="4795" spans="1:15" x14ac:dyDescent="0.2">
      <c r="A4795" t="str">
        <f t="shared" si="73"/>
        <v/>
      </c>
      <c r="O4795" t="str">
        <f>IFERROR(VLOOKUP($A4795,Accounts!$A:$G,8,FALSE),"")</f>
        <v/>
      </c>
    </row>
    <row r="4796" spans="1:15" x14ac:dyDescent="0.2">
      <c r="A4796" t="str">
        <f t="shared" si="73"/>
        <v/>
      </c>
      <c r="O4796" t="str">
        <f>IFERROR(VLOOKUP($A4796,Accounts!$A:$G,8,FALSE),"")</f>
        <v/>
      </c>
    </row>
    <row r="4797" spans="1:15" x14ac:dyDescent="0.2">
      <c r="A4797" t="str">
        <f t="shared" si="73"/>
        <v/>
      </c>
      <c r="O4797" t="str">
        <f>IFERROR(VLOOKUP($A4797,Accounts!$A:$G,8,FALSE),"")</f>
        <v/>
      </c>
    </row>
    <row r="4798" spans="1:15" x14ac:dyDescent="0.2">
      <c r="A4798" t="str">
        <f t="shared" si="73"/>
        <v/>
      </c>
      <c r="O4798" t="str">
        <f>IFERROR(VLOOKUP($A4798,Accounts!$A:$G,8,FALSE),"")</f>
        <v/>
      </c>
    </row>
    <row r="4799" spans="1:15" x14ac:dyDescent="0.2">
      <c r="A4799" t="str">
        <f t="shared" si="73"/>
        <v/>
      </c>
      <c r="O4799" t="str">
        <f>IFERROR(VLOOKUP($A4799,Accounts!$A:$G,8,FALSE),"")</f>
        <v/>
      </c>
    </row>
    <row r="4800" spans="1:15" x14ac:dyDescent="0.2">
      <c r="A4800" t="str">
        <f t="shared" si="73"/>
        <v/>
      </c>
      <c r="O4800" t="str">
        <f>IFERROR(VLOOKUP($A4800,Accounts!$A:$G,8,FALSE),"")</f>
        <v/>
      </c>
    </row>
    <row r="4801" spans="1:15" x14ac:dyDescent="0.2">
      <c r="A4801" t="str">
        <f t="shared" si="73"/>
        <v/>
      </c>
      <c r="O4801" t="str">
        <f>IFERROR(VLOOKUP($A4801,Accounts!$A:$G,8,FALSE),"")</f>
        <v/>
      </c>
    </row>
    <row r="4802" spans="1:15" x14ac:dyDescent="0.2">
      <c r="A4802" t="str">
        <f t="shared" si="73"/>
        <v/>
      </c>
      <c r="O4802" t="str">
        <f>IFERROR(VLOOKUP($A4802,Accounts!$A:$G,8,FALSE),"")</f>
        <v/>
      </c>
    </row>
    <row r="4803" spans="1:15" x14ac:dyDescent="0.2">
      <c r="A4803" t="str">
        <f t="shared" ref="A4803:A4866" si="74">IFERROR(IF(J4803=0,B4803&amp;D4803&amp;I4803&amp;E4803,C4803&amp;D4803&amp;J4803&amp;G4803),"")</f>
        <v/>
      </c>
      <c r="O4803" t="str">
        <f>IFERROR(VLOOKUP($A4803,Accounts!$A:$G,8,FALSE),"")</f>
        <v/>
      </c>
    </row>
    <row r="4804" spans="1:15" x14ac:dyDescent="0.2">
      <c r="A4804" t="str">
        <f t="shared" si="74"/>
        <v/>
      </c>
      <c r="O4804" t="str">
        <f>IFERROR(VLOOKUP($A4804,Accounts!$A:$G,8,FALSE),"")</f>
        <v/>
      </c>
    </row>
    <row r="4805" spans="1:15" x14ac:dyDescent="0.2">
      <c r="A4805" t="str">
        <f t="shared" si="74"/>
        <v/>
      </c>
      <c r="O4805" t="str">
        <f>IFERROR(VLOOKUP($A4805,Accounts!$A:$G,8,FALSE),"")</f>
        <v/>
      </c>
    </row>
    <row r="4806" spans="1:15" x14ac:dyDescent="0.2">
      <c r="A4806" t="str">
        <f t="shared" si="74"/>
        <v/>
      </c>
      <c r="O4806" t="str">
        <f>IFERROR(VLOOKUP($A4806,Accounts!$A:$G,8,FALSE),"")</f>
        <v/>
      </c>
    </row>
    <row r="4807" spans="1:15" x14ac:dyDescent="0.2">
      <c r="A4807" t="str">
        <f t="shared" si="74"/>
        <v/>
      </c>
      <c r="O4807" t="str">
        <f>IFERROR(VLOOKUP($A4807,Accounts!$A:$G,8,FALSE),"")</f>
        <v/>
      </c>
    </row>
    <row r="4808" spans="1:15" x14ac:dyDescent="0.2">
      <c r="A4808" t="str">
        <f t="shared" si="74"/>
        <v/>
      </c>
      <c r="O4808" t="str">
        <f>IFERROR(VLOOKUP($A4808,Accounts!$A:$G,8,FALSE),"")</f>
        <v/>
      </c>
    </row>
    <row r="4809" spans="1:15" x14ac:dyDescent="0.2">
      <c r="A4809" t="str">
        <f t="shared" si="74"/>
        <v/>
      </c>
      <c r="O4809" t="str">
        <f>IFERROR(VLOOKUP($A4809,Accounts!$A:$G,8,FALSE),"")</f>
        <v/>
      </c>
    </row>
    <row r="4810" spans="1:15" x14ac:dyDescent="0.2">
      <c r="A4810" t="str">
        <f t="shared" si="74"/>
        <v/>
      </c>
      <c r="O4810" t="str">
        <f>IFERROR(VLOOKUP($A4810,Accounts!$A:$G,8,FALSE),"")</f>
        <v/>
      </c>
    </row>
    <row r="4811" spans="1:15" x14ac:dyDescent="0.2">
      <c r="A4811" t="str">
        <f t="shared" si="74"/>
        <v/>
      </c>
      <c r="O4811" t="str">
        <f>IFERROR(VLOOKUP($A4811,Accounts!$A:$G,8,FALSE),"")</f>
        <v/>
      </c>
    </row>
    <row r="4812" spans="1:15" x14ac:dyDescent="0.2">
      <c r="A4812" t="str">
        <f t="shared" si="74"/>
        <v/>
      </c>
      <c r="O4812" t="str">
        <f>IFERROR(VLOOKUP($A4812,Accounts!$A:$G,8,FALSE),"")</f>
        <v/>
      </c>
    </row>
    <row r="4813" spans="1:15" x14ac:dyDescent="0.2">
      <c r="A4813" t="str">
        <f t="shared" si="74"/>
        <v/>
      </c>
      <c r="O4813" t="str">
        <f>IFERROR(VLOOKUP($A4813,Accounts!$A:$G,8,FALSE),"")</f>
        <v/>
      </c>
    </row>
    <row r="4814" spans="1:15" x14ac:dyDescent="0.2">
      <c r="A4814" t="str">
        <f t="shared" si="74"/>
        <v/>
      </c>
      <c r="O4814" t="str">
        <f>IFERROR(VLOOKUP($A4814,Accounts!$A:$G,8,FALSE),"")</f>
        <v/>
      </c>
    </row>
    <row r="4815" spans="1:15" x14ac:dyDescent="0.2">
      <c r="A4815" t="str">
        <f t="shared" si="74"/>
        <v/>
      </c>
      <c r="O4815" t="str">
        <f>IFERROR(VLOOKUP($A4815,Accounts!$A:$G,8,FALSE),"")</f>
        <v/>
      </c>
    </row>
    <row r="4816" spans="1:15" x14ac:dyDescent="0.2">
      <c r="A4816" t="str">
        <f t="shared" si="74"/>
        <v/>
      </c>
      <c r="O4816" t="str">
        <f>IFERROR(VLOOKUP($A4816,Accounts!$A:$G,8,FALSE),"")</f>
        <v/>
      </c>
    </row>
    <row r="4817" spans="1:15" x14ac:dyDescent="0.2">
      <c r="A4817" t="str">
        <f t="shared" si="74"/>
        <v/>
      </c>
      <c r="O4817" t="str">
        <f>IFERROR(VLOOKUP($A4817,Accounts!$A:$G,8,FALSE),"")</f>
        <v/>
      </c>
    </row>
    <row r="4818" spans="1:15" x14ac:dyDescent="0.2">
      <c r="A4818" t="str">
        <f t="shared" si="74"/>
        <v/>
      </c>
      <c r="O4818" t="str">
        <f>IFERROR(VLOOKUP($A4818,Accounts!$A:$G,8,FALSE),"")</f>
        <v/>
      </c>
    </row>
    <row r="4819" spans="1:15" x14ac:dyDescent="0.2">
      <c r="A4819" t="str">
        <f t="shared" si="74"/>
        <v/>
      </c>
      <c r="O4819" t="str">
        <f>IFERROR(VLOOKUP($A4819,Accounts!$A:$G,8,FALSE),"")</f>
        <v/>
      </c>
    </row>
    <row r="4820" spans="1:15" x14ac:dyDescent="0.2">
      <c r="A4820" t="str">
        <f t="shared" si="74"/>
        <v/>
      </c>
      <c r="O4820" t="str">
        <f>IFERROR(VLOOKUP($A4820,Accounts!$A:$G,8,FALSE),"")</f>
        <v/>
      </c>
    </row>
    <row r="4821" spans="1:15" x14ac:dyDescent="0.2">
      <c r="A4821" t="str">
        <f t="shared" si="74"/>
        <v/>
      </c>
      <c r="O4821" t="str">
        <f>IFERROR(VLOOKUP($A4821,Accounts!$A:$G,8,FALSE),"")</f>
        <v/>
      </c>
    </row>
    <row r="4822" spans="1:15" x14ac:dyDescent="0.2">
      <c r="A4822" t="str">
        <f t="shared" si="74"/>
        <v/>
      </c>
      <c r="O4822" t="str">
        <f>IFERROR(VLOOKUP($A4822,Accounts!$A:$G,8,FALSE),"")</f>
        <v/>
      </c>
    </row>
    <row r="4823" spans="1:15" x14ac:dyDescent="0.2">
      <c r="A4823" t="str">
        <f t="shared" si="74"/>
        <v/>
      </c>
      <c r="O4823" t="str">
        <f>IFERROR(VLOOKUP($A4823,Accounts!$A:$G,8,FALSE),"")</f>
        <v/>
      </c>
    </row>
    <row r="4824" spans="1:15" x14ac:dyDescent="0.2">
      <c r="A4824" t="str">
        <f t="shared" si="74"/>
        <v/>
      </c>
      <c r="O4824" t="str">
        <f>IFERROR(VLOOKUP($A4824,Accounts!$A:$G,8,FALSE),"")</f>
        <v/>
      </c>
    </row>
    <row r="4825" spans="1:15" x14ac:dyDescent="0.2">
      <c r="A4825" t="str">
        <f t="shared" si="74"/>
        <v/>
      </c>
      <c r="O4825" t="str">
        <f>IFERROR(VLOOKUP($A4825,Accounts!$A:$G,8,FALSE),"")</f>
        <v/>
      </c>
    </row>
    <row r="4826" spans="1:15" x14ac:dyDescent="0.2">
      <c r="A4826" t="str">
        <f t="shared" si="74"/>
        <v/>
      </c>
      <c r="O4826" t="str">
        <f>IFERROR(VLOOKUP($A4826,Accounts!$A:$G,8,FALSE),"")</f>
        <v/>
      </c>
    </row>
    <row r="4827" spans="1:15" x14ac:dyDescent="0.2">
      <c r="A4827" t="str">
        <f t="shared" si="74"/>
        <v/>
      </c>
      <c r="O4827" t="str">
        <f>IFERROR(VLOOKUP($A4827,Accounts!$A:$G,8,FALSE),"")</f>
        <v/>
      </c>
    </row>
    <row r="4828" spans="1:15" x14ac:dyDescent="0.2">
      <c r="A4828" t="str">
        <f t="shared" si="74"/>
        <v/>
      </c>
      <c r="O4828" t="str">
        <f>IFERROR(VLOOKUP($A4828,Accounts!$A:$G,8,FALSE),"")</f>
        <v/>
      </c>
    </row>
    <row r="4829" spans="1:15" x14ac:dyDescent="0.2">
      <c r="A4829" t="str">
        <f t="shared" si="74"/>
        <v/>
      </c>
      <c r="O4829" t="str">
        <f>IFERROR(VLOOKUP($A4829,Accounts!$A:$G,8,FALSE),"")</f>
        <v/>
      </c>
    </row>
    <row r="4830" spans="1:15" x14ac:dyDescent="0.2">
      <c r="A4830" t="str">
        <f t="shared" si="74"/>
        <v/>
      </c>
      <c r="O4830" t="str">
        <f>IFERROR(VLOOKUP($A4830,Accounts!$A:$G,8,FALSE),"")</f>
        <v/>
      </c>
    </row>
    <row r="4831" spans="1:15" x14ac:dyDescent="0.2">
      <c r="A4831" t="str">
        <f t="shared" si="74"/>
        <v/>
      </c>
      <c r="O4831" t="str">
        <f>IFERROR(VLOOKUP($A4831,Accounts!$A:$G,8,FALSE),"")</f>
        <v/>
      </c>
    </row>
    <row r="4832" spans="1:15" x14ac:dyDescent="0.2">
      <c r="A4832" t="str">
        <f t="shared" si="74"/>
        <v/>
      </c>
      <c r="O4832" t="str">
        <f>IFERROR(VLOOKUP($A4832,Accounts!$A:$G,8,FALSE),"")</f>
        <v/>
      </c>
    </row>
    <row r="4833" spans="1:15" x14ac:dyDescent="0.2">
      <c r="A4833" t="str">
        <f t="shared" si="74"/>
        <v/>
      </c>
      <c r="O4833" t="str">
        <f>IFERROR(VLOOKUP($A4833,Accounts!$A:$G,8,FALSE),"")</f>
        <v/>
      </c>
    </row>
    <row r="4834" spans="1:15" x14ac:dyDescent="0.2">
      <c r="A4834" t="str">
        <f t="shared" si="74"/>
        <v/>
      </c>
      <c r="O4834" t="str">
        <f>IFERROR(VLOOKUP($A4834,Accounts!$A:$G,8,FALSE),"")</f>
        <v/>
      </c>
    </row>
    <row r="4835" spans="1:15" x14ac:dyDescent="0.2">
      <c r="A4835" t="str">
        <f t="shared" si="74"/>
        <v/>
      </c>
      <c r="O4835" t="str">
        <f>IFERROR(VLOOKUP($A4835,Accounts!$A:$G,8,FALSE),"")</f>
        <v/>
      </c>
    </row>
    <row r="4836" spans="1:15" x14ac:dyDescent="0.2">
      <c r="A4836" t="str">
        <f t="shared" si="74"/>
        <v/>
      </c>
      <c r="O4836" t="str">
        <f>IFERROR(VLOOKUP($A4836,Accounts!$A:$G,8,FALSE),"")</f>
        <v/>
      </c>
    </row>
    <row r="4837" spans="1:15" x14ac:dyDescent="0.2">
      <c r="A4837" t="str">
        <f t="shared" si="74"/>
        <v/>
      </c>
      <c r="O4837" t="str">
        <f>IFERROR(VLOOKUP($A4837,Accounts!$A:$G,8,FALSE),"")</f>
        <v/>
      </c>
    </row>
    <row r="4838" spans="1:15" x14ac:dyDescent="0.2">
      <c r="A4838" t="str">
        <f t="shared" si="74"/>
        <v/>
      </c>
      <c r="O4838" t="str">
        <f>IFERROR(VLOOKUP($A4838,Accounts!$A:$G,8,FALSE),"")</f>
        <v/>
      </c>
    </row>
    <row r="4839" spans="1:15" x14ac:dyDescent="0.2">
      <c r="A4839" t="str">
        <f t="shared" si="74"/>
        <v/>
      </c>
      <c r="O4839" t="str">
        <f>IFERROR(VLOOKUP($A4839,Accounts!$A:$G,8,FALSE),"")</f>
        <v/>
      </c>
    </row>
    <row r="4840" spans="1:15" x14ac:dyDescent="0.2">
      <c r="A4840" t="str">
        <f t="shared" si="74"/>
        <v/>
      </c>
      <c r="O4840" t="str">
        <f>IFERROR(VLOOKUP($A4840,Accounts!$A:$G,8,FALSE),"")</f>
        <v/>
      </c>
    </row>
    <row r="4841" spans="1:15" x14ac:dyDescent="0.2">
      <c r="A4841" t="str">
        <f t="shared" si="74"/>
        <v/>
      </c>
      <c r="O4841" t="str">
        <f>IFERROR(VLOOKUP($A4841,Accounts!$A:$G,8,FALSE),"")</f>
        <v/>
      </c>
    </row>
    <row r="4842" spans="1:15" x14ac:dyDescent="0.2">
      <c r="A4842" t="str">
        <f t="shared" si="74"/>
        <v/>
      </c>
      <c r="O4842" t="str">
        <f>IFERROR(VLOOKUP($A4842,Accounts!$A:$G,8,FALSE),"")</f>
        <v/>
      </c>
    </row>
    <row r="4843" spans="1:15" x14ac:dyDescent="0.2">
      <c r="A4843" t="str">
        <f t="shared" si="74"/>
        <v/>
      </c>
      <c r="O4843" t="str">
        <f>IFERROR(VLOOKUP($A4843,Accounts!$A:$G,8,FALSE),"")</f>
        <v/>
      </c>
    </row>
    <row r="4844" spans="1:15" x14ac:dyDescent="0.2">
      <c r="A4844" t="str">
        <f t="shared" si="74"/>
        <v/>
      </c>
      <c r="O4844" t="str">
        <f>IFERROR(VLOOKUP($A4844,Accounts!$A:$G,8,FALSE),"")</f>
        <v/>
      </c>
    </row>
    <row r="4845" spans="1:15" x14ac:dyDescent="0.2">
      <c r="A4845" t="str">
        <f t="shared" si="74"/>
        <v/>
      </c>
      <c r="O4845" t="str">
        <f>IFERROR(VLOOKUP($A4845,Accounts!$A:$G,8,FALSE),"")</f>
        <v/>
      </c>
    </row>
    <row r="4846" spans="1:15" x14ac:dyDescent="0.2">
      <c r="A4846" t="str">
        <f t="shared" si="74"/>
        <v/>
      </c>
      <c r="O4846" t="str">
        <f>IFERROR(VLOOKUP($A4846,Accounts!$A:$G,8,FALSE),"")</f>
        <v/>
      </c>
    </row>
    <row r="4847" spans="1:15" x14ac:dyDescent="0.2">
      <c r="A4847" t="str">
        <f t="shared" si="74"/>
        <v/>
      </c>
      <c r="O4847" t="str">
        <f>IFERROR(VLOOKUP($A4847,Accounts!$A:$G,8,FALSE),"")</f>
        <v/>
      </c>
    </row>
    <row r="4848" spans="1:15" x14ac:dyDescent="0.2">
      <c r="A4848" t="str">
        <f t="shared" si="74"/>
        <v/>
      </c>
      <c r="O4848" t="str">
        <f>IFERROR(VLOOKUP($A4848,Accounts!$A:$G,8,FALSE),"")</f>
        <v/>
      </c>
    </row>
    <row r="4849" spans="1:15" x14ac:dyDescent="0.2">
      <c r="A4849" t="str">
        <f t="shared" si="74"/>
        <v/>
      </c>
      <c r="O4849" t="str">
        <f>IFERROR(VLOOKUP($A4849,Accounts!$A:$G,8,FALSE),"")</f>
        <v/>
      </c>
    </row>
    <row r="4850" spans="1:15" x14ac:dyDescent="0.2">
      <c r="A4850" t="str">
        <f t="shared" si="74"/>
        <v/>
      </c>
      <c r="O4850" t="str">
        <f>IFERROR(VLOOKUP($A4850,Accounts!$A:$G,8,FALSE),"")</f>
        <v/>
      </c>
    </row>
    <row r="4851" spans="1:15" x14ac:dyDescent="0.2">
      <c r="A4851" t="str">
        <f t="shared" si="74"/>
        <v/>
      </c>
      <c r="O4851" t="str">
        <f>IFERROR(VLOOKUP($A4851,Accounts!$A:$G,8,FALSE),"")</f>
        <v/>
      </c>
    </row>
    <row r="4852" spans="1:15" x14ac:dyDescent="0.2">
      <c r="A4852" t="str">
        <f t="shared" si="74"/>
        <v/>
      </c>
      <c r="O4852" t="str">
        <f>IFERROR(VLOOKUP($A4852,Accounts!$A:$G,8,FALSE),"")</f>
        <v/>
      </c>
    </row>
    <row r="4853" spans="1:15" x14ac:dyDescent="0.2">
      <c r="A4853" t="str">
        <f t="shared" si="74"/>
        <v/>
      </c>
      <c r="O4853" t="str">
        <f>IFERROR(VLOOKUP($A4853,Accounts!$A:$G,8,FALSE),"")</f>
        <v/>
      </c>
    </row>
    <row r="4854" spans="1:15" x14ac:dyDescent="0.2">
      <c r="A4854" t="str">
        <f t="shared" si="74"/>
        <v/>
      </c>
      <c r="O4854" t="str">
        <f>IFERROR(VLOOKUP($A4854,Accounts!$A:$G,8,FALSE),"")</f>
        <v/>
      </c>
    </row>
    <row r="4855" spans="1:15" x14ac:dyDescent="0.2">
      <c r="A4855" t="str">
        <f t="shared" si="74"/>
        <v/>
      </c>
      <c r="O4855" t="str">
        <f>IFERROR(VLOOKUP($A4855,Accounts!$A:$G,8,FALSE),"")</f>
        <v/>
      </c>
    </row>
    <row r="4856" spans="1:15" x14ac:dyDescent="0.2">
      <c r="A4856" t="str">
        <f t="shared" si="74"/>
        <v/>
      </c>
      <c r="O4856" t="str">
        <f>IFERROR(VLOOKUP($A4856,Accounts!$A:$G,8,FALSE),"")</f>
        <v/>
      </c>
    </row>
    <row r="4857" spans="1:15" x14ac:dyDescent="0.2">
      <c r="A4857" t="str">
        <f t="shared" si="74"/>
        <v/>
      </c>
      <c r="O4857" t="str">
        <f>IFERROR(VLOOKUP($A4857,Accounts!$A:$G,8,FALSE),"")</f>
        <v/>
      </c>
    </row>
    <row r="4858" spans="1:15" x14ac:dyDescent="0.2">
      <c r="A4858" t="str">
        <f t="shared" si="74"/>
        <v/>
      </c>
      <c r="O4858" t="str">
        <f>IFERROR(VLOOKUP($A4858,Accounts!$A:$G,8,FALSE),"")</f>
        <v/>
      </c>
    </row>
    <row r="4859" spans="1:15" x14ac:dyDescent="0.2">
      <c r="A4859" t="str">
        <f t="shared" si="74"/>
        <v/>
      </c>
      <c r="O4859" t="str">
        <f>IFERROR(VLOOKUP($A4859,Accounts!$A:$G,8,FALSE),"")</f>
        <v/>
      </c>
    </row>
    <row r="4860" spans="1:15" x14ac:dyDescent="0.2">
      <c r="A4860" t="str">
        <f t="shared" si="74"/>
        <v/>
      </c>
      <c r="O4860" t="str">
        <f>IFERROR(VLOOKUP($A4860,Accounts!$A:$G,8,FALSE),"")</f>
        <v/>
      </c>
    </row>
    <row r="4861" spans="1:15" x14ac:dyDescent="0.2">
      <c r="A4861" t="str">
        <f t="shared" si="74"/>
        <v/>
      </c>
      <c r="O4861" t="str">
        <f>IFERROR(VLOOKUP($A4861,Accounts!$A:$G,8,FALSE),"")</f>
        <v/>
      </c>
    </row>
    <row r="4862" spans="1:15" x14ac:dyDescent="0.2">
      <c r="A4862" t="str">
        <f t="shared" si="74"/>
        <v/>
      </c>
      <c r="O4862" t="str">
        <f>IFERROR(VLOOKUP($A4862,Accounts!$A:$G,8,FALSE),"")</f>
        <v/>
      </c>
    </row>
    <row r="4863" spans="1:15" x14ac:dyDescent="0.2">
      <c r="A4863" t="str">
        <f t="shared" si="74"/>
        <v/>
      </c>
      <c r="O4863" t="str">
        <f>IFERROR(VLOOKUP($A4863,Accounts!$A:$G,8,FALSE),"")</f>
        <v/>
      </c>
    </row>
    <row r="4864" spans="1:15" x14ac:dyDescent="0.2">
      <c r="A4864" t="str">
        <f t="shared" si="74"/>
        <v/>
      </c>
      <c r="O4864" t="str">
        <f>IFERROR(VLOOKUP($A4864,Accounts!$A:$G,8,FALSE),"")</f>
        <v/>
      </c>
    </row>
    <row r="4865" spans="1:15" x14ac:dyDescent="0.2">
      <c r="A4865" t="str">
        <f t="shared" si="74"/>
        <v/>
      </c>
      <c r="O4865" t="str">
        <f>IFERROR(VLOOKUP($A4865,Accounts!$A:$G,8,FALSE),"")</f>
        <v/>
      </c>
    </row>
    <row r="4866" spans="1:15" x14ac:dyDescent="0.2">
      <c r="A4866" t="str">
        <f t="shared" si="74"/>
        <v/>
      </c>
      <c r="O4866" t="str">
        <f>IFERROR(VLOOKUP($A4866,Accounts!$A:$G,8,FALSE),"")</f>
        <v/>
      </c>
    </row>
    <row r="4867" spans="1:15" x14ac:dyDescent="0.2">
      <c r="A4867" t="str">
        <f t="shared" ref="A4867:A4930" si="75">IFERROR(IF(J4867=0,B4867&amp;D4867&amp;I4867&amp;E4867,C4867&amp;D4867&amp;J4867&amp;G4867),"")</f>
        <v/>
      </c>
      <c r="O4867" t="str">
        <f>IFERROR(VLOOKUP($A4867,Accounts!$A:$G,8,FALSE),"")</f>
        <v/>
      </c>
    </row>
    <row r="4868" spans="1:15" x14ac:dyDescent="0.2">
      <c r="A4868" t="str">
        <f t="shared" si="75"/>
        <v/>
      </c>
      <c r="O4868" t="str">
        <f>IFERROR(VLOOKUP($A4868,Accounts!$A:$G,8,FALSE),"")</f>
        <v/>
      </c>
    </row>
    <row r="4869" spans="1:15" x14ac:dyDescent="0.2">
      <c r="A4869" t="str">
        <f t="shared" si="75"/>
        <v/>
      </c>
      <c r="O4869" t="str">
        <f>IFERROR(VLOOKUP($A4869,Accounts!$A:$G,8,FALSE),"")</f>
        <v/>
      </c>
    </row>
    <row r="4870" spans="1:15" x14ac:dyDescent="0.2">
      <c r="A4870" t="str">
        <f t="shared" si="75"/>
        <v/>
      </c>
      <c r="O4870" t="str">
        <f>IFERROR(VLOOKUP($A4870,Accounts!$A:$G,8,FALSE),"")</f>
        <v/>
      </c>
    </row>
    <row r="4871" spans="1:15" x14ac:dyDescent="0.2">
      <c r="A4871" t="str">
        <f t="shared" si="75"/>
        <v/>
      </c>
      <c r="O4871" t="str">
        <f>IFERROR(VLOOKUP($A4871,Accounts!$A:$G,8,FALSE),"")</f>
        <v/>
      </c>
    </row>
    <row r="4872" spans="1:15" x14ac:dyDescent="0.2">
      <c r="A4872" t="str">
        <f t="shared" si="75"/>
        <v/>
      </c>
      <c r="O4872" t="str">
        <f>IFERROR(VLOOKUP($A4872,Accounts!$A:$G,8,FALSE),"")</f>
        <v/>
      </c>
    </row>
    <row r="4873" spans="1:15" x14ac:dyDescent="0.2">
      <c r="A4873" t="str">
        <f t="shared" si="75"/>
        <v/>
      </c>
      <c r="O4873" t="str">
        <f>IFERROR(VLOOKUP($A4873,Accounts!$A:$G,8,FALSE),"")</f>
        <v/>
      </c>
    </row>
    <row r="4874" spans="1:15" x14ac:dyDescent="0.2">
      <c r="A4874" t="str">
        <f t="shared" si="75"/>
        <v/>
      </c>
      <c r="O4874" t="str">
        <f>IFERROR(VLOOKUP($A4874,Accounts!$A:$G,8,FALSE),"")</f>
        <v/>
      </c>
    </row>
    <row r="4875" spans="1:15" x14ac:dyDescent="0.2">
      <c r="A4875" t="str">
        <f t="shared" si="75"/>
        <v/>
      </c>
      <c r="O4875" t="str">
        <f>IFERROR(VLOOKUP($A4875,Accounts!$A:$G,8,FALSE),"")</f>
        <v/>
      </c>
    </row>
    <row r="4876" spans="1:15" x14ac:dyDescent="0.2">
      <c r="A4876" t="str">
        <f t="shared" si="75"/>
        <v/>
      </c>
      <c r="O4876" t="str">
        <f>IFERROR(VLOOKUP($A4876,Accounts!$A:$G,8,FALSE),"")</f>
        <v/>
      </c>
    </row>
    <row r="4877" spans="1:15" x14ac:dyDescent="0.2">
      <c r="A4877" t="str">
        <f t="shared" si="75"/>
        <v/>
      </c>
      <c r="O4877" t="str">
        <f>IFERROR(VLOOKUP($A4877,Accounts!$A:$G,8,FALSE),"")</f>
        <v/>
      </c>
    </row>
    <row r="4878" spans="1:15" x14ac:dyDescent="0.2">
      <c r="A4878" t="str">
        <f t="shared" si="75"/>
        <v/>
      </c>
      <c r="O4878" t="str">
        <f>IFERROR(VLOOKUP($A4878,Accounts!$A:$G,8,FALSE),"")</f>
        <v/>
      </c>
    </row>
    <row r="4879" spans="1:15" x14ac:dyDescent="0.2">
      <c r="A4879" t="str">
        <f t="shared" si="75"/>
        <v/>
      </c>
      <c r="O4879" t="str">
        <f>IFERROR(VLOOKUP($A4879,Accounts!$A:$G,8,FALSE),"")</f>
        <v/>
      </c>
    </row>
    <row r="4880" spans="1:15" x14ac:dyDescent="0.2">
      <c r="A4880" t="str">
        <f t="shared" si="75"/>
        <v/>
      </c>
      <c r="O4880" t="str">
        <f>IFERROR(VLOOKUP($A4880,Accounts!$A:$G,8,FALSE),"")</f>
        <v/>
      </c>
    </row>
    <row r="4881" spans="1:15" x14ac:dyDescent="0.2">
      <c r="A4881" t="str">
        <f t="shared" si="75"/>
        <v/>
      </c>
      <c r="O4881" t="str">
        <f>IFERROR(VLOOKUP($A4881,Accounts!$A:$G,8,FALSE),"")</f>
        <v/>
      </c>
    </row>
    <row r="4882" spans="1:15" x14ac:dyDescent="0.2">
      <c r="A4882" t="str">
        <f t="shared" si="75"/>
        <v/>
      </c>
      <c r="O4882" t="str">
        <f>IFERROR(VLOOKUP($A4882,Accounts!$A:$G,8,FALSE),"")</f>
        <v/>
      </c>
    </row>
    <row r="4883" spans="1:15" x14ac:dyDescent="0.2">
      <c r="A4883" t="str">
        <f t="shared" si="75"/>
        <v/>
      </c>
      <c r="O4883" t="str">
        <f>IFERROR(VLOOKUP($A4883,Accounts!$A:$G,8,FALSE),"")</f>
        <v/>
      </c>
    </row>
    <row r="4884" spans="1:15" x14ac:dyDescent="0.2">
      <c r="A4884" t="str">
        <f t="shared" si="75"/>
        <v/>
      </c>
      <c r="O4884" t="str">
        <f>IFERROR(VLOOKUP($A4884,Accounts!$A:$G,8,FALSE),"")</f>
        <v/>
      </c>
    </row>
    <row r="4885" spans="1:15" x14ac:dyDescent="0.2">
      <c r="A4885" t="str">
        <f t="shared" si="75"/>
        <v/>
      </c>
      <c r="O4885" t="str">
        <f>IFERROR(VLOOKUP($A4885,Accounts!$A:$G,8,FALSE),"")</f>
        <v/>
      </c>
    </row>
    <row r="4886" spans="1:15" x14ac:dyDescent="0.2">
      <c r="A4886" t="str">
        <f t="shared" si="75"/>
        <v/>
      </c>
      <c r="O4886" t="str">
        <f>IFERROR(VLOOKUP($A4886,Accounts!$A:$G,8,FALSE),"")</f>
        <v/>
      </c>
    </row>
    <row r="4887" spans="1:15" x14ac:dyDescent="0.2">
      <c r="A4887" t="str">
        <f t="shared" si="75"/>
        <v/>
      </c>
      <c r="O4887" t="str">
        <f>IFERROR(VLOOKUP($A4887,Accounts!$A:$G,8,FALSE),"")</f>
        <v/>
      </c>
    </row>
    <row r="4888" spans="1:15" x14ac:dyDescent="0.2">
      <c r="A4888" t="str">
        <f t="shared" si="75"/>
        <v/>
      </c>
      <c r="O4888" t="str">
        <f>IFERROR(VLOOKUP($A4888,Accounts!$A:$G,8,FALSE),"")</f>
        <v/>
      </c>
    </row>
    <row r="4889" spans="1:15" x14ac:dyDescent="0.2">
      <c r="A4889" t="str">
        <f t="shared" si="75"/>
        <v/>
      </c>
      <c r="O4889" t="str">
        <f>IFERROR(VLOOKUP($A4889,Accounts!$A:$G,8,FALSE),"")</f>
        <v/>
      </c>
    </row>
    <row r="4890" spans="1:15" x14ac:dyDescent="0.2">
      <c r="A4890" t="str">
        <f t="shared" si="75"/>
        <v/>
      </c>
      <c r="O4890" t="str">
        <f>IFERROR(VLOOKUP($A4890,Accounts!$A:$G,8,FALSE),"")</f>
        <v/>
      </c>
    </row>
    <row r="4891" spans="1:15" x14ac:dyDescent="0.2">
      <c r="A4891" t="str">
        <f t="shared" si="75"/>
        <v/>
      </c>
      <c r="O4891" t="str">
        <f>IFERROR(VLOOKUP($A4891,Accounts!$A:$G,8,FALSE),"")</f>
        <v/>
      </c>
    </row>
    <row r="4892" spans="1:15" x14ac:dyDescent="0.2">
      <c r="A4892" t="str">
        <f t="shared" si="75"/>
        <v/>
      </c>
      <c r="O4892" t="str">
        <f>IFERROR(VLOOKUP($A4892,Accounts!$A:$G,8,FALSE),"")</f>
        <v/>
      </c>
    </row>
    <row r="4893" spans="1:15" x14ac:dyDescent="0.2">
      <c r="A4893" t="str">
        <f t="shared" si="75"/>
        <v/>
      </c>
      <c r="O4893" t="str">
        <f>IFERROR(VLOOKUP($A4893,Accounts!$A:$G,8,FALSE),"")</f>
        <v/>
      </c>
    </row>
    <row r="4894" spans="1:15" x14ac:dyDescent="0.2">
      <c r="A4894" t="str">
        <f t="shared" si="75"/>
        <v/>
      </c>
      <c r="O4894" t="str">
        <f>IFERROR(VLOOKUP($A4894,Accounts!$A:$G,8,FALSE),"")</f>
        <v/>
      </c>
    </row>
    <row r="4895" spans="1:15" x14ac:dyDescent="0.2">
      <c r="A4895" t="str">
        <f t="shared" si="75"/>
        <v/>
      </c>
      <c r="O4895" t="str">
        <f>IFERROR(VLOOKUP($A4895,Accounts!$A:$G,8,FALSE),"")</f>
        <v/>
      </c>
    </row>
    <row r="4896" spans="1:15" x14ac:dyDescent="0.2">
      <c r="A4896" t="str">
        <f t="shared" si="75"/>
        <v/>
      </c>
      <c r="O4896" t="str">
        <f>IFERROR(VLOOKUP($A4896,Accounts!$A:$G,8,FALSE),"")</f>
        <v/>
      </c>
    </row>
    <row r="4897" spans="1:15" x14ac:dyDescent="0.2">
      <c r="A4897" t="str">
        <f t="shared" si="75"/>
        <v/>
      </c>
      <c r="O4897" t="str">
        <f>IFERROR(VLOOKUP($A4897,Accounts!$A:$G,8,FALSE),"")</f>
        <v/>
      </c>
    </row>
    <row r="4898" spans="1:15" x14ac:dyDescent="0.2">
      <c r="A4898" t="str">
        <f t="shared" si="75"/>
        <v/>
      </c>
      <c r="O4898" t="str">
        <f>IFERROR(VLOOKUP($A4898,Accounts!$A:$G,8,FALSE),"")</f>
        <v/>
      </c>
    </row>
    <row r="4899" spans="1:15" x14ac:dyDescent="0.2">
      <c r="A4899" t="str">
        <f t="shared" si="75"/>
        <v/>
      </c>
      <c r="O4899" t="str">
        <f>IFERROR(VLOOKUP($A4899,Accounts!$A:$G,8,FALSE),"")</f>
        <v/>
      </c>
    </row>
    <row r="4900" spans="1:15" x14ac:dyDescent="0.2">
      <c r="A4900" t="str">
        <f t="shared" si="75"/>
        <v/>
      </c>
      <c r="O4900" t="str">
        <f>IFERROR(VLOOKUP($A4900,Accounts!$A:$G,8,FALSE),"")</f>
        <v/>
      </c>
    </row>
    <row r="4901" spans="1:15" x14ac:dyDescent="0.2">
      <c r="A4901" t="str">
        <f t="shared" si="75"/>
        <v/>
      </c>
      <c r="O4901" t="str">
        <f>IFERROR(VLOOKUP($A4901,Accounts!$A:$G,8,FALSE),"")</f>
        <v/>
      </c>
    </row>
    <row r="4902" spans="1:15" x14ac:dyDescent="0.2">
      <c r="A4902" t="str">
        <f t="shared" si="75"/>
        <v/>
      </c>
      <c r="O4902" t="str">
        <f>IFERROR(VLOOKUP($A4902,Accounts!$A:$G,8,FALSE),"")</f>
        <v/>
      </c>
    </row>
    <row r="4903" spans="1:15" x14ac:dyDescent="0.2">
      <c r="A4903" t="str">
        <f t="shared" si="75"/>
        <v/>
      </c>
      <c r="O4903" t="str">
        <f>IFERROR(VLOOKUP($A4903,Accounts!$A:$G,8,FALSE),"")</f>
        <v/>
      </c>
    </row>
    <row r="4904" spans="1:15" x14ac:dyDescent="0.2">
      <c r="A4904" t="str">
        <f t="shared" si="75"/>
        <v/>
      </c>
      <c r="O4904" t="str">
        <f>IFERROR(VLOOKUP($A4904,Accounts!$A:$G,8,FALSE),"")</f>
        <v/>
      </c>
    </row>
    <row r="4905" spans="1:15" x14ac:dyDescent="0.2">
      <c r="A4905" t="str">
        <f t="shared" si="75"/>
        <v/>
      </c>
      <c r="O4905" t="str">
        <f>IFERROR(VLOOKUP($A4905,Accounts!$A:$G,8,FALSE),"")</f>
        <v/>
      </c>
    </row>
    <row r="4906" spans="1:15" x14ac:dyDescent="0.2">
      <c r="A4906" t="str">
        <f t="shared" si="75"/>
        <v/>
      </c>
      <c r="O4906" t="str">
        <f>IFERROR(VLOOKUP($A4906,Accounts!$A:$G,8,FALSE),"")</f>
        <v/>
      </c>
    </row>
    <row r="4907" spans="1:15" x14ac:dyDescent="0.2">
      <c r="A4907" t="str">
        <f t="shared" si="75"/>
        <v/>
      </c>
      <c r="O4907" t="str">
        <f>IFERROR(VLOOKUP($A4907,Accounts!$A:$G,8,FALSE),"")</f>
        <v/>
      </c>
    </row>
    <row r="4908" spans="1:15" x14ac:dyDescent="0.2">
      <c r="A4908" t="str">
        <f t="shared" si="75"/>
        <v/>
      </c>
      <c r="O4908" t="str">
        <f>IFERROR(VLOOKUP($A4908,Accounts!$A:$G,8,FALSE),"")</f>
        <v/>
      </c>
    </row>
    <row r="4909" spans="1:15" x14ac:dyDescent="0.2">
      <c r="A4909" t="str">
        <f t="shared" si="75"/>
        <v/>
      </c>
      <c r="O4909" t="str">
        <f>IFERROR(VLOOKUP($A4909,Accounts!$A:$G,8,FALSE),"")</f>
        <v/>
      </c>
    </row>
    <row r="4910" spans="1:15" x14ac:dyDescent="0.2">
      <c r="A4910" t="str">
        <f t="shared" si="75"/>
        <v/>
      </c>
      <c r="O4910" t="str">
        <f>IFERROR(VLOOKUP($A4910,Accounts!$A:$G,8,FALSE),"")</f>
        <v/>
      </c>
    </row>
    <row r="4911" spans="1:15" x14ac:dyDescent="0.2">
      <c r="A4911" t="str">
        <f t="shared" si="75"/>
        <v/>
      </c>
      <c r="O4911" t="str">
        <f>IFERROR(VLOOKUP($A4911,Accounts!$A:$G,8,FALSE),"")</f>
        <v/>
      </c>
    </row>
    <row r="4912" spans="1:15" x14ac:dyDescent="0.2">
      <c r="A4912" t="str">
        <f t="shared" si="75"/>
        <v/>
      </c>
      <c r="O4912" t="str">
        <f>IFERROR(VLOOKUP($A4912,Accounts!$A:$G,8,FALSE),"")</f>
        <v/>
      </c>
    </row>
    <row r="4913" spans="1:15" x14ac:dyDescent="0.2">
      <c r="A4913" t="str">
        <f t="shared" si="75"/>
        <v/>
      </c>
      <c r="O4913" t="str">
        <f>IFERROR(VLOOKUP($A4913,Accounts!$A:$G,8,FALSE),"")</f>
        <v/>
      </c>
    </row>
    <row r="4914" spans="1:15" x14ac:dyDescent="0.2">
      <c r="A4914" t="str">
        <f t="shared" si="75"/>
        <v/>
      </c>
      <c r="O4914" t="str">
        <f>IFERROR(VLOOKUP($A4914,Accounts!$A:$G,8,FALSE),"")</f>
        <v/>
      </c>
    </row>
    <row r="4915" spans="1:15" x14ac:dyDescent="0.2">
      <c r="A4915" t="str">
        <f t="shared" si="75"/>
        <v/>
      </c>
      <c r="O4915" t="str">
        <f>IFERROR(VLOOKUP($A4915,Accounts!$A:$G,8,FALSE),"")</f>
        <v/>
      </c>
    </row>
    <row r="4916" spans="1:15" x14ac:dyDescent="0.2">
      <c r="A4916" t="str">
        <f t="shared" si="75"/>
        <v/>
      </c>
      <c r="O4916" t="str">
        <f>IFERROR(VLOOKUP($A4916,Accounts!$A:$G,8,FALSE),"")</f>
        <v/>
      </c>
    </row>
    <row r="4917" spans="1:15" x14ac:dyDescent="0.2">
      <c r="A4917" t="str">
        <f t="shared" si="75"/>
        <v/>
      </c>
      <c r="O4917" t="str">
        <f>IFERROR(VLOOKUP($A4917,Accounts!$A:$G,8,FALSE),"")</f>
        <v/>
      </c>
    </row>
    <row r="4918" spans="1:15" x14ac:dyDescent="0.2">
      <c r="A4918" t="str">
        <f t="shared" si="75"/>
        <v/>
      </c>
      <c r="O4918" t="str">
        <f>IFERROR(VLOOKUP($A4918,Accounts!$A:$G,8,FALSE),"")</f>
        <v/>
      </c>
    </row>
    <row r="4919" spans="1:15" x14ac:dyDescent="0.2">
      <c r="A4919" t="str">
        <f t="shared" si="75"/>
        <v/>
      </c>
      <c r="O4919" t="str">
        <f>IFERROR(VLOOKUP($A4919,Accounts!$A:$G,8,FALSE),"")</f>
        <v/>
      </c>
    </row>
    <row r="4920" spans="1:15" x14ac:dyDescent="0.2">
      <c r="A4920" t="str">
        <f t="shared" si="75"/>
        <v/>
      </c>
      <c r="O4920" t="str">
        <f>IFERROR(VLOOKUP($A4920,Accounts!$A:$G,8,FALSE),"")</f>
        <v/>
      </c>
    </row>
    <row r="4921" spans="1:15" x14ac:dyDescent="0.2">
      <c r="A4921" t="str">
        <f t="shared" si="75"/>
        <v/>
      </c>
      <c r="O4921" t="str">
        <f>IFERROR(VLOOKUP($A4921,Accounts!$A:$G,8,FALSE),"")</f>
        <v/>
      </c>
    </row>
    <row r="4922" spans="1:15" x14ac:dyDescent="0.2">
      <c r="A4922" t="str">
        <f t="shared" si="75"/>
        <v/>
      </c>
      <c r="O4922" t="str">
        <f>IFERROR(VLOOKUP($A4922,Accounts!$A:$G,8,FALSE),"")</f>
        <v/>
      </c>
    </row>
    <row r="4923" spans="1:15" x14ac:dyDescent="0.2">
      <c r="A4923" t="str">
        <f t="shared" si="75"/>
        <v/>
      </c>
      <c r="O4923" t="str">
        <f>IFERROR(VLOOKUP($A4923,Accounts!$A:$G,8,FALSE),"")</f>
        <v/>
      </c>
    </row>
    <row r="4924" spans="1:15" x14ac:dyDescent="0.2">
      <c r="A4924" t="str">
        <f t="shared" si="75"/>
        <v/>
      </c>
      <c r="O4924" t="str">
        <f>IFERROR(VLOOKUP($A4924,Accounts!$A:$G,8,FALSE),"")</f>
        <v/>
      </c>
    </row>
    <row r="4925" spans="1:15" x14ac:dyDescent="0.2">
      <c r="A4925" t="str">
        <f t="shared" si="75"/>
        <v/>
      </c>
      <c r="O4925" t="str">
        <f>IFERROR(VLOOKUP($A4925,Accounts!$A:$G,8,FALSE),"")</f>
        <v/>
      </c>
    </row>
    <row r="4926" spans="1:15" x14ac:dyDescent="0.2">
      <c r="A4926" t="str">
        <f t="shared" si="75"/>
        <v/>
      </c>
      <c r="O4926" t="str">
        <f>IFERROR(VLOOKUP($A4926,Accounts!$A:$G,8,FALSE),"")</f>
        <v/>
      </c>
    </row>
    <row r="4927" spans="1:15" x14ac:dyDescent="0.2">
      <c r="A4927" t="str">
        <f t="shared" si="75"/>
        <v/>
      </c>
      <c r="O4927" t="str">
        <f>IFERROR(VLOOKUP($A4927,Accounts!$A:$G,8,FALSE),"")</f>
        <v/>
      </c>
    </row>
    <row r="4928" spans="1:15" x14ac:dyDescent="0.2">
      <c r="A4928" t="str">
        <f t="shared" si="75"/>
        <v/>
      </c>
      <c r="O4928" t="str">
        <f>IFERROR(VLOOKUP($A4928,Accounts!$A:$G,8,FALSE),"")</f>
        <v/>
      </c>
    </row>
    <row r="4929" spans="1:15" x14ac:dyDescent="0.2">
      <c r="A4929" t="str">
        <f t="shared" si="75"/>
        <v/>
      </c>
      <c r="O4929" t="str">
        <f>IFERROR(VLOOKUP($A4929,Accounts!$A:$G,8,FALSE),"")</f>
        <v/>
      </c>
    </row>
    <row r="4930" spans="1:15" x14ac:dyDescent="0.2">
      <c r="A4930" t="str">
        <f t="shared" si="75"/>
        <v/>
      </c>
      <c r="O4930" t="str">
        <f>IFERROR(VLOOKUP($A4930,Accounts!$A:$G,8,FALSE),"")</f>
        <v/>
      </c>
    </row>
    <row r="4931" spans="1:15" x14ac:dyDescent="0.2">
      <c r="A4931" t="str">
        <f t="shared" ref="A4931:A4945" si="76">IFERROR(IF(J4931=0,B4931&amp;D4931&amp;I4931&amp;E4931,C4931&amp;D4931&amp;J4931&amp;G4931),"")</f>
        <v/>
      </c>
      <c r="O4931" t="str">
        <f>IFERROR(VLOOKUP($A4931,Accounts!$A:$G,8,FALSE),"")</f>
        <v/>
      </c>
    </row>
    <row r="4932" spans="1:15" x14ac:dyDescent="0.2">
      <c r="A4932" t="str">
        <f t="shared" si="76"/>
        <v/>
      </c>
      <c r="O4932" t="str">
        <f>IFERROR(VLOOKUP($A4932,Accounts!$A:$G,8,FALSE),"")</f>
        <v/>
      </c>
    </row>
    <row r="4933" spans="1:15" x14ac:dyDescent="0.2">
      <c r="A4933" t="str">
        <f t="shared" si="76"/>
        <v/>
      </c>
      <c r="O4933" t="str">
        <f>IFERROR(VLOOKUP($A4933,Accounts!$A:$G,8,FALSE),"")</f>
        <v/>
      </c>
    </row>
    <row r="4934" spans="1:15" x14ac:dyDescent="0.2">
      <c r="A4934" t="str">
        <f t="shared" si="76"/>
        <v/>
      </c>
    </row>
    <row r="4935" spans="1:15" x14ac:dyDescent="0.2">
      <c r="A4935" t="str">
        <f t="shared" si="76"/>
        <v/>
      </c>
    </row>
    <row r="4936" spans="1:15" x14ac:dyDescent="0.2">
      <c r="A4936" t="str">
        <f t="shared" si="76"/>
        <v/>
      </c>
    </row>
    <row r="4937" spans="1:15" x14ac:dyDescent="0.2">
      <c r="A4937" t="str">
        <f t="shared" si="76"/>
        <v/>
      </c>
    </row>
    <row r="4938" spans="1:15" x14ac:dyDescent="0.2">
      <c r="A4938" t="str">
        <f t="shared" si="76"/>
        <v/>
      </c>
    </row>
    <row r="4939" spans="1:15" x14ac:dyDescent="0.2">
      <c r="A4939" t="str">
        <f t="shared" si="76"/>
        <v/>
      </c>
    </row>
    <row r="4940" spans="1:15" x14ac:dyDescent="0.2">
      <c r="A4940" t="str">
        <f t="shared" si="76"/>
        <v/>
      </c>
    </row>
    <row r="4941" spans="1:15" x14ac:dyDescent="0.2">
      <c r="A4941" t="str">
        <f t="shared" si="76"/>
        <v/>
      </c>
    </row>
    <row r="4942" spans="1:15" x14ac:dyDescent="0.2">
      <c r="A4942" t="str">
        <f t="shared" si="76"/>
        <v/>
      </c>
    </row>
    <row r="4943" spans="1:15" x14ac:dyDescent="0.2">
      <c r="A4943" t="str">
        <f t="shared" si="76"/>
        <v/>
      </c>
    </row>
    <row r="4944" spans="1:15" x14ac:dyDescent="0.2">
      <c r="A4944" t="str">
        <f t="shared" si="76"/>
        <v/>
      </c>
    </row>
    <row r="4945" spans="1:14" x14ac:dyDescent="0.2">
      <c r="A4945" t="str">
        <f t="shared" si="76"/>
        <v/>
      </c>
    </row>
    <row r="4946" spans="1:14" x14ac:dyDescent="0.2">
      <c r="N4946" s="26"/>
    </row>
  </sheetData>
  <autoFilter ref="A8:O3192"/>
  <phoneticPr fontId="0" type="noConversion"/>
  <conditionalFormatting sqref="O4934:O4945">
    <cfRule type="duplicateValues" dxfId="11" priority="122"/>
  </conditionalFormatting>
  <conditionalFormatting sqref="O8">
    <cfRule type="duplicateValues" dxfId="10" priority="121"/>
  </conditionalFormatting>
  <conditionalFormatting sqref="O8">
    <cfRule type="duplicateValues" dxfId="9" priority="100"/>
  </conditionalFormatting>
  <conditionalFormatting sqref="O8">
    <cfRule type="duplicateValues" dxfId="8" priority="6"/>
  </conditionalFormatting>
  <conditionalFormatting sqref="O3193">
    <cfRule type="duplicateValues" dxfId="7" priority="2"/>
  </conditionalFormatting>
  <pageMargins left="0.75" right="0.75" top="1" bottom="1" header="0.5" footer="0.5"/>
  <pageSetup paperSize="9" orientation="portrait" r:id="rId1"/>
  <headerFooter alignWithMargins="0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ccountspresentation">
                <anchor moveWithCells="1" sizeWithCells="1">
                  <from>
                    <xdr:col>6</xdr:col>
                    <xdr:colOff>571500</xdr:colOff>
                    <xdr:row>2</xdr:row>
                    <xdr:rowOff>38100</xdr:rowOff>
                  </from>
                  <to>
                    <xdr:col>7</xdr:col>
                    <xdr:colOff>200025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533400</xdr:colOff>
                    <xdr:row>2</xdr:row>
                    <xdr:rowOff>47625</xdr:rowOff>
                  </from>
                  <to>
                    <xdr:col>7</xdr:col>
                    <xdr:colOff>1352550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9"/>
  <sheetViews>
    <sheetView showGridLines="0" workbookViewId="0">
      <selection activeCell="B9" sqref="B9"/>
    </sheetView>
  </sheetViews>
  <sheetFormatPr defaultRowHeight="12.75" x14ac:dyDescent="0.2"/>
  <cols>
    <col min="1" max="1" width="22.5703125" bestFit="1" customWidth="1"/>
    <col min="2" max="2" width="19.28515625" bestFit="1" customWidth="1"/>
    <col min="3" max="3" width="13.140625" bestFit="1" customWidth="1"/>
    <col min="4" max="4" width="15.28515625" bestFit="1" customWidth="1"/>
    <col min="5" max="5" width="16.42578125" bestFit="1" customWidth="1"/>
    <col min="6" max="6" width="47.5703125" bestFit="1" customWidth="1"/>
  </cols>
  <sheetData>
    <row r="1" spans="1:6" ht="15" x14ac:dyDescent="0.25">
      <c r="A1" s="76" t="s">
        <v>84</v>
      </c>
      <c r="B1" s="76" t="s">
        <v>85</v>
      </c>
      <c r="C1" s="76" t="s">
        <v>86</v>
      </c>
      <c r="D1" s="76" t="s">
        <v>87</v>
      </c>
      <c r="E1" s="76" t="s">
        <v>88</v>
      </c>
      <c r="F1" s="76" t="s">
        <v>89</v>
      </c>
    </row>
    <row r="2" spans="1:6" ht="15" x14ac:dyDescent="0.2">
      <c r="A2" s="77" t="s">
        <v>652</v>
      </c>
      <c r="B2" s="78" t="str">
        <f>IFERROR(INDEX(Accounts!$E:$E,MATCH('missing documents'!$A2,Accounts!$C:$C,0)),"")</f>
        <v/>
      </c>
      <c r="C2" s="2" t="str">
        <f>IFERROR(INDEX(Accounts!$G:$G,MATCH('missing documents'!$A2,Accounts!$C:$C,0)),"")</f>
        <v/>
      </c>
      <c r="D2" s="85" t="str">
        <f>IFERROR(INDEX(Accounts!$N:$N,MATCH('missing documents'!$A2,Accounts!$C:$C,0)),"")</f>
        <v/>
      </c>
      <c r="E2" s="144" t="str">
        <f>IFERROR(INDEX(Accounts!$K:$K,MATCH('missing documents'!$A2,Accounts!$C:$C,0)),"")</f>
        <v/>
      </c>
      <c r="F2" s="85" t="str">
        <f>IFERROR(INDEX(Accounts!$L:$L,MATCH('missing documents'!$A2,Accounts!$C:$C,0)),"")</f>
        <v/>
      </c>
    </row>
    <row r="3" spans="1:6" x14ac:dyDescent="0.2">
      <c r="A3" s="84" t="s">
        <v>653</v>
      </c>
      <c r="B3" s="78" t="str">
        <f>IFERROR(INDEX(Accounts!$E:$E,MATCH('missing documents'!$A3,Accounts!$C:$C,0)),"")</f>
        <v/>
      </c>
      <c r="C3" s="2" t="str">
        <f>IFERROR(INDEX(Accounts!$G:$G,MATCH('missing documents'!$A3,Accounts!$C:$C,0)),"")</f>
        <v/>
      </c>
      <c r="D3" s="85" t="str">
        <f>IFERROR(INDEX(Accounts!$N:$N,MATCH('missing documents'!$A3,Accounts!$C:$C,0)),"")</f>
        <v/>
      </c>
      <c r="E3" s="144" t="str">
        <f>IFERROR(INDEX(Accounts!$K:$K,MATCH('missing documents'!$A3,Accounts!$C:$C,0)),"")</f>
        <v/>
      </c>
      <c r="F3" s="85" t="str">
        <f>IFERROR(INDEX(Accounts!$L:$L,MATCH('missing documents'!$A3,Accounts!$C:$C,0)),"")</f>
        <v/>
      </c>
    </row>
    <row r="4" spans="1:6" ht="15" x14ac:dyDescent="0.2">
      <c r="A4" s="77" t="s">
        <v>654</v>
      </c>
      <c r="B4" s="78" t="str">
        <f>IFERROR(INDEX(Accounts!$E:$E,MATCH('missing documents'!$A4,Accounts!$C:$C,0)),"")</f>
        <v/>
      </c>
      <c r="C4" s="2">
        <v>35127</v>
      </c>
      <c r="D4" s="85" t="str">
        <f>IFERROR(INDEX(Accounts!$N:$N,MATCH('missing documents'!$A4,Accounts!$C:$C,0)),"")</f>
        <v/>
      </c>
      <c r="E4" s="144">
        <v>143</v>
      </c>
      <c r="F4" s="85" t="str">
        <f>IFERROR(INDEX(Accounts!$L:$L,MATCH('missing documents'!$A4,Accounts!$C:$C,0)),"")</f>
        <v/>
      </c>
    </row>
    <row r="5" spans="1:6" ht="15" x14ac:dyDescent="0.2">
      <c r="A5" s="77" t="s">
        <v>638</v>
      </c>
      <c r="B5" s="78" t="str">
        <f>IFERROR(INDEX(Accounts!$E:$E,MATCH('missing documents'!$A5,Accounts!$C:$C,0)),"")</f>
        <v/>
      </c>
      <c r="C5" s="2">
        <v>44613.81</v>
      </c>
      <c r="D5" s="85" t="str">
        <f>IFERROR(INDEX(Accounts!$N:$N,MATCH('missing documents'!$A5,Accounts!$C:$C,0)),"")</f>
        <v/>
      </c>
      <c r="E5" s="144">
        <v>143</v>
      </c>
      <c r="F5" s="85" t="str">
        <f>IFERROR(INDEX(Accounts!$L:$L,MATCH('missing documents'!$A5,Accounts!$C:$C,0)),"")</f>
        <v/>
      </c>
    </row>
    <row r="6" spans="1:6" ht="15" x14ac:dyDescent="0.2">
      <c r="A6" s="77" t="s">
        <v>638</v>
      </c>
      <c r="B6" s="78" t="str">
        <f>IFERROR(INDEX(Accounts!$E:$E,MATCH('missing documents'!$A6,Accounts!$C:$C,0)),"")</f>
        <v/>
      </c>
      <c r="C6" s="2" t="str">
        <f>IFERROR(INDEX(Accounts!$G:$G,MATCH('missing documents'!$A6,Accounts!$C:$C,0)),"")</f>
        <v/>
      </c>
      <c r="D6" s="85" t="str">
        <f>IFERROR(INDEX(Accounts!$N:$N,MATCH('missing documents'!$A6,Accounts!$C:$C,0)),"")</f>
        <v/>
      </c>
      <c r="E6" s="144" t="str">
        <f>IFERROR(INDEX(Accounts!$K:$K,MATCH('missing documents'!$A6,Accounts!$C:$C,0)),"")</f>
        <v/>
      </c>
      <c r="F6" s="85" t="str">
        <f>IFERROR(INDEX(Accounts!$L:$L,MATCH('missing documents'!$A6,Accounts!$C:$C,0)),"")</f>
        <v/>
      </c>
    </row>
    <row r="7" spans="1:6" ht="15" x14ac:dyDescent="0.2">
      <c r="A7" s="77" t="s">
        <v>654</v>
      </c>
      <c r="B7" s="78" t="str">
        <f>IFERROR(INDEX(Accounts!$E:$E,MATCH('missing documents'!$A7,Accounts!$C:$C,0)),"")</f>
        <v/>
      </c>
      <c r="C7" s="2">
        <v>49342</v>
      </c>
      <c r="D7" s="85" t="str">
        <f>IFERROR(INDEX(Accounts!$N:$N,MATCH('missing documents'!$A7,Accounts!$C:$C,0)),"")</f>
        <v/>
      </c>
      <c r="E7" s="144">
        <v>99</v>
      </c>
      <c r="F7" s="85" t="str">
        <f>IFERROR(INDEX(Accounts!$L:$L,MATCH('missing documents'!$A7,Accounts!$C:$C,0)),"")</f>
        <v/>
      </c>
    </row>
    <row r="8" spans="1:6" ht="15" x14ac:dyDescent="0.2">
      <c r="A8" s="77"/>
      <c r="B8" s="78" t="str">
        <f>IFERROR(INDEX(Accounts!$E:$E,MATCH('missing documents'!$A8,Accounts!$C:$C,0)),"")</f>
        <v/>
      </c>
      <c r="C8" s="85" t="str">
        <f>IFERROR(INDEX(Accounts!$G:$G,MATCH('missing documents'!$A8,Accounts!$C:$C,0)),"")</f>
        <v/>
      </c>
      <c r="D8" s="85" t="str">
        <f>IFERROR(INDEX(Accounts!$N:$N,MATCH('missing documents'!$A8,Accounts!$C:$C,0)),"")</f>
        <v/>
      </c>
      <c r="E8" s="144" t="str">
        <f>IFERROR(INDEX(Accounts!$K:$K,MATCH('missing documents'!$A8,Accounts!$C:$C,0)),"")</f>
        <v/>
      </c>
      <c r="F8" s="85" t="str">
        <f>IFERROR(INDEX(Accounts!$L:$L,MATCH('missing documents'!$A8,Accounts!$C:$C,0)),"")</f>
        <v/>
      </c>
    </row>
    <row r="9" spans="1:6" ht="15" x14ac:dyDescent="0.2">
      <c r="A9" s="77"/>
      <c r="B9" s="78" t="str">
        <f>IFERROR(INDEX(Accounts!$E:$E,MATCH('missing documents'!$A9,Accounts!$C:$C,0)),"")</f>
        <v/>
      </c>
      <c r="C9" s="85" t="str">
        <f>IFERROR(INDEX(Accounts!$G:$G,MATCH('missing documents'!$A9,Accounts!$C:$C,0)),"")</f>
        <v/>
      </c>
      <c r="D9" s="85" t="str">
        <f>IFERROR(INDEX(Accounts!$N:$N,MATCH('missing documents'!$A9,Accounts!$C:$C,0)),"")</f>
        <v/>
      </c>
      <c r="E9" s="85" t="str">
        <f>IFERROR(INDEX(Accounts!$K:$K,MATCH('missing documents'!$A9,Accounts!$C:$C,0)),"")</f>
        <v/>
      </c>
      <c r="F9" s="85" t="str">
        <f>IFERROR(INDEX(Accounts!$L:$L,MATCH('missing documents'!$A9,Accounts!$C:$C,0)),"")</f>
        <v/>
      </c>
    </row>
    <row r="10" spans="1:6" ht="15" x14ac:dyDescent="0.2">
      <c r="A10" s="77"/>
      <c r="B10" s="78" t="str">
        <f>IFERROR(INDEX(Accounts!$E:$E,MATCH('missing documents'!$A10,Accounts!$C:$C,0)),"")</f>
        <v/>
      </c>
      <c r="C10" s="85" t="str">
        <f>IFERROR(INDEX(Accounts!$G:$G,MATCH('missing documents'!$A10,Accounts!$C:$C,0)),"")</f>
        <v/>
      </c>
      <c r="D10" s="85" t="str">
        <f>IFERROR(INDEX(Accounts!$N:$N,MATCH('missing documents'!$A10,Accounts!$C:$C,0)),"")</f>
        <v/>
      </c>
      <c r="E10" s="85" t="str">
        <f>IFERROR(INDEX(Accounts!$K:$K,MATCH('missing documents'!$A10,Accounts!$C:$C,0)),"")</f>
        <v/>
      </c>
      <c r="F10" s="85" t="str">
        <f>IFERROR(INDEX(Accounts!$L:$L,MATCH('missing documents'!$A10,Accounts!$C:$C,0)),"")</f>
        <v/>
      </c>
    </row>
    <row r="11" spans="1:6" ht="15" x14ac:dyDescent="0.2">
      <c r="A11" s="77"/>
      <c r="B11" s="78" t="str">
        <f>IFERROR(INDEX(Accounts!$E:$E,MATCH('missing documents'!$A11,Accounts!$C:$C,0)),"")</f>
        <v/>
      </c>
      <c r="C11" s="85" t="str">
        <f>IFERROR(INDEX(Accounts!$G:$G,MATCH('missing documents'!$A11,Accounts!$C:$C,0)),"")</f>
        <v/>
      </c>
      <c r="D11" s="85" t="str">
        <f>IFERROR(INDEX(Accounts!$N:$N,MATCH('missing documents'!$A11,Accounts!$C:$C,0)),"")</f>
        <v/>
      </c>
      <c r="E11" s="85" t="str">
        <f>IFERROR(INDEX(Accounts!$K:$K,MATCH('missing documents'!$A11,Accounts!$C:$C,0)),"")</f>
        <v/>
      </c>
      <c r="F11" s="85" t="str">
        <f>IFERROR(INDEX(Accounts!$L:$L,MATCH('missing documents'!$A11,Accounts!$C:$C,0)),"")</f>
        <v/>
      </c>
    </row>
    <row r="12" spans="1:6" ht="15" x14ac:dyDescent="0.2">
      <c r="A12" s="77"/>
      <c r="B12" s="78" t="str">
        <f>IFERROR(INDEX(Accounts!$E:$E,MATCH('missing documents'!$A12,Accounts!$C:$C,0)),"")</f>
        <v/>
      </c>
      <c r="C12" s="85" t="str">
        <f>IFERROR(INDEX(Accounts!$G:$G,MATCH('missing documents'!$A12,Accounts!$C:$C,0)),"")</f>
        <v/>
      </c>
      <c r="D12" s="85" t="str">
        <f>IFERROR(INDEX(Accounts!$N:$N,MATCH('missing documents'!$A12,Accounts!$C:$C,0)),"")</f>
        <v/>
      </c>
      <c r="E12" s="85" t="str">
        <f>IFERROR(INDEX(Accounts!$K:$K,MATCH('missing documents'!$A12,Accounts!$C:$C,0)),"")</f>
        <v/>
      </c>
      <c r="F12" s="85" t="str">
        <f>IFERROR(INDEX(Accounts!$L:$L,MATCH('missing documents'!$A12,Accounts!$C:$C,0)),"")</f>
        <v/>
      </c>
    </row>
    <row r="13" spans="1:6" ht="15" x14ac:dyDescent="0.2">
      <c r="A13" s="77"/>
      <c r="B13" s="78" t="str">
        <f>IFERROR(INDEX(Accounts!$E:$E,MATCH('missing documents'!$A13,Accounts!$C:$C,0)),"")</f>
        <v/>
      </c>
      <c r="C13" s="85" t="str">
        <f>IFERROR(INDEX(Accounts!$G:$G,MATCH('missing documents'!$A13,Accounts!$C:$C,0)),"")</f>
        <v/>
      </c>
      <c r="D13" s="85" t="str">
        <f>IFERROR(INDEX(Accounts!$N:$N,MATCH('missing documents'!$A13,Accounts!$C:$C,0)),"")</f>
        <v/>
      </c>
      <c r="E13" s="85" t="str">
        <f>IFERROR(INDEX(Accounts!$K:$K,MATCH('missing documents'!$A13,Accounts!$C:$C,0)),"")</f>
        <v/>
      </c>
      <c r="F13" s="85" t="str">
        <f>IFERROR(INDEX(Accounts!$L:$L,MATCH('missing documents'!$A13,Accounts!$C:$C,0)),"")</f>
        <v/>
      </c>
    </row>
    <row r="14" spans="1:6" ht="15" x14ac:dyDescent="0.2">
      <c r="A14" s="77"/>
      <c r="B14" s="78" t="str">
        <f>IFERROR(INDEX(Accounts!$E:$E,MATCH('missing documents'!$A14,Accounts!$C:$C,0)),"")</f>
        <v/>
      </c>
      <c r="C14" s="85" t="str">
        <f>IFERROR(INDEX(Accounts!$G:$G,MATCH('missing documents'!$A14,Accounts!$C:$C,0)),"")</f>
        <v/>
      </c>
      <c r="D14" s="85" t="str">
        <f>IFERROR(INDEX(Accounts!$N:$N,MATCH('missing documents'!$A14,Accounts!$C:$C,0)),"")</f>
        <v/>
      </c>
      <c r="E14" s="85" t="str">
        <f>IFERROR(INDEX(Accounts!$K:$K,MATCH('missing documents'!$A14,Accounts!$C:$C,0)),"")</f>
        <v/>
      </c>
      <c r="F14" s="85" t="str">
        <f>IFERROR(INDEX(Accounts!$L:$L,MATCH('missing documents'!$A14,Accounts!$C:$C,0)),"")</f>
        <v/>
      </c>
    </row>
    <row r="15" spans="1:6" ht="15" x14ac:dyDescent="0.2">
      <c r="A15" s="77"/>
      <c r="B15" s="78" t="str">
        <f>IFERROR(INDEX(Accounts!$E:$E,MATCH('missing documents'!$A15,Accounts!$C:$C,0)),"")</f>
        <v/>
      </c>
      <c r="C15" s="85" t="str">
        <f>IFERROR(INDEX(Accounts!$G:$G,MATCH('missing documents'!$A15,Accounts!$C:$C,0)),"")</f>
        <v/>
      </c>
      <c r="D15" s="85" t="str">
        <f>IFERROR(INDEX(Accounts!$N:$N,MATCH('missing documents'!$A15,Accounts!$C:$C,0)),"")</f>
        <v/>
      </c>
      <c r="E15" s="85" t="str">
        <f>IFERROR(INDEX(Accounts!$K:$K,MATCH('missing documents'!$A15,Accounts!$C:$C,0)),"")</f>
        <v/>
      </c>
      <c r="F15" s="85" t="str">
        <f>IFERROR(INDEX(Accounts!$L:$L,MATCH('missing documents'!$A15,Accounts!$C:$C,0)),"")</f>
        <v/>
      </c>
    </row>
    <row r="16" spans="1:6" ht="15" x14ac:dyDescent="0.2">
      <c r="A16" s="77"/>
      <c r="B16" s="78" t="str">
        <f>IFERROR(INDEX(Accounts!$E:$E,MATCH('missing documents'!$A16,Accounts!$C:$C,0)),"")</f>
        <v/>
      </c>
      <c r="C16" s="85" t="str">
        <f>IFERROR(INDEX(Accounts!$G:$G,MATCH('missing documents'!$A16,Accounts!$C:$C,0)),"")</f>
        <v/>
      </c>
      <c r="D16" s="85" t="str">
        <f>IFERROR(INDEX(Accounts!$N:$N,MATCH('missing documents'!$A16,Accounts!$C:$C,0)),"")</f>
        <v/>
      </c>
      <c r="E16" s="85" t="str">
        <f>IFERROR(INDEX(Accounts!$K:$K,MATCH('missing documents'!$A16,Accounts!$C:$C,0)),"")</f>
        <v/>
      </c>
      <c r="F16" s="85" t="str">
        <f>IFERROR(INDEX(Accounts!$L:$L,MATCH('missing documents'!$A16,Accounts!$C:$C,0)),"")</f>
        <v/>
      </c>
    </row>
    <row r="17" spans="1:6" ht="15" x14ac:dyDescent="0.2">
      <c r="A17" s="77"/>
      <c r="B17" s="78" t="str">
        <f>IFERROR(INDEX(Accounts!$E:$E,MATCH('missing documents'!$A17,Accounts!$C:$C,0)),"")</f>
        <v/>
      </c>
      <c r="C17" s="85" t="str">
        <f>IFERROR(INDEX(Accounts!$G:$G,MATCH('missing documents'!$A17,Accounts!$C:$C,0)),"")</f>
        <v/>
      </c>
      <c r="D17" s="85" t="str">
        <f>IFERROR(INDEX(Accounts!$N:$N,MATCH('missing documents'!$A17,Accounts!$C:$C,0)),"")</f>
        <v/>
      </c>
      <c r="E17" s="85" t="str">
        <f>IFERROR(INDEX(Accounts!$K:$K,MATCH('missing documents'!$A17,Accounts!$C:$C,0)),"")</f>
        <v/>
      </c>
      <c r="F17" s="85" t="str">
        <f>IFERROR(INDEX(Accounts!$L:$L,MATCH('missing documents'!$A17,Accounts!$C:$C,0)),"")</f>
        <v/>
      </c>
    </row>
    <row r="18" spans="1:6" ht="15" x14ac:dyDescent="0.2">
      <c r="A18" s="77"/>
      <c r="B18" s="78" t="str">
        <f>IFERROR(INDEX(Accounts!$E:$E,MATCH('missing documents'!$A18,Accounts!$C:$C,0)),"")</f>
        <v/>
      </c>
      <c r="C18" s="85" t="str">
        <f>IFERROR(INDEX(Accounts!$G:$G,MATCH('missing documents'!$A18,Accounts!$C:$C,0)),"")</f>
        <v/>
      </c>
      <c r="D18" s="85" t="str">
        <f>IFERROR(INDEX(Accounts!$N:$N,MATCH('missing documents'!$A18,Accounts!$C:$C,0)),"")</f>
        <v/>
      </c>
      <c r="E18" s="85" t="str">
        <f>IFERROR(INDEX(Accounts!$K:$K,MATCH('missing documents'!$A18,Accounts!$C:$C,0)),"")</f>
        <v/>
      </c>
      <c r="F18" s="85" t="str">
        <f>IFERROR(INDEX(Accounts!$L:$L,MATCH('missing documents'!$A18,Accounts!$C:$C,0)),"")</f>
        <v/>
      </c>
    </row>
    <row r="19" spans="1:6" ht="15" x14ac:dyDescent="0.2">
      <c r="A19" s="77"/>
      <c r="B19" s="78" t="str">
        <f>IFERROR(INDEX(Accounts!$E:$E,MATCH('missing documents'!$A19,Accounts!$C:$C,0)),"")</f>
        <v/>
      </c>
      <c r="C19" s="85" t="str">
        <f>IFERROR(INDEX(Accounts!$G:$G,MATCH('missing documents'!$A19,Accounts!$C:$C,0)),"")</f>
        <v/>
      </c>
      <c r="D19" s="85" t="str">
        <f>IFERROR(INDEX(Accounts!$N:$N,MATCH('missing documents'!$A19,Accounts!$C:$C,0)),"")</f>
        <v/>
      </c>
      <c r="E19" s="85" t="str">
        <f>IFERROR(INDEX(Accounts!$K:$K,MATCH('missing documents'!$A19,Accounts!$C:$C,0)),"")</f>
        <v/>
      </c>
      <c r="F19" s="85" t="str">
        <f>IFERROR(INDEX(Accounts!$L:$L,MATCH('missing documents'!$A19,Accounts!$C:$C,0)),"")</f>
        <v/>
      </c>
    </row>
    <row r="20" spans="1:6" ht="15" x14ac:dyDescent="0.2">
      <c r="A20" s="77"/>
      <c r="B20" s="78" t="str">
        <f>IFERROR(INDEX(Accounts!$E:$E,MATCH('missing documents'!$A20,Accounts!$C:$C,0)),"")</f>
        <v/>
      </c>
      <c r="C20" s="85" t="str">
        <f>IFERROR(INDEX(Accounts!$G:$G,MATCH('missing documents'!$A20,Accounts!$C:$C,0)),"")</f>
        <v/>
      </c>
      <c r="D20" s="85" t="str">
        <f>IFERROR(INDEX(Accounts!$N:$N,MATCH('missing documents'!$A20,Accounts!$C:$C,0)),"")</f>
        <v/>
      </c>
      <c r="E20" s="85" t="str">
        <f>IFERROR(INDEX(Accounts!$K:$K,MATCH('missing documents'!$A20,Accounts!$C:$C,0)),"")</f>
        <v/>
      </c>
      <c r="F20" s="85" t="str">
        <f>IFERROR(INDEX(Accounts!$L:$L,MATCH('missing documents'!$A20,Accounts!$C:$C,0)),"")</f>
        <v/>
      </c>
    </row>
    <row r="21" spans="1:6" ht="15" x14ac:dyDescent="0.2">
      <c r="A21" s="77"/>
      <c r="B21" s="78" t="str">
        <f>IFERROR(INDEX(Accounts!$E:$E,MATCH('missing documents'!$A21,Accounts!$C:$C,0)),"")</f>
        <v/>
      </c>
      <c r="C21" s="85" t="str">
        <f>IFERROR(INDEX(Accounts!$G:$G,MATCH('missing documents'!$A21,Accounts!$C:$C,0)),"")</f>
        <v/>
      </c>
      <c r="D21" s="85" t="str">
        <f>IFERROR(INDEX(Accounts!$N:$N,MATCH('missing documents'!$A21,Accounts!$C:$C,0)),"")</f>
        <v/>
      </c>
      <c r="E21" s="85" t="str">
        <f>IFERROR(INDEX(Accounts!$K:$K,MATCH('missing documents'!$A21,Accounts!$C:$C,0)),"")</f>
        <v/>
      </c>
      <c r="F21" s="85" t="str">
        <f>IFERROR(INDEX(Accounts!$L:$L,MATCH('missing documents'!$A21,Accounts!$C:$C,0)),"")</f>
        <v/>
      </c>
    </row>
    <row r="22" spans="1:6" ht="15" x14ac:dyDescent="0.2">
      <c r="A22" s="77"/>
      <c r="B22" s="78" t="str">
        <f>IFERROR(INDEX(Accounts!$E:$E,MATCH('missing documents'!$A22,Accounts!$C:$C,0)),"")</f>
        <v/>
      </c>
      <c r="C22" s="85" t="str">
        <f>IFERROR(INDEX(Accounts!$G:$G,MATCH('missing documents'!$A22,Accounts!$C:$C,0)),"")</f>
        <v/>
      </c>
      <c r="D22" s="85" t="str">
        <f>IFERROR(INDEX(Accounts!$N:$N,MATCH('missing documents'!$A22,Accounts!$C:$C,0)),"")</f>
        <v/>
      </c>
      <c r="E22" s="85" t="str">
        <f>IFERROR(INDEX(Accounts!$K:$K,MATCH('missing documents'!$A22,Accounts!$C:$C,0)),"")</f>
        <v/>
      </c>
      <c r="F22" s="85" t="str">
        <f>IFERROR(INDEX(Accounts!$L:$L,MATCH('missing documents'!$A22,Accounts!$C:$C,0)),"")</f>
        <v/>
      </c>
    </row>
    <row r="23" spans="1:6" ht="15" x14ac:dyDescent="0.2">
      <c r="A23" s="77"/>
      <c r="B23" s="78" t="str">
        <f>IFERROR(INDEX(Accounts!$E:$E,MATCH('missing documents'!$A23,Accounts!$C:$C,0)),"")</f>
        <v/>
      </c>
      <c r="C23" s="85" t="str">
        <f>IFERROR(INDEX(Accounts!$G:$G,MATCH('missing documents'!$A23,Accounts!$C:$C,0)),"")</f>
        <v/>
      </c>
      <c r="D23" s="85" t="str">
        <f>IFERROR(INDEX(Accounts!$N:$N,MATCH('missing documents'!$A23,Accounts!$C:$C,0)),"")</f>
        <v/>
      </c>
      <c r="E23" s="85" t="str">
        <f>IFERROR(INDEX(Accounts!$K:$K,MATCH('missing documents'!$A23,Accounts!$C:$C,0)),"")</f>
        <v/>
      </c>
      <c r="F23" s="85" t="str">
        <f>IFERROR(INDEX(Accounts!$L:$L,MATCH('missing documents'!$A23,Accounts!$C:$C,0)),"")</f>
        <v/>
      </c>
    </row>
    <row r="24" spans="1:6" ht="15" x14ac:dyDescent="0.2">
      <c r="A24" s="77"/>
      <c r="B24" s="78" t="str">
        <f>IFERROR(INDEX(Accounts!$E:$E,MATCH('missing documents'!$A24,Accounts!$C:$C,0)),"")</f>
        <v/>
      </c>
      <c r="C24" s="85" t="str">
        <f>IFERROR(INDEX(Accounts!$G:$G,MATCH('missing documents'!$A24,Accounts!$C:$C,0)),"")</f>
        <v/>
      </c>
      <c r="D24" s="85" t="str">
        <f>IFERROR(INDEX(Accounts!$N:$N,MATCH('missing documents'!$A24,Accounts!$C:$C,0)),"")</f>
        <v/>
      </c>
      <c r="E24" s="85" t="str">
        <f>IFERROR(INDEX(Accounts!$K:$K,MATCH('missing documents'!$A24,Accounts!$C:$C,0)),"")</f>
        <v/>
      </c>
      <c r="F24" s="85" t="str">
        <f>IFERROR(INDEX(Accounts!$L:$L,MATCH('missing documents'!$A24,Accounts!$C:$C,0)),"")</f>
        <v/>
      </c>
    </row>
    <row r="25" spans="1:6" ht="15" x14ac:dyDescent="0.2">
      <c r="A25" s="77"/>
      <c r="B25" s="78" t="str">
        <f>IFERROR(INDEX(Accounts!$E:$E,MATCH('missing documents'!$A25,Accounts!$C:$C,0)),"")</f>
        <v/>
      </c>
      <c r="C25" s="85" t="str">
        <f>IFERROR(INDEX(Accounts!$G:$G,MATCH('missing documents'!$A25,Accounts!$C:$C,0)),"")</f>
        <v/>
      </c>
      <c r="D25" s="85" t="str">
        <f>IFERROR(INDEX(Accounts!$N:$N,MATCH('missing documents'!$A25,Accounts!$C:$C,0)),"")</f>
        <v/>
      </c>
      <c r="E25" s="85" t="str">
        <f>IFERROR(INDEX(Accounts!$K:$K,MATCH('missing documents'!$A25,Accounts!$C:$C,0)),"")</f>
        <v/>
      </c>
      <c r="F25" s="85" t="str">
        <f>IFERROR(INDEX(Accounts!$L:$L,MATCH('missing documents'!$A25,Accounts!$C:$C,0)),"")</f>
        <v/>
      </c>
    </row>
    <row r="26" spans="1:6" ht="15" x14ac:dyDescent="0.2">
      <c r="A26" s="77"/>
      <c r="B26" s="78" t="str">
        <f>IFERROR(INDEX(Accounts!$E:$E,MATCH('missing documents'!$A26,Accounts!$C:$C,0)),"")</f>
        <v/>
      </c>
      <c r="C26" s="85" t="str">
        <f>IFERROR(INDEX(Accounts!$G:$G,MATCH('missing documents'!$A26,Accounts!$C:$C,0)),"")</f>
        <v/>
      </c>
      <c r="D26" s="85" t="str">
        <f>IFERROR(INDEX(Accounts!$N:$N,MATCH('missing documents'!$A26,Accounts!$C:$C,0)),"")</f>
        <v/>
      </c>
      <c r="E26" s="85" t="str">
        <f>IFERROR(INDEX(Accounts!$K:$K,MATCH('missing documents'!$A26,Accounts!$C:$C,0)),"")</f>
        <v/>
      </c>
      <c r="F26" s="85" t="str">
        <f>IFERROR(INDEX(Accounts!$L:$L,MATCH('missing documents'!$A26,Accounts!$C:$C,0)),"")</f>
        <v/>
      </c>
    </row>
    <row r="27" spans="1:6" ht="15" x14ac:dyDescent="0.2">
      <c r="A27" s="77"/>
      <c r="B27" s="78" t="str">
        <f>IFERROR(INDEX(Accounts!$E:$E,MATCH('missing documents'!$A27,Accounts!$C:$C,0)),"")</f>
        <v/>
      </c>
      <c r="C27" s="85" t="str">
        <f>IFERROR(INDEX(Accounts!$G:$G,MATCH('missing documents'!$A27,Accounts!$C:$C,0)),"")</f>
        <v/>
      </c>
      <c r="D27" s="85" t="str">
        <f>IFERROR(INDEX(Accounts!$N:$N,MATCH('missing documents'!$A27,Accounts!$C:$C,0)),"")</f>
        <v/>
      </c>
      <c r="E27" s="85" t="str">
        <f>IFERROR(INDEX(Accounts!$K:$K,MATCH('missing documents'!$A27,Accounts!$C:$C,0)),"")</f>
        <v/>
      </c>
      <c r="F27" s="85" t="str">
        <f>IFERROR(INDEX(Accounts!$L:$L,MATCH('missing documents'!$A27,Accounts!$C:$C,0)),"")</f>
        <v/>
      </c>
    </row>
    <row r="28" spans="1:6" ht="15" x14ac:dyDescent="0.2">
      <c r="A28" s="77"/>
      <c r="B28" s="78" t="str">
        <f>IFERROR(INDEX(Accounts!$E:$E,MATCH('missing documents'!$A28,Accounts!$C:$C,0)),"")</f>
        <v/>
      </c>
      <c r="C28" s="85" t="str">
        <f>IFERROR(INDEX(Accounts!$G:$G,MATCH('missing documents'!$A28,Accounts!$C:$C,0)),"")</f>
        <v/>
      </c>
      <c r="D28" s="85" t="str">
        <f>IFERROR(INDEX(Accounts!$N:$N,MATCH('missing documents'!$A28,Accounts!$C:$C,0)),"")</f>
        <v/>
      </c>
      <c r="E28" s="85" t="str">
        <f>IFERROR(INDEX(Accounts!$K:$K,MATCH('missing documents'!$A28,Accounts!$C:$C,0)),"")</f>
        <v/>
      </c>
      <c r="F28" s="85" t="str">
        <f>IFERROR(INDEX(Accounts!$L:$L,MATCH('missing documents'!$A28,Accounts!$C:$C,0)),"")</f>
        <v/>
      </c>
    </row>
    <row r="29" spans="1:6" ht="15" x14ac:dyDescent="0.2">
      <c r="A29" s="77"/>
      <c r="B29" s="78" t="str">
        <f>IFERROR(INDEX(Accounts!$E:$E,MATCH('missing documents'!$A29,Accounts!$C:$C,0)),"")</f>
        <v/>
      </c>
      <c r="C29" s="85" t="str">
        <f>IFERROR(INDEX(Accounts!$G:$G,MATCH('missing documents'!$A29,Accounts!$C:$C,0)),"")</f>
        <v/>
      </c>
      <c r="D29" s="85" t="str">
        <f>IFERROR(INDEX(Accounts!$N:$N,MATCH('missing documents'!$A29,Accounts!$C:$C,0)),"")</f>
        <v/>
      </c>
      <c r="E29" s="85" t="str">
        <f>IFERROR(INDEX(Accounts!$K:$K,MATCH('missing documents'!$A29,Accounts!$C:$C,0)),"")</f>
        <v/>
      </c>
      <c r="F29" s="85" t="str">
        <f>IFERROR(INDEX(Accounts!$L:$L,MATCH('missing documents'!$A29,Accounts!$C:$C,0)),"")</f>
        <v/>
      </c>
    </row>
  </sheetData>
  <autoFilter ref="A1:F1"/>
  <conditionalFormatting sqref="A3">
    <cfRule type="duplicateValues" dxfId="2" priority="3"/>
  </conditionalFormatting>
  <pageMargins left="0.7" right="0.7" top="0.75" bottom="0.75" header="0.3" footer="0.3"/>
  <pageSetup paperSize="9" orientation="portrait" r:id="rId1"/>
  <customProperties>
    <customPr name="EpmWorksheetKeyString_GU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3129"/>
  <sheetViews>
    <sheetView topLeftCell="B1" zoomScale="80" zoomScaleNormal="80" workbookViewId="0">
      <selection activeCell="K22" sqref="K22"/>
    </sheetView>
  </sheetViews>
  <sheetFormatPr defaultRowHeight="12.75" outlineLevelRow="3" x14ac:dyDescent="0.2"/>
  <cols>
    <col min="1" max="1" width="2" hidden="1" customWidth="1"/>
    <col min="2" max="2" width="17.7109375" bestFit="1" customWidth="1"/>
    <col min="3" max="3" width="20.7109375" bestFit="1" customWidth="1"/>
    <col min="4" max="4" width="20" bestFit="1" customWidth="1"/>
    <col min="5" max="5" width="17.28515625" bestFit="1" customWidth="1"/>
    <col min="6" max="6" width="14.85546875" bestFit="1" customWidth="1"/>
    <col min="7" max="7" width="26" bestFit="1" customWidth="1"/>
    <col min="8" max="8" width="17.42578125" bestFit="1" customWidth="1"/>
    <col min="9" max="9" width="22" bestFit="1" customWidth="1"/>
    <col min="10" max="10" width="21.28515625" bestFit="1" customWidth="1"/>
    <col min="11" max="11" width="18.5703125" bestFit="1" customWidth="1"/>
    <col min="12" max="12" width="58" bestFit="1" customWidth="1"/>
    <col min="13" max="13" width="15" bestFit="1" customWidth="1"/>
    <col min="14" max="14" width="14.85546875" bestFit="1" customWidth="1"/>
    <col min="15" max="15" width="13.42578125" bestFit="1" customWidth="1"/>
    <col min="16" max="16" width="43.42578125" hidden="1" customWidth="1"/>
    <col min="17" max="17" width="2.28515625" hidden="1" customWidth="1"/>
    <col min="18" max="18" width="21" hidden="1" customWidth="1"/>
    <col min="19" max="19" width="0" hidden="1" customWidth="1"/>
    <col min="20" max="20" width="5.5703125" hidden="1" customWidth="1"/>
  </cols>
  <sheetData>
    <row r="1" spans="1:20" x14ac:dyDescent="0.2">
      <c r="B1" s="20" t="s">
        <v>78</v>
      </c>
      <c r="C1" s="19" t="s">
        <v>76</v>
      </c>
      <c r="D1" s="19" t="s">
        <v>77</v>
      </c>
      <c r="E1" s="19" t="s">
        <v>74</v>
      </c>
      <c r="F1" s="19" t="s">
        <v>75</v>
      </c>
      <c r="G1" s="20" t="s">
        <v>79</v>
      </c>
      <c r="H1" s="20" t="s">
        <v>80</v>
      </c>
      <c r="I1" s="19" t="s">
        <v>81</v>
      </c>
      <c r="J1" s="20" t="s">
        <v>164</v>
      </c>
      <c r="K1" s="20" t="s">
        <v>28</v>
      </c>
      <c r="L1" s="19" t="s">
        <v>82</v>
      </c>
      <c r="M1" s="19" t="s">
        <v>29</v>
      </c>
      <c r="N1" s="19" t="s">
        <v>27</v>
      </c>
      <c r="O1" s="19" t="s">
        <v>165</v>
      </c>
    </row>
    <row r="2" spans="1:20" ht="14.1" customHeight="1" outlineLevel="3" x14ac:dyDescent="0.2">
      <c r="A2" t="str">
        <f t="shared" ref="A2:A33" si="0">IFERROR(IF(OR(K2="",I2=0),"",D2&amp;K2&amp;I2),"")</f>
        <v/>
      </c>
      <c r="E2" s="1"/>
      <c r="F2" s="1"/>
      <c r="G2" s="2"/>
      <c r="I2" s="2"/>
      <c r="P2" t="str">
        <f>IF(OR(K2="",K2=0),"",D2&amp;N2&amp;K2&amp;M2&amp;F2)</f>
        <v/>
      </c>
      <c r="Q2" t="str">
        <f>IF(P2="","",COUNTIF($P$2:$P$1448,$P2))</f>
        <v/>
      </c>
      <c r="R2" t="str">
        <f>G2&amp;K2&amp;N2</f>
        <v/>
      </c>
      <c r="T2">
        <f>COUNTIF($R$2:$R$2986,$R2)</f>
        <v>2985</v>
      </c>
    </row>
    <row r="3" spans="1:20" ht="14.1" customHeight="1" outlineLevel="3" x14ac:dyDescent="0.2">
      <c r="A3" t="str">
        <f t="shared" si="0"/>
        <v/>
      </c>
      <c r="E3" s="1"/>
      <c r="F3" s="1"/>
      <c r="G3" s="2"/>
      <c r="I3" s="2"/>
      <c r="P3" t="str">
        <f t="shared" ref="P3:P66" si="1">IF(OR(K3="",K3=0),"",D3&amp;N3&amp;K3&amp;M3&amp;F3)</f>
        <v/>
      </c>
      <c r="Q3" t="str">
        <f t="shared" ref="Q3:Q66" si="2">IF(P3="","",COUNTIF($P$2:$P$1448,$P3))</f>
        <v/>
      </c>
      <c r="R3" t="str">
        <f t="shared" ref="R3:R66" si="3">G3&amp;K3&amp;N3</f>
        <v/>
      </c>
      <c r="T3">
        <f t="shared" ref="T3:T66" si="4">COUNTIF($R$2:$R$2986,$R3)</f>
        <v>2985</v>
      </c>
    </row>
    <row r="4" spans="1:20" ht="14.1" customHeight="1" outlineLevel="3" x14ac:dyDescent="0.2">
      <c r="A4" t="str">
        <f t="shared" si="0"/>
        <v/>
      </c>
      <c r="E4" s="1"/>
      <c r="F4" s="1"/>
      <c r="G4" s="2"/>
      <c r="I4" s="2"/>
      <c r="P4" t="str">
        <f t="shared" si="1"/>
        <v/>
      </c>
      <c r="Q4" t="str">
        <f t="shared" si="2"/>
        <v/>
      </c>
      <c r="R4" t="str">
        <f t="shared" si="3"/>
        <v/>
      </c>
      <c r="T4">
        <f t="shared" si="4"/>
        <v>2985</v>
      </c>
    </row>
    <row r="5" spans="1:20" ht="14.1" customHeight="1" outlineLevel="3" x14ac:dyDescent="0.2">
      <c r="A5" t="str">
        <f t="shared" si="0"/>
        <v/>
      </c>
      <c r="E5" s="1"/>
      <c r="F5" s="1"/>
      <c r="G5" s="2"/>
      <c r="I5" s="2"/>
      <c r="P5" t="str">
        <f t="shared" si="1"/>
        <v/>
      </c>
      <c r="Q5" t="str">
        <f t="shared" si="2"/>
        <v/>
      </c>
      <c r="R5" t="str">
        <f t="shared" si="3"/>
        <v/>
      </c>
      <c r="T5">
        <f t="shared" si="4"/>
        <v>2985</v>
      </c>
    </row>
    <row r="6" spans="1:20" ht="14.1" customHeight="1" outlineLevel="3" x14ac:dyDescent="0.2">
      <c r="A6" t="str">
        <f t="shared" si="0"/>
        <v/>
      </c>
      <c r="E6" s="1"/>
      <c r="F6" s="1"/>
      <c r="G6" s="2"/>
      <c r="I6" s="2"/>
      <c r="P6" t="str">
        <f t="shared" si="1"/>
        <v/>
      </c>
      <c r="Q6" t="str">
        <f t="shared" si="2"/>
        <v/>
      </c>
      <c r="R6" t="str">
        <f t="shared" si="3"/>
        <v/>
      </c>
      <c r="T6">
        <f t="shared" si="4"/>
        <v>2985</v>
      </c>
    </row>
    <row r="7" spans="1:20" ht="14.1" customHeight="1" outlineLevel="3" x14ac:dyDescent="0.2">
      <c r="A7" t="str">
        <f>IFERROR(IF(OR(K7="",I7=0),"",D7&amp;K7&amp;I7),"")</f>
        <v/>
      </c>
      <c r="E7" s="1"/>
      <c r="F7" s="1"/>
      <c r="G7" s="2"/>
      <c r="I7" s="2"/>
      <c r="P7" t="str">
        <f t="shared" si="1"/>
        <v/>
      </c>
      <c r="Q7" t="str">
        <f t="shared" si="2"/>
        <v/>
      </c>
      <c r="R7" t="str">
        <f t="shared" si="3"/>
        <v/>
      </c>
      <c r="T7">
        <f t="shared" si="4"/>
        <v>2985</v>
      </c>
    </row>
    <row r="8" spans="1:20" ht="14.1" customHeight="1" outlineLevel="3" x14ac:dyDescent="0.2">
      <c r="A8" t="str">
        <f t="shared" si="0"/>
        <v/>
      </c>
      <c r="E8" s="1"/>
      <c r="F8" s="1"/>
      <c r="G8" s="2"/>
      <c r="I8" s="2"/>
      <c r="P8" t="str">
        <f t="shared" si="1"/>
        <v/>
      </c>
      <c r="Q8" t="str">
        <f t="shared" si="2"/>
        <v/>
      </c>
      <c r="R8" t="str">
        <f t="shared" si="3"/>
        <v/>
      </c>
      <c r="T8">
        <f t="shared" si="4"/>
        <v>2985</v>
      </c>
    </row>
    <row r="9" spans="1:20" ht="14.1" customHeight="1" outlineLevel="3" x14ac:dyDescent="0.2">
      <c r="A9" t="str">
        <f t="shared" si="0"/>
        <v/>
      </c>
      <c r="E9" s="1"/>
      <c r="F9" s="1"/>
      <c r="G9" s="2"/>
      <c r="I9" s="2"/>
      <c r="P9" t="str">
        <f t="shared" si="1"/>
        <v/>
      </c>
      <c r="Q9" t="str">
        <f t="shared" si="2"/>
        <v/>
      </c>
      <c r="R9" t="str">
        <f t="shared" si="3"/>
        <v/>
      </c>
      <c r="T9">
        <f t="shared" si="4"/>
        <v>2985</v>
      </c>
    </row>
    <row r="10" spans="1:20" ht="14.1" customHeight="1" outlineLevel="3" x14ac:dyDescent="0.2">
      <c r="A10" t="str">
        <f t="shared" si="0"/>
        <v/>
      </c>
      <c r="E10" s="1"/>
      <c r="F10" s="1"/>
      <c r="G10" s="2"/>
      <c r="I10" s="2"/>
      <c r="P10" t="str">
        <f t="shared" si="1"/>
        <v/>
      </c>
      <c r="Q10" t="str">
        <f t="shared" si="2"/>
        <v/>
      </c>
      <c r="R10" t="str">
        <f t="shared" si="3"/>
        <v/>
      </c>
      <c r="T10">
        <f t="shared" si="4"/>
        <v>2985</v>
      </c>
    </row>
    <row r="11" spans="1:20" ht="14.1" customHeight="1" outlineLevel="3" x14ac:dyDescent="0.2">
      <c r="A11" t="str">
        <f t="shared" si="0"/>
        <v/>
      </c>
      <c r="E11" s="1"/>
      <c r="F11" s="1"/>
      <c r="G11" s="2"/>
      <c r="I11" s="2"/>
      <c r="P11" t="str">
        <f t="shared" si="1"/>
        <v/>
      </c>
      <c r="Q11" t="str">
        <f t="shared" si="2"/>
        <v/>
      </c>
      <c r="R11" t="str">
        <f t="shared" si="3"/>
        <v/>
      </c>
      <c r="T11">
        <f t="shared" si="4"/>
        <v>2985</v>
      </c>
    </row>
    <row r="12" spans="1:20" ht="14.1" customHeight="1" outlineLevel="3" x14ac:dyDescent="0.2">
      <c r="A12" t="str">
        <f t="shared" si="0"/>
        <v/>
      </c>
      <c r="E12" s="1"/>
      <c r="F12" s="1"/>
      <c r="G12" s="2"/>
      <c r="I12" s="2"/>
      <c r="P12" t="str">
        <f t="shared" si="1"/>
        <v/>
      </c>
      <c r="Q12" t="str">
        <f t="shared" si="2"/>
        <v/>
      </c>
      <c r="R12" t="str">
        <f t="shared" si="3"/>
        <v/>
      </c>
      <c r="T12">
        <f t="shared" si="4"/>
        <v>2985</v>
      </c>
    </row>
    <row r="13" spans="1:20" ht="14.1" customHeight="1" outlineLevel="3" x14ac:dyDescent="0.2">
      <c r="A13" t="str">
        <f t="shared" si="0"/>
        <v/>
      </c>
      <c r="E13" s="1"/>
      <c r="F13" s="1"/>
      <c r="G13" s="2"/>
      <c r="I13" s="2"/>
      <c r="P13" t="str">
        <f t="shared" si="1"/>
        <v/>
      </c>
      <c r="Q13" t="str">
        <f t="shared" si="2"/>
        <v/>
      </c>
      <c r="R13" t="str">
        <f t="shared" si="3"/>
        <v/>
      </c>
      <c r="T13">
        <f t="shared" si="4"/>
        <v>2985</v>
      </c>
    </row>
    <row r="14" spans="1:20" ht="14.1" customHeight="1" outlineLevel="3" x14ac:dyDescent="0.2">
      <c r="A14" t="str">
        <f t="shared" si="0"/>
        <v/>
      </c>
      <c r="E14" s="1"/>
      <c r="F14" s="1"/>
      <c r="G14" s="2"/>
      <c r="I14" s="2"/>
      <c r="P14" t="str">
        <f t="shared" si="1"/>
        <v/>
      </c>
      <c r="Q14" t="str">
        <f t="shared" si="2"/>
        <v/>
      </c>
      <c r="R14" t="str">
        <f t="shared" si="3"/>
        <v/>
      </c>
      <c r="T14">
        <f t="shared" si="4"/>
        <v>2985</v>
      </c>
    </row>
    <row r="15" spans="1:20" ht="14.1" customHeight="1" outlineLevel="3" x14ac:dyDescent="0.2">
      <c r="A15" t="str">
        <f t="shared" si="0"/>
        <v/>
      </c>
      <c r="E15" s="1"/>
      <c r="F15" s="1"/>
      <c r="G15" s="2"/>
      <c r="I15" s="2"/>
      <c r="P15" t="str">
        <f t="shared" si="1"/>
        <v/>
      </c>
      <c r="Q15" t="str">
        <f t="shared" si="2"/>
        <v/>
      </c>
      <c r="R15" t="str">
        <f t="shared" si="3"/>
        <v/>
      </c>
      <c r="T15">
        <f t="shared" si="4"/>
        <v>2985</v>
      </c>
    </row>
    <row r="16" spans="1:20" ht="14.1" customHeight="1" outlineLevel="3" x14ac:dyDescent="0.2">
      <c r="A16" t="str">
        <f t="shared" si="0"/>
        <v/>
      </c>
      <c r="E16" s="1"/>
      <c r="F16" s="1"/>
      <c r="G16" s="2"/>
      <c r="I16" s="2"/>
      <c r="P16" t="str">
        <f t="shared" si="1"/>
        <v/>
      </c>
      <c r="Q16" t="str">
        <f t="shared" si="2"/>
        <v/>
      </c>
      <c r="R16" t="str">
        <f t="shared" si="3"/>
        <v/>
      </c>
      <c r="T16">
        <f t="shared" si="4"/>
        <v>2985</v>
      </c>
    </row>
    <row r="17" spans="1:20" ht="14.1" customHeight="1" outlineLevel="3" x14ac:dyDescent="0.2">
      <c r="A17" t="str">
        <f t="shared" si="0"/>
        <v/>
      </c>
      <c r="E17" s="1"/>
      <c r="F17" s="1"/>
      <c r="G17" s="2"/>
      <c r="I17" s="2"/>
      <c r="P17" t="str">
        <f t="shared" si="1"/>
        <v/>
      </c>
      <c r="Q17" t="str">
        <f t="shared" si="2"/>
        <v/>
      </c>
      <c r="R17" t="str">
        <f t="shared" si="3"/>
        <v/>
      </c>
      <c r="T17">
        <f t="shared" si="4"/>
        <v>2985</v>
      </c>
    </row>
    <row r="18" spans="1:20" ht="14.1" customHeight="1" outlineLevel="3" x14ac:dyDescent="0.2">
      <c r="A18" t="str">
        <f t="shared" si="0"/>
        <v/>
      </c>
      <c r="E18" s="1"/>
      <c r="F18" s="1"/>
      <c r="G18" s="2"/>
      <c r="I18" s="2"/>
      <c r="P18" t="str">
        <f t="shared" si="1"/>
        <v/>
      </c>
      <c r="Q18" t="str">
        <f t="shared" si="2"/>
        <v/>
      </c>
      <c r="R18" t="str">
        <f t="shared" si="3"/>
        <v/>
      </c>
      <c r="T18">
        <f t="shared" si="4"/>
        <v>2985</v>
      </c>
    </row>
    <row r="19" spans="1:20" ht="14.1" customHeight="1" outlineLevel="3" x14ac:dyDescent="0.2">
      <c r="A19" t="str">
        <f t="shared" si="0"/>
        <v/>
      </c>
      <c r="E19" s="1"/>
      <c r="F19" s="1"/>
      <c r="G19" s="2"/>
      <c r="I19" s="2"/>
      <c r="P19" t="str">
        <f t="shared" si="1"/>
        <v/>
      </c>
      <c r="Q19" t="str">
        <f t="shared" si="2"/>
        <v/>
      </c>
      <c r="R19" t="str">
        <f t="shared" si="3"/>
        <v/>
      </c>
      <c r="T19">
        <f t="shared" si="4"/>
        <v>2985</v>
      </c>
    </row>
    <row r="20" spans="1:20" ht="14.1" customHeight="1" outlineLevel="3" x14ac:dyDescent="0.2">
      <c r="A20" t="str">
        <f t="shared" si="0"/>
        <v/>
      </c>
      <c r="E20" s="1"/>
      <c r="F20" s="1"/>
      <c r="G20" s="2"/>
      <c r="I20" s="2"/>
      <c r="P20" t="str">
        <f t="shared" si="1"/>
        <v/>
      </c>
      <c r="Q20" t="str">
        <f t="shared" si="2"/>
        <v/>
      </c>
      <c r="R20" t="str">
        <f t="shared" si="3"/>
        <v/>
      </c>
      <c r="T20">
        <f t="shared" si="4"/>
        <v>2985</v>
      </c>
    </row>
    <row r="21" spans="1:20" ht="14.1" customHeight="1" outlineLevel="3" x14ac:dyDescent="0.2">
      <c r="A21" t="str">
        <f t="shared" si="0"/>
        <v/>
      </c>
      <c r="E21" s="1"/>
      <c r="F21" s="1"/>
      <c r="G21" s="2"/>
      <c r="I21" s="2"/>
      <c r="P21" t="str">
        <f t="shared" si="1"/>
        <v/>
      </c>
      <c r="Q21" t="str">
        <f t="shared" si="2"/>
        <v/>
      </c>
      <c r="R21" t="str">
        <f t="shared" si="3"/>
        <v/>
      </c>
      <c r="T21">
        <f t="shared" si="4"/>
        <v>2985</v>
      </c>
    </row>
    <row r="22" spans="1:20" ht="14.1" customHeight="1" outlineLevel="3" x14ac:dyDescent="0.2">
      <c r="A22" t="str">
        <f t="shared" si="0"/>
        <v/>
      </c>
      <c r="E22" s="1"/>
      <c r="F22" s="1"/>
      <c r="G22" s="2"/>
      <c r="I22" s="2"/>
      <c r="P22" t="str">
        <f t="shared" si="1"/>
        <v/>
      </c>
      <c r="Q22" t="str">
        <f t="shared" si="2"/>
        <v/>
      </c>
      <c r="R22" t="str">
        <f t="shared" si="3"/>
        <v/>
      </c>
      <c r="T22">
        <f t="shared" si="4"/>
        <v>2985</v>
      </c>
    </row>
    <row r="23" spans="1:20" ht="14.1" customHeight="1" outlineLevel="3" x14ac:dyDescent="0.2">
      <c r="A23" t="str">
        <f t="shared" si="0"/>
        <v/>
      </c>
      <c r="E23" s="1"/>
      <c r="F23" s="1"/>
      <c r="G23" s="2"/>
      <c r="I23" s="2"/>
      <c r="P23" t="str">
        <f t="shared" si="1"/>
        <v/>
      </c>
      <c r="Q23" t="str">
        <f t="shared" si="2"/>
        <v/>
      </c>
      <c r="R23" t="str">
        <f t="shared" si="3"/>
        <v/>
      </c>
      <c r="T23">
        <f t="shared" si="4"/>
        <v>2985</v>
      </c>
    </row>
    <row r="24" spans="1:20" ht="14.1" customHeight="1" outlineLevel="3" x14ac:dyDescent="0.2">
      <c r="A24" t="str">
        <f t="shared" si="0"/>
        <v/>
      </c>
      <c r="E24" s="1"/>
      <c r="F24" s="1"/>
      <c r="G24" s="2"/>
      <c r="I24" s="2"/>
      <c r="P24" t="str">
        <f t="shared" si="1"/>
        <v/>
      </c>
      <c r="Q24" t="str">
        <f t="shared" si="2"/>
        <v/>
      </c>
      <c r="R24" t="str">
        <f t="shared" si="3"/>
        <v/>
      </c>
      <c r="T24">
        <f t="shared" si="4"/>
        <v>2985</v>
      </c>
    </row>
    <row r="25" spans="1:20" ht="14.1" customHeight="1" outlineLevel="3" x14ac:dyDescent="0.2">
      <c r="A25" t="str">
        <f t="shared" si="0"/>
        <v/>
      </c>
      <c r="E25" s="1"/>
      <c r="F25" s="1"/>
      <c r="G25" s="2"/>
      <c r="I25" s="2"/>
      <c r="P25" t="str">
        <f t="shared" si="1"/>
        <v/>
      </c>
      <c r="Q25" t="str">
        <f t="shared" si="2"/>
        <v/>
      </c>
      <c r="R25" t="str">
        <f t="shared" si="3"/>
        <v/>
      </c>
      <c r="T25">
        <f t="shared" si="4"/>
        <v>2985</v>
      </c>
    </row>
    <row r="26" spans="1:20" ht="14.1" customHeight="1" outlineLevel="3" x14ac:dyDescent="0.2">
      <c r="A26" t="str">
        <f t="shared" si="0"/>
        <v/>
      </c>
      <c r="E26" s="1"/>
      <c r="F26" s="1"/>
      <c r="G26" s="2"/>
      <c r="I26" s="2"/>
      <c r="P26" t="str">
        <f t="shared" si="1"/>
        <v/>
      </c>
      <c r="Q26" t="str">
        <f t="shared" si="2"/>
        <v/>
      </c>
      <c r="R26" t="str">
        <f t="shared" si="3"/>
        <v/>
      </c>
      <c r="T26">
        <f t="shared" si="4"/>
        <v>2985</v>
      </c>
    </row>
    <row r="27" spans="1:20" outlineLevel="2" x14ac:dyDescent="0.2">
      <c r="A27" t="str">
        <f t="shared" si="0"/>
        <v/>
      </c>
      <c r="E27" s="1"/>
      <c r="F27" s="1"/>
      <c r="G27" s="2"/>
      <c r="I27" s="2"/>
      <c r="P27" t="str">
        <f t="shared" si="1"/>
        <v/>
      </c>
      <c r="Q27" t="str">
        <f t="shared" si="2"/>
        <v/>
      </c>
      <c r="R27" t="str">
        <f t="shared" si="3"/>
        <v/>
      </c>
      <c r="T27">
        <f t="shared" si="4"/>
        <v>2985</v>
      </c>
    </row>
    <row r="28" spans="1:20" ht="14.1" customHeight="1" outlineLevel="3" x14ac:dyDescent="0.2">
      <c r="A28" t="str">
        <f t="shared" si="0"/>
        <v/>
      </c>
      <c r="E28" s="1"/>
      <c r="F28" s="1"/>
      <c r="G28" s="2"/>
      <c r="I28" s="2"/>
      <c r="P28" t="str">
        <f t="shared" si="1"/>
        <v/>
      </c>
      <c r="Q28" t="str">
        <f t="shared" si="2"/>
        <v/>
      </c>
      <c r="R28" t="str">
        <f t="shared" si="3"/>
        <v/>
      </c>
      <c r="T28">
        <f t="shared" si="4"/>
        <v>2985</v>
      </c>
    </row>
    <row r="29" spans="1:20" ht="14.1" customHeight="1" outlineLevel="3" x14ac:dyDescent="0.2">
      <c r="A29" t="str">
        <f t="shared" si="0"/>
        <v/>
      </c>
      <c r="E29" s="1"/>
      <c r="F29" s="1"/>
      <c r="G29" s="2"/>
      <c r="I29" s="2"/>
      <c r="P29" t="str">
        <f t="shared" si="1"/>
        <v/>
      </c>
      <c r="Q29" t="str">
        <f t="shared" si="2"/>
        <v/>
      </c>
      <c r="R29" t="str">
        <f t="shared" si="3"/>
        <v/>
      </c>
      <c r="T29">
        <f t="shared" si="4"/>
        <v>2985</v>
      </c>
    </row>
    <row r="30" spans="1:20" ht="14.1" customHeight="1" outlineLevel="3" x14ac:dyDescent="0.2">
      <c r="A30" t="str">
        <f t="shared" si="0"/>
        <v/>
      </c>
      <c r="E30" s="1"/>
      <c r="F30" s="1"/>
      <c r="G30" s="2"/>
      <c r="I30" s="2"/>
      <c r="P30" t="str">
        <f t="shared" si="1"/>
        <v/>
      </c>
      <c r="Q30" t="str">
        <f t="shared" si="2"/>
        <v/>
      </c>
      <c r="R30" t="str">
        <f t="shared" si="3"/>
        <v/>
      </c>
      <c r="T30">
        <f t="shared" si="4"/>
        <v>2985</v>
      </c>
    </row>
    <row r="31" spans="1:20" ht="14.1" customHeight="1" outlineLevel="3" x14ac:dyDescent="0.2">
      <c r="A31" t="str">
        <f t="shared" si="0"/>
        <v/>
      </c>
      <c r="E31" s="1"/>
      <c r="F31" s="1"/>
      <c r="G31" s="2"/>
      <c r="I31" s="2"/>
      <c r="P31" t="str">
        <f t="shared" si="1"/>
        <v/>
      </c>
      <c r="Q31" t="str">
        <f t="shared" si="2"/>
        <v/>
      </c>
      <c r="R31" t="str">
        <f t="shared" si="3"/>
        <v/>
      </c>
      <c r="T31">
        <f t="shared" si="4"/>
        <v>2985</v>
      </c>
    </row>
    <row r="32" spans="1:20" ht="14.1" customHeight="1" outlineLevel="3" x14ac:dyDescent="0.2">
      <c r="A32" t="str">
        <f t="shared" si="0"/>
        <v/>
      </c>
      <c r="E32" s="1"/>
      <c r="F32" s="1"/>
      <c r="G32" s="2"/>
      <c r="I32" s="2"/>
      <c r="P32" t="str">
        <f t="shared" si="1"/>
        <v/>
      </c>
      <c r="Q32" t="str">
        <f t="shared" si="2"/>
        <v/>
      </c>
      <c r="R32" t="str">
        <f t="shared" si="3"/>
        <v/>
      </c>
      <c r="T32">
        <f t="shared" si="4"/>
        <v>2985</v>
      </c>
    </row>
    <row r="33" spans="1:20" ht="14.1" customHeight="1" outlineLevel="3" x14ac:dyDescent="0.2">
      <c r="A33" t="str">
        <f t="shared" si="0"/>
        <v/>
      </c>
      <c r="E33" s="1"/>
      <c r="F33" s="1"/>
      <c r="G33" s="2"/>
      <c r="I33" s="2"/>
      <c r="P33" t="str">
        <f t="shared" si="1"/>
        <v/>
      </c>
      <c r="Q33" t="str">
        <f t="shared" si="2"/>
        <v/>
      </c>
      <c r="R33" t="str">
        <f t="shared" si="3"/>
        <v/>
      </c>
      <c r="T33">
        <f t="shared" si="4"/>
        <v>2985</v>
      </c>
    </row>
    <row r="34" spans="1:20" ht="14.1" customHeight="1" outlineLevel="3" x14ac:dyDescent="0.2">
      <c r="A34" t="str">
        <f t="shared" ref="A34:A65" si="5">IFERROR(IF(OR(K34="",I34=0),"",D34&amp;K34&amp;I34),"")</f>
        <v/>
      </c>
      <c r="E34" s="1"/>
      <c r="F34" s="1"/>
      <c r="G34" s="2"/>
      <c r="I34" s="2"/>
      <c r="P34" t="str">
        <f t="shared" si="1"/>
        <v/>
      </c>
      <c r="Q34" t="str">
        <f t="shared" si="2"/>
        <v/>
      </c>
      <c r="R34" t="str">
        <f t="shared" si="3"/>
        <v/>
      </c>
      <c r="T34">
        <f>COUNTIF($R$2:$R$2986,$R34&amp;D34)</f>
        <v>2985</v>
      </c>
    </row>
    <row r="35" spans="1:20" ht="14.1" customHeight="1" outlineLevel="3" x14ac:dyDescent="0.2">
      <c r="A35" t="str">
        <f t="shared" si="5"/>
        <v/>
      </c>
      <c r="E35" s="1"/>
      <c r="F35" s="1"/>
      <c r="G35" s="2"/>
      <c r="I35" s="2"/>
      <c r="P35" t="str">
        <f t="shared" si="1"/>
        <v/>
      </c>
      <c r="Q35" t="str">
        <f t="shared" si="2"/>
        <v/>
      </c>
      <c r="R35" t="str">
        <f t="shared" si="3"/>
        <v/>
      </c>
      <c r="T35">
        <f t="shared" si="4"/>
        <v>2985</v>
      </c>
    </row>
    <row r="36" spans="1:20" ht="14.1" customHeight="1" outlineLevel="3" x14ac:dyDescent="0.2">
      <c r="A36" t="str">
        <f t="shared" si="5"/>
        <v/>
      </c>
      <c r="E36" s="1"/>
      <c r="F36" s="1"/>
      <c r="G36" s="2"/>
      <c r="I36" s="2"/>
      <c r="P36" t="str">
        <f t="shared" si="1"/>
        <v/>
      </c>
      <c r="Q36" t="str">
        <f t="shared" si="2"/>
        <v/>
      </c>
      <c r="R36" t="str">
        <f t="shared" si="3"/>
        <v/>
      </c>
      <c r="T36">
        <f t="shared" si="4"/>
        <v>2985</v>
      </c>
    </row>
    <row r="37" spans="1:20" ht="14.1" customHeight="1" outlineLevel="3" x14ac:dyDescent="0.2">
      <c r="A37" t="str">
        <f t="shared" si="5"/>
        <v/>
      </c>
      <c r="E37" s="1"/>
      <c r="F37" s="1"/>
      <c r="G37" s="2"/>
      <c r="I37" s="2"/>
      <c r="P37" t="str">
        <f t="shared" si="1"/>
        <v/>
      </c>
      <c r="Q37" t="str">
        <f t="shared" si="2"/>
        <v/>
      </c>
      <c r="R37" t="str">
        <f t="shared" si="3"/>
        <v/>
      </c>
      <c r="T37">
        <f t="shared" si="4"/>
        <v>2985</v>
      </c>
    </row>
    <row r="38" spans="1:20" ht="14.1" customHeight="1" outlineLevel="3" x14ac:dyDescent="0.2">
      <c r="A38" t="str">
        <f t="shared" si="5"/>
        <v/>
      </c>
      <c r="E38" s="1"/>
      <c r="F38" s="1"/>
      <c r="G38" s="2"/>
      <c r="I38" s="2"/>
      <c r="P38" t="str">
        <f t="shared" si="1"/>
        <v/>
      </c>
      <c r="Q38" t="str">
        <f t="shared" si="2"/>
        <v/>
      </c>
      <c r="R38" t="str">
        <f t="shared" si="3"/>
        <v/>
      </c>
      <c r="T38">
        <f t="shared" si="4"/>
        <v>2985</v>
      </c>
    </row>
    <row r="39" spans="1:20" ht="14.1" customHeight="1" outlineLevel="3" x14ac:dyDescent="0.2">
      <c r="A39" t="str">
        <f t="shared" si="5"/>
        <v/>
      </c>
      <c r="E39" s="1"/>
      <c r="F39" s="1"/>
      <c r="G39" s="2"/>
      <c r="I39" s="2"/>
      <c r="P39" t="str">
        <f t="shared" si="1"/>
        <v/>
      </c>
      <c r="Q39" t="str">
        <f t="shared" si="2"/>
        <v/>
      </c>
      <c r="R39" t="str">
        <f t="shared" si="3"/>
        <v/>
      </c>
      <c r="T39">
        <f t="shared" si="4"/>
        <v>2985</v>
      </c>
    </row>
    <row r="40" spans="1:20" ht="14.1" customHeight="1" outlineLevel="3" x14ac:dyDescent="0.2">
      <c r="A40" t="str">
        <f t="shared" si="5"/>
        <v/>
      </c>
      <c r="E40" s="1"/>
      <c r="F40" s="1"/>
      <c r="G40" s="2"/>
      <c r="I40" s="2"/>
      <c r="P40" t="str">
        <f t="shared" si="1"/>
        <v/>
      </c>
      <c r="Q40" t="str">
        <f t="shared" si="2"/>
        <v/>
      </c>
      <c r="R40" t="str">
        <f t="shared" si="3"/>
        <v/>
      </c>
      <c r="T40">
        <f t="shared" si="4"/>
        <v>2985</v>
      </c>
    </row>
    <row r="41" spans="1:20" ht="14.1" customHeight="1" outlineLevel="3" x14ac:dyDescent="0.2">
      <c r="A41" t="str">
        <f t="shared" si="5"/>
        <v/>
      </c>
      <c r="E41" s="1"/>
      <c r="F41" s="1"/>
      <c r="G41" s="2"/>
      <c r="I41" s="2"/>
      <c r="P41" t="str">
        <f t="shared" si="1"/>
        <v/>
      </c>
      <c r="Q41" t="str">
        <f t="shared" si="2"/>
        <v/>
      </c>
      <c r="R41" t="str">
        <f t="shared" si="3"/>
        <v/>
      </c>
      <c r="T41">
        <f t="shared" si="4"/>
        <v>2985</v>
      </c>
    </row>
    <row r="42" spans="1:20" ht="14.1" customHeight="1" outlineLevel="3" x14ac:dyDescent="0.2">
      <c r="A42" t="str">
        <f t="shared" si="5"/>
        <v/>
      </c>
      <c r="E42" s="1"/>
      <c r="F42" s="1"/>
      <c r="G42" s="2"/>
      <c r="I42" s="2"/>
      <c r="P42" t="str">
        <f t="shared" si="1"/>
        <v/>
      </c>
      <c r="Q42" t="str">
        <f t="shared" si="2"/>
        <v/>
      </c>
      <c r="R42" t="str">
        <f t="shared" si="3"/>
        <v/>
      </c>
      <c r="T42">
        <f t="shared" si="4"/>
        <v>2985</v>
      </c>
    </row>
    <row r="43" spans="1:20" ht="14.1" customHeight="1" outlineLevel="3" x14ac:dyDescent="0.2">
      <c r="A43" t="str">
        <f t="shared" si="5"/>
        <v/>
      </c>
      <c r="E43" s="1"/>
      <c r="F43" s="1"/>
      <c r="G43" s="2"/>
      <c r="I43" s="2"/>
      <c r="P43" t="str">
        <f t="shared" si="1"/>
        <v/>
      </c>
      <c r="Q43" t="str">
        <f t="shared" si="2"/>
        <v/>
      </c>
      <c r="R43" t="str">
        <f t="shared" si="3"/>
        <v/>
      </c>
      <c r="T43">
        <f t="shared" si="4"/>
        <v>2985</v>
      </c>
    </row>
    <row r="44" spans="1:20" ht="14.1" customHeight="1" outlineLevel="3" x14ac:dyDescent="0.2">
      <c r="A44" t="str">
        <f t="shared" si="5"/>
        <v/>
      </c>
      <c r="E44" s="1"/>
      <c r="F44" s="1"/>
      <c r="G44" s="2"/>
      <c r="I44" s="2"/>
      <c r="P44" t="str">
        <f t="shared" si="1"/>
        <v/>
      </c>
      <c r="Q44" t="str">
        <f t="shared" si="2"/>
        <v/>
      </c>
      <c r="R44" t="str">
        <f t="shared" si="3"/>
        <v/>
      </c>
      <c r="T44">
        <f t="shared" si="4"/>
        <v>2985</v>
      </c>
    </row>
    <row r="45" spans="1:20" ht="14.1" customHeight="1" outlineLevel="3" x14ac:dyDescent="0.2">
      <c r="A45" t="str">
        <f t="shared" si="5"/>
        <v/>
      </c>
      <c r="E45" s="1"/>
      <c r="F45" s="1"/>
      <c r="G45" s="2"/>
      <c r="I45" s="2"/>
      <c r="P45" t="str">
        <f t="shared" si="1"/>
        <v/>
      </c>
      <c r="Q45" t="str">
        <f t="shared" si="2"/>
        <v/>
      </c>
      <c r="R45" t="str">
        <f t="shared" si="3"/>
        <v/>
      </c>
      <c r="T45">
        <f t="shared" si="4"/>
        <v>2985</v>
      </c>
    </row>
    <row r="46" spans="1:20" ht="14.1" customHeight="1" outlineLevel="3" x14ac:dyDescent="0.2">
      <c r="A46" t="str">
        <f t="shared" si="5"/>
        <v/>
      </c>
      <c r="E46" s="1"/>
      <c r="F46" s="1"/>
      <c r="G46" s="2"/>
      <c r="I46" s="2"/>
      <c r="P46" t="str">
        <f t="shared" si="1"/>
        <v/>
      </c>
      <c r="Q46" t="str">
        <f t="shared" si="2"/>
        <v/>
      </c>
      <c r="R46" t="str">
        <f t="shared" si="3"/>
        <v/>
      </c>
      <c r="T46">
        <f t="shared" si="4"/>
        <v>2985</v>
      </c>
    </row>
    <row r="47" spans="1:20" ht="14.1" customHeight="1" outlineLevel="3" x14ac:dyDescent="0.2">
      <c r="A47" t="str">
        <f t="shared" si="5"/>
        <v/>
      </c>
      <c r="E47" s="1"/>
      <c r="F47" s="1"/>
      <c r="G47" s="2"/>
      <c r="I47" s="2"/>
      <c r="P47" t="str">
        <f t="shared" si="1"/>
        <v/>
      </c>
      <c r="Q47" t="str">
        <f t="shared" si="2"/>
        <v/>
      </c>
      <c r="R47" t="str">
        <f t="shared" si="3"/>
        <v/>
      </c>
      <c r="T47">
        <f t="shared" si="4"/>
        <v>2985</v>
      </c>
    </row>
    <row r="48" spans="1:20" ht="14.1" customHeight="1" outlineLevel="3" x14ac:dyDescent="0.2">
      <c r="A48" t="str">
        <f t="shared" si="5"/>
        <v/>
      </c>
      <c r="E48" s="1"/>
      <c r="F48" s="1"/>
      <c r="G48" s="2"/>
      <c r="I48" s="2"/>
      <c r="P48" t="str">
        <f t="shared" si="1"/>
        <v/>
      </c>
      <c r="Q48" t="str">
        <f t="shared" si="2"/>
        <v/>
      </c>
      <c r="R48" t="str">
        <f t="shared" si="3"/>
        <v/>
      </c>
      <c r="T48">
        <f t="shared" si="4"/>
        <v>2985</v>
      </c>
    </row>
    <row r="49" spans="1:20" ht="14.1" customHeight="1" outlineLevel="3" x14ac:dyDescent="0.2">
      <c r="A49" t="str">
        <f t="shared" si="5"/>
        <v/>
      </c>
      <c r="E49" s="1"/>
      <c r="F49" s="1"/>
      <c r="G49" s="2"/>
      <c r="I49" s="2"/>
      <c r="P49" t="str">
        <f t="shared" si="1"/>
        <v/>
      </c>
      <c r="Q49" t="str">
        <f t="shared" si="2"/>
        <v/>
      </c>
      <c r="R49" t="str">
        <f t="shared" si="3"/>
        <v/>
      </c>
      <c r="T49">
        <f t="shared" si="4"/>
        <v>2985</v>
      </c>
    </row>
    <row r="50" spans="1:20" ht="14.1" customHeight="1" outlineLevel="3" x14ac:dyDescent="0.2">
      <c r="A50" t="str">
        <f t="shared" si="5"/>
        <v/>
      </c>
      <c r="E50" s="1"/>
      <c r="F50" s="1"/>
      <c r="G50" s="2"/>
      <c r="I50" s="2"/>
      <c r="P50" t="str">
        <f t="shared" si="1"/>
        <v/>
      </c>
      <c r="Q50" t="str">
        <f t="shared" si="2"/>
        <v/>
      </c>
      <c r="R50" t="str">
        <f t="shared" si="3"/>
        <v/>
      </c>
      <c r="T50">
        <f t="shared" si="4"/>
        <v>2985</v>
      </c>
    </row>
    <row r="51" spans="1:20" ht="14.1" customHeight="1" outlineLevel="3" x14ac:dyDescent="0.2">
      <c r="A51" t="str">
        <f t="shared" si="5"/>
        <v/>
      </c>
      <c r="E51" s="1"/>
      <c r="F51" s="1"/>
      <c r="G51" s="2"/>
      <c r="I51" s="2"/>
      <c r="P51" t="str">
        <f t="shared" si="1"/>
        <v/>
      </c>
      <c r="Q51" t="str">
        <f t="shared" si="2"/>
        <v/>
      </c>
      <c r="R51" t="str">
        <f t="shared" si="3"/>
        <v/>
      </c>
      <c r="T51">
        <f t="shared" si="4"/>
        <v>2985</v>
      </c>
    </row>
    <row r="52" spans="1:20" ht="14.1" customHeight="1" outlineLevel="3" x14ac:dyDescent="0.2">
      <c r="A52" t="str">
        <f t="shared" si="5"/>
        <v/>
      </c>
      <c r="E52" s="1"/>
      <c r="F52" s="1"/>
      <c r="G52" s="2"/>
      <c r="I52" s="2"/>
      <c r="P52" t="str">
        <f t="shared" si="1"/>
        <v/>
      </c>
      <c r="Q52" t="str">
        <f t="shared" si="2"/>
        <v/>
      </c>
      <c r="R52" t="str">
        <f t="shared" si="3"/>
        <v/>
      </c>
      <c r="T52">
        <f t="shared" si="4"/>
        <v>2985</v>
      </c>
    </row>
    <row r="53" spans="1:20" ht="14.1" customHeight="1" outlineLevel="3" x14ac:dyDescent="0.2">
      <c r="A53" t="str">
        <f t="shared" si="5"/>
        <v/>
      </c>
      <c r="E53" s="1"/>
      <c r="F53" s="1"/>
      <c r="G53" s="2"/>
      <c r="I53" s="2"/>
      <c r="P53" t="str">
        <f t="shared" si="1"/>
        <v/>
      </c>
      <c r="Q53" t="str">
        <f t="shared" si="2"/>
        <v/>
      </c>
      <c r="R53" t="str">
        <f t="shared" si="3"/>
        <v/>
      </c>
      <c r="T53">
        <f t="shared" si="4"/>
        <v>2985</v>
      </c>
    </row>
    <row r="54" spans="1:20" ht="14.1" customHeight="1" outlineLevel="3" x14ac:dyDescent="0.2">
      <c r="A54" t="str">
        <f t="shared" si="5"/>
        <v/>
      </c>
      <c r="E54" s="1"/>
      <c r="F54" s="1"/>
      <c r="G54" s="2"/>
      <c r="I54" s="2"/>
      <c r="P54" t="str">
        <f t="shared" si="1"/>
        <v/>
      </c>
      <c r="Q54" t="str">
        <f t="shared" si="2"/>
        <v/>
      </c>
      <c r="R54" t="str">
        <f t="shared" si="3"/>
        <v/>
      </c>
      <c r="T54">
        <f t="shared" si="4"/>
        <v>2985</v>
      </c>
    </row>
    <row r="55" spans="1:20" ht="14.1" customHeight="1" outlineLevel="3" x14ac:dyDescent="0.2">
      <c r="A55" t="str">
        <f t="shared" si="5"/>
        <v/>
      </c>
      <c r="E55" s="1"/>
      <c r="F55" s="1"/>
      <c r="G55" s="2"/>
      <c r="I55" s="2"/>
      <c r="P55" t="str">
        <f t="shared" si="1"/>
        <v/>
      </c>
      <c r="Q55" t="str">
        <f t="shared" si="2"/>
        <v/>
      </c>
      <c r="R55" t="str">
        <f t="shared" si="3"/>
        <v/>
      </c>
      <c r="T55">
        <f t="shared" si="4"/>
        <v>2985</v>
      </c>
    </row>
    <row r="56" spans="1:20" outlineLevel="2" x14ac:dyDescent="0.2">
      <c r="A56" t="str">
        <f t="shared" si="5"/>
        <v/>
      </c>
      <c r="E56" s="1"/>
      <c r="F56" s="1"/>
      <c r="G56" s="2"/>
      <c r="I56" s="2"/>
      <c r="P56" t="str">
        <f t="shared" si="1"/>
        <v/>
      </c>
      <c r="Q56" t="str">
        <f t="shared" si="2"/>
        <v/>
      </c>
      <c r="R56" t="str">
        <f t="shared" si="3"/>
        <v/>
      </c>
      <c r="T56">
        <f t="shared" si="4"/>
        <v>2985</v>
      </c>
    </row>
    <row r="57" spans="1:20" ht="14.1" customHeight="1" outlineLevel="3" x14ac:dyDescent="0.2">
      <c r="A57" t="str">
        <f t="shared" si="5"/>
        <v/>
      </c>
      <c r="E57" s="1"/>
      <c r="F57" s="1"/>
      <c r="G57" s="2"/>
      <c r="I57" s="2"/>
      <c r="P57" t="str">
        <f t="shared" si="1"/>
        <v/>
      </c>
      <c r="Q57" t="str">
        <f t="shared" si="2"/>
        <v/>
      </c>
      <c r="R57" t="str">
        <f t="shared" si="3"/>
        <v/>
      </c>
      <c r="T57">
        <f t="shared" si="4"/>
        <v>2985</v>
      </c>
    </row>
    <row r="58" spans="1:20" ht="14.1" customHeight="1" outlineLevel="3" x14ac:dyDescent="0.2">
      <c r="A58" t="str">
        <f t="shared" si="5"/>
        <v/>
      </c>
      <c r="E58" s="1"/>
      <c r="F58" s="1"/>
      <c r="G58" s="2"/>
      <c r="I58" s="2"/>
      <c r="P58" t="str">
        <f t="shared" si="1"/>
        <v/>
      </c>
      <c r="Q58" t="str">
        <f t="shared" si="2"/>
        <v/>
      </c>
      <c r="R58" t="str">
        <f t="shared" si="3"/>
        <v/>
      </c>
      <c r="T58">
        <f t="shared" si="4"/>
        <v>2985</v>
      </c>
    </row>
    <row r="59" spans="1:20" ht="14.1" customHeight="1" outlineLevel="3" x14ac:dyDescent="0.2">
      <c r="A59" t="str">
        <f t="shared" si="5"/>
        <v/>
      </c>
      <c r="E59" s="1"/>
      <c r="F59" s="1"/>
      <c r="G59" s="2"/>
      <c r="I59" s="2"/>
      <c r="P59" t="str">
        <f t="shared" si="1"/>
        <v/>
      </c>
      <c r="Q59" t="str">
        <f t="shared" si="2"/>
        <v/>
      </c>
      <c r="R59" t="str">
        <f t="shared" si="3"/>
        <v/>
      </c>
      <c r="T59">
        <f t="shared" si="4"/>
        <v>2985</v>
      </c>
    </row>
    <row r="60" spans="1:20" ht="14.1" customHeight="1" outlineLevel="3" x14ac:dyDescent="0.2">
      <c r="A60" t="str">
        <f t="shared" si="5"/>
        <v/>
      </c>
      <c r="E60" s="1"/>
      <c r="F60" s="1"/>
      <c r="G60" s="2"/>
      <c r="I60" s="2"/>
      <c r="P60" t="str">
        <f t="shared" si="1"/>
        <v/>
      </c>
      <c r="Q60" t="str">
        <f t="shared" si="2"/>
        <v/>
      </c>
      <c r="R60" t="str">
        <f t="shared" si="3"/>
        <v/>
      </c>
      <c r="T60">
        <f t="shared" si="4"/>
        <v>2985</v>
      </c>
    </row>
    <row r="61" spans="1:20" ht="14.1" customHeight="1" outlineLevel="3" x14ac:dyDescent="0.2">
      <c r="A61" t="str">
        <f t="shared" si="5"/>
        <v/>
      </c>
      <c r="E61" s="1"/>
      <c r="F61" s="1"/>
      <c r="G61" s="2"/>
      <c r="I61" s="2"/>
      <c r="P61" t="str">
        <f t="shared" si="1"/>
        <v/>
      </c>
      <c r="Q61" t="str">
        <f t="shared" si="2"/>
        <v/>
      </c>
      <c r="R61" t="str">
        <f t="shared" si="3"/>
        <v/>
      </c>
      <c r="T61">
        <f t="shared" si="4"/>
        <v>2985</v>
      </c>
    </row>
    <row r="62" spans="1:20" ht="14.1" customHeight="1" outlineLevel="3" x14ac:dyDescent="0.2">
      <c r="A62" t="str">
        <f t="shared" si="5"/>
        <v/>
      </c>
      <c r="E62" s="1"/>
      <c r="F62" s="1"/>
      <c r="G62" s="2"/>
      <c r="I62" s="2"/>
      <c r="P62" t="str">
        <f t="shared" si="1"/>
        <v/>
      </c>
      <c r="Q62" t="str">
        <f t="shared" si="2"/>
        <v/>
      </c>
      <c r="R62" t="str">
        <f t="shared" si="3"/>
        <v/>
      </c>
      <c r="T62">
        <f t="shared" si="4"/>
        <v>2985</v>
      </c>
    </row>
    <row r="63" spans="1:20" ht="14.1" customHeight="1" outlineLevel="3" x14ac:dyDescent="0.2">
      <c r="A63" t="str">
        <f t="shared" si="5"/>
        <v/>
      </c>
      <c r="E63" s="1"/>
      <c r="F63" s="1"/>
      <c r="G63" s="2"/>
      <c r="I63" s="2"/>
      <c r="P63" t="str">
        <f t="shared" si="1"/>
        <v/>
      </c>
      <c r="Q63" t="str">
        <f t="shared" si="2"/>
        <v/>
      </c>
      <c r="R63" t="str">
        <f t="shared" si="3"/>
        <v/>
      </c>
      <c r="T63">
        <f t="shared" si="4"/>
        <v>2985</v>
      </c>
    </row>
    <row r="64" spans="1:20" ht="14.1" customHeight="1" outlineLevel="3" x14ac:dyDescent="0.2">
      <c r="A64" t="str">
        <f t="shared" si="5"/>
        <v/>
      </c>
      <c r="E64" s="1"/>
      <c r="F64" s="1"/>
      <c r="G64" s="2"/>
      <c r="I64" s="2"/>
      <c r="P64" t="str">
        <f t="shared" si="1"/>
        <v/>
      </c>
      <c r="Q64" t="str">
        <f t="shared" si="2"/>
        <v/>
      </c>
      <c r="R64" t="str">
        <f t="shared" si="3"/>
        <v/>
      </c>
      <c r="T64">
        <f t="shared" si="4"/>
        <v>2985</v>
      </c>
    </row>
    <row r="65" spans="1:20" ht="14.1" customHeight="1" outlineLevel="3" x14ac:dyDescent="0.2">
      <c r="A65" t="str">
        <f t="shared" si="5"/>
        <v/>
      </c>
      <c r="E65" s="1"/>
      <c r="F65" s="1"/>
      <c r="G65" s="2"/>
      <c r="I65" s="2"/>
      <c r="P65" t="str">
        <f t="shared" si="1"/>
        <v/>
      </c>
      <c r="Q65" t="str">
        <f t="shared" si="2"/>
        <v/>
      </c>
      <c r="R65" t="str">
        <f t="shared" si="3"/>
        <v/>
      </c>
      <c r="T65">
        <f t="shared" si="4"/>
        <v>2985</v>
      </c>
    </row>
    <row r="66" spans="1:20" ht="14.1" customHeight="1" outlineLevel="3" x14ac:dyDescent="0.2">
      <c r="A66" t="str">
        <f t="shared" ref="A66:A97" si="6">IFERROR(IF(OR(K66="",I66=0),"",D66&amp;K66&amp;I66),"")</f>
        <v/>
      </c>
      <c r="E66" s="1"/>
      <c r="F66" s="1"/>
      <c r="G66" s="2"/>
      <c r="I66" s="2"/>
      <c r="P66" t="str">
        <f t="shared" si="1"/>
        <v/>
      </c>
      <c r="Q66" t="str">
        <f t="shared" si="2"/>
        <v/>
      </c>
      <c r="R66" t="str">
        <f t="shared" si="3"/>
        <v/>
      </c>
      <c r="T66">
        <f t="shared" si="4"/>
        <v>2985</v>
      </c>
    </row>
    <row r="67" spans="1:20" ht="14.1" customHeight="1" outlineLevel="3" x14ac:dyDescent="0.2">
      <c r="A67" t="str">
        <f t="shared" si="6"/>
        <v/>
      </c>
      <c r="E67" s="1"/>
      <c r="F67" s="1"/>
      <c r="G67" s="2"/>
      <c r="I67" s="2"/>
      <c r="P67" t="str">
        <f t="shared" ref="P67:P130" si="7">IF(OR(K67="",K67=0),"",D67&amp;N67&amp;K67&amp;M67&amp;F67)</f>
        <v/>
      </c>
      <c r="Q67" t="str">
        <f t="shared" ref="Q67:Q130" si="8">IF(P67="","",COUNTIF($P$2:$P$1448,$P67))</f>
        <v/>
      </c>
      <c r="R67" t="str">
        <f t="shared" ref="R67:R130" si="9">G67&amp;K67&amp;N67</f>
        <v/>
      </c>
      <c r="T67">
        <f t="shared" ref="T67:T130" si="10">COUNTIF($R$2:$R$2986,$R67)</f>
        <v>2985</v>
      </c>
    </row>
    <row r="68" spans="1:20" ht="14.1" customHeight="1" outlineLevel="3" x14ac:dyDescent="0.2">
      <c r="A68" t="str">
        <f t="shared" si="6"/>
        <v/>
      </c>
      <c r="E68" s="1"/>
      <c r="F68" s="1"/>
      <c r="G68" s="2"/>
      <c r="I68" s="2"/>
      <c r="P68" t="str">
        <f t="shared" si="7"/>
        <v/>
      </c>
      <c r="Q68" t="str">
        <f t="shared" si="8"/>
        <v/>
      </c>
      <c r="R68" t="str">
        <f t="shared" si="9"/>
        <v/>
      </c>
      <c r="T68">
        <f t="shared" si="10"/>
        <v>2985</v>
      </c>
    </row>
    <row r="69" spans="1:20" ht="14.1" customHeight="1" outlineLevel="3" x14ac:dyDescent="0.2">
      <c r="A69" t="str">
        <f t="shared" si="6"/>
        <v/>
      </c>
      <c r="E69" s="1"/>
      <c r="F69" s="1"/>
      <c r="G69" s="2"/>
      <c r="I69" s="2"/>
      <c r="P69" t="str">
        <f t="shared" si="7"/>
        <v/>
      </c>
      <c r="Q69" t="str">
        <f t="shared" si="8"/>
        <v/>
      </c>
      <c r="R69" t="str">
        <f t="shared" si="9"/>
        <v/>
      </c>
      <c r="T69">
        <f t="shared" si="10"/>
        <v>2985</v>
      </c>
    </row>
    <row r="70" spans="1:20" ht="14.1" customHeight="1" outlineLevel="3" x14ac:dyDescent="0.2">
      <c r="A70" t="str">
        <f t="shared" si="6"/>
        <v/>
      </c>
      <c r="E70" s="1"/>
      <c r="F70" s="1"/>
      <c r="G70" s="2"/>
      <c r="I70" s="2"/>
      <c r="P70" t="str">
        <f t="shared" si="7"/>
        <v/>
      </c>
      <c r="Q70" t="str">
        <f t="shared" si="8"/>
        <v/>
      </c>
      <c r="R70" t="str">
        <f t="shared" si="9"/>
        <v/>
      </c>
      <c r="T70">
        <f t="shared" si="10"/>
        <v>2985</v>
      </c>
    </row>
    <row r="71" spans="1:20" ht="14.1" customHeight="1" outlineLevel="3" x14ac:dyDescent="0.2">
      <c r="A71" t="str">
        <f t="shared" si="6"/>
        <v/>
      </c>
      <c r="E71" s="1"/>
      <c r="F71" s="1"/>
      <c r="G71" s="2"/>
      <c r="I71" s="2"/>
      <c r="P71" t="str">
        <f t="shared" si="7"/>
        <v/>
      </c>
      <c r="Q71" t="str">
        <f t="shared" si="8"/>
        <v/>
      </c>
      <c r="R71" t="str">
        <f t="shared" si="9"/>
        <v/>
      </c>
      <c r="T71">
        <f t="shared" si="10"/>
        <v>2985</v>
      </c>
    </row>
    <row r="72" spans="1:20" ht="14.1" customHeight="1" outlineLevel="3" x14ac:dyDescent="0.2">
      <c r="A72" t="str">
        <f t="shared" si="6"/>
        <v/>
      </c>
      <c r="E72" s="1"/>
      <c r="F72" s="1"/>
      <c r="G72" s="2"/>
      <c r="I72" s="2"/>
      <c r="P72" t="str">
        <f t="shared" si="7"/>
        <v/>
      </c>
      <c r="Q72" t="str">
        <f t="shared" si="8"/>
        <v/>
      </c>
      <c r="R72" t="str">
        <f t="shared" si="9"/>
        <v/>
      </c>
      <c r="T72">
        <f t="shared" si="10"/>
        <v>2985</v>
      </c>
    </row>
    <row r="73" spans="1:20" ht="14.1" customHeight="1" outlineLevel="3" x14ac:dyDescent="0.2">
      <c r="A73" t="str">
        <f t="shared" si="6"/>
        <v/>
      </c>
      <c r="E73" s="1"/>
      <c r="F73" s="1"/>
      <c r="G73" s="2"/>
      <c r="I73" s="2"/>
      <c r="P73" t="str">
        <f t="shared" si="7"/>
        <v/>
      </c>
      <c r="Q73" t="str">
        <f t="shared" si="8"/>
        <v/>
      </c>
      <c r="R73" t="str">
        <f t="shared" si="9"/>
        <v/>
      </c>
      <c r="T73">
        <f t="shared" si="10"/>
        <v>2985</v>
      </c>
    </row>
    <row r="74" spans="1:20" ht="14.1" customHeight="1" outlineLevel="3" x14ac:dyDescent="0.2">
      <c r="A74" t="str">
        <f t="shared" si="6"/>
        <v/>
      </c>
      <c r="E74" s="1"/>
      <c r="F74" s="1"/>
      <c r="G74" s="2"/>
      <c r="I74" s="2"/>
      <c r="P74" t="str">
        <f t="shared" si="7"/>
        <v/>
      </c>
      <c r="Q74" t="str">
        <f t="shared" si="8"/>
        <v/>
      </c>
      <c r="R74" t="str">
        <f t="shared" si="9"/>
        <v/>
      </c>
      <c r="T74">
        <f t="shared" si="10"/>
        <v>2985</v>
      </c>
    </row>
    <row r="75" spans="1:20" ht="14.1" customHeight="1" outlineLevel="3" x14ac:dyDescent="0.2">
      <c r="A75" t="str">
        <f t="shared" si="6"/>
        <v/>
      </c>
      <c r="E75" s="1"/>
      <c r="F75" s="1"/>
      <c r="G75" s="2"/>
      <c r="I75" s="2"/>
      <c r="P75" t="str">
        <f t="shared" si="7"/>
        <v/>
      </c>
      <c r="Q75" t="str">
        <f t="shared" si="8"/>
        <v/>
      </c>
      <c r="R75" t="str">
        <f t="shared" si="9"/>
        <v/>
      </c>
      <c r="T75">
        <f t="shared" si="10"/>
        <v>2985</v>
      </c>
    </row>
    <row r="76" spans="1:20" ht="14.1" customHeight="1" outlineLevel="3" x14ac:dyDescent="0.2">
      <c r="A76" t="str">
        <f t="shared" si="6"/>
        <v/>
      </c>
      <c r="E76" s="1"/>
      <c r="F76" s="1"/>
      <c r="G76" s="2"/>
      <c r="I76" s="2"/>
      <c r="P76" t="str">
        <f t="shared" si="7"/>
        <v/>
      </c>
      <c r="Q76" t="str">
        <f t="shared" si="8"/>
        <v/>
      </c>
      <c r="R76" t="str">
        <f t="shared" si="9"/>
        <v/>
      </c>
      <c r="T76">
        <f t="shared" si="10"/>
        <v>2985</v>
      </c>
    </row>
    <row r="77" spans="1:20" ht="14.1" customHeight="1" outlineLevel="3" x14ac:dyDescent="0.2">
      <c r="A77" t="str">
        <f t="shared" si="6"/>
        <v/>
      </c>
      <c r="E77" s="1"/>
      <c r="F77" s="1"/>
      <c r="G77" s="2"/>
      <c r="I77" s="2"/>
      <c r="P77" t="str">
        <f t="shared" si="7"/>
        <v/>
      </c>
      <c r="Q77" t="str">
        <f t="shared" si="8"/>
        <v/>
      </c>
      <c r="R77" t="str">
        <f t="shared" si="9"/>
        <v/>
      </c>
      <c r="T77">
        <f t="shared" si="10"/>
        <v>2985</v>
      </c>
    </row>
    <row r="78" spans="1:20" outlineLevel="2" x14ac:dyDescent="0.2">
      <c r="A78" t="str">
        <f t="shared" si="6"/>
        <v/>
      </c>
      <c r="E78" s="1"/>
      <c r="F78" s="1"/>
      <c r="G78" s="2"/>
      <c r="I78" s="2"/>
      <c r="P78" t="str">
        <f t="shared" si="7"/>
        <v/>
      </c>
      <c r="Q78" t="str">
        <f t="shared" si="8"/>
        <v/>
      </c>
      <c r="R78" t="str">
        <f t="shared" si="9"/>
        <v/>
      </c>
      <c r="T78">
        <f t="shared" si="10"/>
        <v>2985</v>
      </c>
    </row>
    <row r="79" spans="1:20" ht="14.1" customHeight="1" outlineLevel="3" x14ac:dyDescent="0.2">
      <c r="A79" t="str">
        <f t="shared" si="6"/>
        <v/>
      </c>
      <c r="E79" s="1"/>
      <c r="F79" s="1"/>
      <c r="G79" s="2"/>
      <c r="I79" s="2"/>
      <c r="P79" t="str">
        <f t="shared" si="7"/>
        <v/>
      </c>
      <c r="Q79" t="str">
        <f t="shared" si="8"/>
        <v/>
      </c>
      <c r="R79" t="str">
        <f t="shared" si="9"/>
        <v/>
      </c>
      <c r="T79">
        <f t="shared" si="10"/>
        <v>2985</v>
      </c>
    </row>
    <row r="80" spans="1:20" ht="14.1" customHeight="1" outlineLevel="3" x14ac:dyDescent="0.2">
      <c r="A80" t="str">
        <f t="shared" si="6"/>
        <v/>
      </c>
      <c r="E80" s="1"/>
      <c r="F80" s="1"/>
      <c r="G80" s="2"/>
      <c r="I80" s="2"/>
      <c r="P80" t="str">
        <f t="shared" si="7"/>
        <v/>
      </c>
      <c r="Q80" t="str">
        <f t="shared" si="8"/>
        <v/>
      </c>
      <c r="R80" t="str">
        <f t="shared" si="9"/>
        <v/>
      </c>
      <c r="T80">
        <f t="shared" si="10"/>
        <v>2985</v>
      </c>
    </row>
    <row r="81" spans="1:20" outlineLevel="2" x14ac:dyDescent="0.2">
      <c r="A81" t="str">
        <f t="shared" si="6"/>
        <v/>
      </c>
      <c r="E81" s="1"/>
      <c r="F81" s="1"/>
      <c r="G81" s="2"/>
      <c r="I81" s="2"/>
      <c r="P81" t="str">
        <f t="shared" si="7"/>
        <v/>
      </c>
      <c r="Q81" t="str">
        <f t="shared" si="8"/>
        <v/>
      </c>
      <c r="R81" t="str">
        <f t="shared" si="9"/>
        <v/>
      </c>
      <c r="T81">
        <f t="shared" si="10"/>
        <v>2985</v>
      </c>
    </row>
    <row r="82" spans="1:20" ht="14.1" customHeight="1" outlineLevel="3" x14ac:dyDescent="0.2">
      <c r="A82" t="str">
        <f t="shared" si="6"/>
        <v/>
      </c>
      <c r="E82" s="1"/>
      <c r="F82" s="1"/>
      <c r="G82" s="2"/>
      <c r="I82" s="2"/>
      <c r="P82" t="str">
        <f t="shared" si="7"/>
        <v/>
      </c>
      <c r="Q82" t="str">
        <f t="shared" si="8"/>
        <v/>
      </c>
      <c r="R82" t="str">
        <f t="shared" si="9"/>
        <v/>
      </c>
      <c r="T82">
        <f t="shared" si="10"/>
        <v>2985</v>
      </c>
    </row>
    <row r="83" spans="1:20" ht="14.1" customHeight="1" outlineLevel="3" x14ac:dyDescent="0.2">
      <c r="A83" t="str">
        <f t="shared" si="6"/>
        <v/>
      </c>
      <c r="E83" s="1"/>
      <c r="F83" s="1"/>
      <c r="G83" s="2"/>
      <c r="I83" s="2"/>
      <c r="P83" t="str">
        <f t="shared" si="7"/>
        <v/>
      </c>
      <c r="Q83" t="str">
        <f t="shared" si="8"/>
        <v/>
      </c>
      <c r="R83" t="str">
        <f t="shared" si="9"/>
        <v/>
      </c>
      <c r="T83">
        <f t="shared" si="10"/>
        <v>2985</v>
      </c>
    </row>
    <row r="84" spans="1:20" outlineLevel="2" x14ac:dyDescent="0.2">
      <c r="A84" t="str">
        <f t="shared" si="6"/>
        <v/>
      </c>
      <c r="E84" s="1"/>
      <c r="F84" s="1"/>
      <c r="G84" s="2"/>
      <c r="I84" s="2"/>
      <c r="P84" t="str">
        <f t="shared" si="7"/>
        <v/>
      </c>
      <c r="Q84" t="str">
        <f t="shared" si="8"/>
        <v/>
      </c>
      <c r="R84" t="str">
        <f t="shared" si="9"/>
        <v/>
      </c>
      <c r="T84">
        <f t="shared" si="10"/>
        <v>2985</v>
      </c>
    </row>
    <row r="85" spans="1:20" ht="14.1" customHeight="1" outlineLevel="3" x14ac:dyDescent="0.2">
      <c r="A85" t="str">
        <f t="shared" si="6"/>
        <v/>
      </c>
      <c r="E85" s="1"/>
      <c r="F85" s="1"/>
      <c r="G85" s="2"/>
      <c r="I85" s="2"/>
      <c r="P85" t="str">
        <f t="shared" si="7"/>
        <v/>
      </c>
      <c r="Q85" t="str">
        <f t="shared" si="8"/>
        <v/>
      </c>
      <c r="R85" t="str">
        <f t="shared" si="9"/>
        <v/>
      </c>
      <c r="T85">
        <f t="shared" si="10"/>
        <v>2985</v>
      </c>
    </row>
    <row r="86" spans="1:20" ht="14.1" customHeight="1" outlineLevel="3" x14ac:dyDescent="0.2">
      <c r="A86" t="str">
        <f t="shared" si="6"/>
        <v/>
      </c>
      <c r="E86" s="1"/>
      <c r="F86" s="1"/>
      <c r="G86" s="2"/>
      <c r="I86" s="2"/>
      <c r="P86" t="str">
        <f t="shared" si="7"/>
        <v/>
      </c>
      <c r="Q86" t="str">
        <f t="shared" si="8"/>
        <v/>
      </c>
      <c r="R86" t="str">
        <f t="shared" si="9"/>
        <v/>
      </c>
      <c r="T86">
        <f t="shared" si="10"/>
        <v>2985</v>
      </c>
    </row>
    <row r="87" spans="1:20" ht="14.1" customHeight="1" outlineLevel="3" x14ac:dyDescent="0.2">
      <c r="A87" t="str">
        <f t="shared" si="6"/>
        <v/>
      </c>
      <c r="E87" s="1"/>
      <c r="F87" s="1"/>
      <c r="G87" s="2"/>
      <c r="I87" s="2"/>
      <c r="P87" t="str">
        <f t="shared" si="7"/>
        <v/>
      </c>
      <c r="Q87" t="str">
        <f t="shared" si="8"/>
        <v/>
      </c>
      <c r="R87" t="str">
        <f t="shared" si="9"/>
        <v/>
      </c>
      <c r="T87">
        <f t="shared" si="10"/>
        <v>2985</v>
      </c>
    </row>
    <row r="88" spans="1:20" ht="14.1" customHeight="1" outlineLevel="3" x14ac:dyDescent="0.2">
      <c r="A88" t="str">
        <f t="shared" si="6"/>
        <v/>
      </c>
      <c r="E88" s="1"/>
      <c r="F88" s="1"/>
      <c r="G88" s="2"/>
      <c r="I88" s="2"/>
      <c r="P88" t="str">
        <f t="shared" si="7"/>
        <v/>
      </c>
      <c r="Q88" t="str">
        <f t="shared" si="8"/>
        <v/>
      </c>
      <c r="R88" t="str">
        <f t="shared" si="9"/>
        <v/>
      </c>
      <c r="T88">
        <f t="shared" si="10"/>
        <v>2985</v>
      </c>
    </row>
    <row r="89" spans="1:20" ht="14.1" customHeight="1" outlineLevel="3" x14ac:dyDescent="0.2">
      <c r="A89" t="str">
        <f t="shared" si="6"/>
        <v/>
      </c>
      <c r="E89" s="1"/>
      <c r="F89" s="1"/>
      <c r="G89" s="2"/>
      <c r="I89" s="2"/>
      <c r="P89" t="str">
        <f t="shared" si="7"/>
        <v/>
      </c>
      <c r="Q89" t="str">
        <f t="shared" si="8"/>
        <v/>
      </c>
      <c r="R89" t="str">
        <f t="shared" si="9"/>
        <v/>
      </c>
      <c r="T89">
        <f t="shared" si="10"/>
        <v>2985</v>
      </c>
    </row>
    <row r="90" spans="1:20" ht="14.1" customHeight="1" outlineLevel="3" x14ac:dyDescent="0.2">
      <c r="A90" t="str">
        <f t="shared" si="6"/>
        <v/>
      </c>
      <c r="E90" s="1"/>
      <c r="F90" s="1"/>
      <c r="G90" s="2"/>
      <c r="I90" s="2"/>
      <c r="P90" t="str">
        <f t="shared" si="7"/>
        <v/>
      </c>
      <c r="Q90" t="str">
        <f t="shared" si="8"/>
        <v/>
      </c>
      <c r="R90" t="str">
        <f t="shared" si="9"/>
        <v/>
      </c>
      <c r="T90">
        <f t="shared" si="10"/>
        <v>2985</v>
      </c>
    </row>
    <row r="91" spans="1:20" ht="14.1" customHeight="1" outlineLevel="3" x14ac:dyDescent="0.2">
      <c r="A91" t="str">
        <f t="shared" si="6"/>
        <v/>
      </c>
      <c r="E91" s="1"/>
      <c r="F91" s="1"/>
      <c r="G91" s="2"/>
      <c r="I91" s="2"/>
      <c r="P91" t="str">
        <f t="shared" si="7"/>
        <v/>
      </c>
      <c r="Q91" t="str">
        <f t="shared" si="8"/>
        <v/>
      </c>
      <c r="R91" t="str">
        <f t="shared" si="9"/>
        <v/>
      </c>
      <c r="T91">
        <f t="shared" si="10"/>
        <v>2985</v>
      </c>
    </row>
    <row r="92" spans="1:20" ht="14.1" customHeight="1" outlineLevel="3" x14ac:dyDescent="0.2">
      <c r="A92" t="str">
        <f t="shared" si="6"/>
        <v/>
      </c>
      <c r="E92" s="1"/>
      <c r="F92" s="1"/>
      <c r="G92" s="2"/>
      <c r="I92" s="2"/>
      <c r="P92" t="str">
        <f t="shared" si="7"/>
        <v/>
      </c>
      <c r="Q92" t="str">
        <f t="shared" si="8"/>
        <v/>
      </c>
      <c r="R92" t="str">
        <f t="shared" si="9"/>
        <v/>
      </c>
      <c r="T92">
        <f t="shared" si="10"/>
        <v>2985</v>
      </c>
    </row>
    <row r="93" spans="1:20" ht="14.1" customHeight="1" outlineLevel="3" x14ac:dyDescent="0.2">
      <c r="A93" t="str">
        <f t="shared" si="6"/>
        <v/>
      </c>
      <c r="E93" s="1"/>
      <c r="F93" s="1"/>
      <c r="G93" s="2"/>
      <c r="I93" s="2"/>
      <c r="P93" t="str">
        <f t="shared" si="7"/>
        <v/>
      </c>
      <c r="Q93" t="str">
        <f t="shared" si="8"/>
        <v/>
      </c>
      <c r="R93" t="str">
        <f t="shared" si="9"/>
        <v/>
      </c>
      <c r="T93">
        <f t="shared" si="10"/>
        <v>2985</v>
      </c>
    </row>
    <row r="94" spans="1:20" ht="14.1" customHeight="1" outlineLevel="3" x14ac:dyDescent="0.2">
      <c r="A94" t="str">
        <f t="shared" si="6"/>
        <v/>
      </c>
      <c r="E94" s="1"/>
      <c r="F94" s="1"/>
      <c r="G94" s="2"/>
      <c r="I94" s="2"/>
      <c r="P94" t="str">
        <f t="shared" si="7"/>
        <v/>
      </c>
      <c r="Q94" t="str">
        <f t="shared" si="8"/>
        <v/>
      </c>
      <c r="R94" t="str">
        <f t="shared" si="9"/>
        <v/>
      </c>
      <c r="T94">
        <f t="shared" si="10"/>
        <v>2985</v>
      </c>
    </row>
    <row r="95" spans="1:20" ht="14.1" customHeight="1" outlineLevel="3" x14ac:dyDescent="0.2">
      <c r="A95" t="str">
        <f t="shared" si="6"/>
        <v/>
      </c>
      <c r="E95" s="1"/>
      <c r="F95" s="1"/>
      <c r="G95" s="2"/>
      <c r="I95" s="2"/>
      <c r="P95" t="str">
        <f t="shared" si="7"/>
        <v/>
      </c>
      <c r="Q95" t="str">
        <f t="shared" si="8"/>
        <v/>
      </c>
      <c r="R95" t="str">
        <f t="shared" si="9"/>
        <v/>
      </c>
      <c r="T95">
        <f t="shared" si="10"/>
        <v>2985</v>
      </c>
    </row>
    <row r="96" spans="1:20" ht="14.1" customHeight="1" outlineLevel="3" x14ac:dyDescent="0.2">
      <c r="A96" t="str">
        <f t="shared" si="6"/>
        <v/>
      </c>
      <c r="E96" s="1"/>
      <c r="F96" s="1"/>
      <c r="G96" s="2"/>
      <c r="I96" s="2"/>
      <c r="P96" t="str">
        <f t="shared" si="7"/>
        <v/>
      </c>
      <c r="Q96" t="str">
        <f t="shared" si="8"/>
        <v/>
      </c>
      <c r="R96" t="str">
        <f t="shared" si="9"/>
        <v/>
      </c>
      <c r="T96">
        <f t="shared" si="10"/>
        <v>2985</v>
      </c>
    </row>
    <row r="97" spans="1:20" ht="14.1" customHeight="1" outlineLevel="3" x14ac:dyDescent="0.2">
      <c r="A97" t="str">
        <f t="shared" si="6"/>
        <v/>
      </c>
      <c r="E97" s="1"/>
      <c r="F97" s="1"/>
      <c r="G97" s="2"/>
      <c r="I97" s="2"/>
      <c r="P97" t="str">
        <f t="shared" si="7"/>
        <v/>
      </c>
      <c r="Q97" t="str">
        <f t="shared" si="8"/>
        <v/>
      </c>
      <c r="R97" t="str">
        <f t="shared" si="9"/>
        <v/>
      </c>
      <c r="T97">
        <f t="shared" si="10"/>
        <v>2985</v>
      </c>
    </row>
    <row r="98" spans="1:20" ht="14.1" customHeight="1" outlineLevel="3" x14ac:dyDescent="0.2">
      <c r="A98" t="str">
        <f t="shared" ref="A98:A129" si="11">IFERROR(IF(OR(K98="",I98=0),"",D98&amp;K98&amp;I98),"")</f>
        <v/>
      </c>
      <c r="E98" s="1"/>
      <c r="F98" s="1"/>
      <c r="G98" s="2"/>
      <c r="I98" s="2"/>
      <c r="P98" t="str">
        <f t="shared" si="7"/>
        <v/>
      </c>
      <c r="Q98" t="str">
        <f t="shared" si="8"/>
        <v/>
      </c>
      <c r="R98" t="str">
        <f t="shared" si="9"/>
        <v/>
      </c>
      <c r="T98">
        <f t="shared" si="10"/>
        <v>2985</v>
      </c>
    </row>
    <row r="99" spans="1:20" ht="14.1" customHeight="1" outlineLevel="3" x14ac:dyDescent="0.2">
      <c r="A99" t="str">
        <f t="shared" si="11"/>
        <v/>
      </c>
      <c r="E99" s="1"/>
      <c r="F99" s="1"/>
      <c r="G99" s="2"/>
      <c r="I99" s="2"/>
      <c r="P99" t="str">
        <f t="shared" si="7"/>
        <v/>
      </c>
      <c r="Q99" t="str">
        <f t="shared" si="8"/>
        <v/>
      </c>
      <c r="R99" t="str">
        <f t="shared" si="9"/>
        <v/>
      </c>
      <c r="T99">
        <f t="shared" si="10"/>
        <v>2985</v>
      </c>
    </row>
    <row r="100" spans="1:20" ht="14.1" customHeight="1" outlineLevel="3" x14ac:dyDescent="0.2">
      <c r="A100" t="str">
        <f t="shared" si="11"/>
        <v/>
      </c>
      <c r="E100" s="1"/>
      <c r="F100" s="1"/>
      <c r="G100" s="2"/>
      <c r="I100" s="2"/>
      <c r="P100" t="str">
        <f t="shared" si="7"/>
        <v/>
      </c>
      <c r="Q100" t="str">
        <f t="shared" si="8"/>
        <v/>
      </c>
      <c r="R100" t="str">
        <f t="shared" si="9"/>
        <v/>
      </c>
      <c r="T100">
        <f t="shared" si="10"/>
        <v>2985</v>
      </c>
    </row>
    <row r="101" spans="1:20" ht="14.1" customHeight="1" outlineLevel="3" x14ac:dyDescent="0.2">
      <c r="A101" t="str">
        <f t="shared" si="11"/>
        <v/>
      </c>
      <c r="E101" s="1"/>
      <c r="F101" s="1"/>
      <c r="G101" s="2"/>
      <c r="I101" s="2"/>
      <c r="P101" t="str">
        <f t="shared" si="7"/>
        <v/>
      </c>
      <c r="Q101" t="str">
        <f t="shared" si="8"/>
        <v/>
      </c>
      <c r="R101" t="str">
        <f t="shared" si="9"/>
        <v/>
      </c>
      <c r="T101">
        <f t="shared" si="10"/>
        <v>2985</v>
      </c>
    </row>
    <row r="102" spans="1:20" ht="14.1" customHeight="1" outlineLevel="3" x14ac:dyDescent="0.2">
      <c r="A102" t="str">
        <f t="shared" si="11"/>
        <v/>
      </c>
      <c r="E102" s="1"/>
      <c r="F102" s="1"/>
      <c r="G102" s="2"/>
      <c r="I102" s="2"/>
      <c r="P102" t="str">
        <f t="shared" si="7"/>
        <v/>
      </c>
      <c r="Q102" t="str">
        <f t="shared" si="8"/>
        <v/>
      </c>
      <c r="R102" t="str">
        <f t="shared" si="9"/>
        <v/>
      </c>
      <c r="T102">
        <f t="shared" si="10"/>
        <v>2985</v>
      </c>
    </row>
    <row r="103" spans="1:20" ht="14.1" customHeight="1" outlineLevel="3" x14ac:dyDescent="0.2">
      <c r="A103" t="str">
        <f t="shared" si="11"/>
        <v/>
      </c>
      <c r="E103" s="1"/>
      <c r="F103" s="1"/>
      <c r="G103" s="2"/>
      <c r="I103" s="2"/>
      <c r="P103" t="str">
        <f t="shared" si="7"/>
        <v/>
      </c>
      <c r="Q103" t="str">
        <f t="shared" si="8"/>
        <v/>
      </c>
      <c r="R103" t="str">
        <f t="shared" si="9"/>
        <v/>
      </c>
      <c r="T103">
        <f t="shared" si="10"/>
        <v>2985</v>
      </c>
    </row>
    <row r="104" spans="1:20" ht="14.1" customHeight="1" outlineLevel="3" x14ac:dyDescent="0.2">
      <c r="A104" t="str">
        <f t="shared" si="11"/>
        <v/>
      </c>
      <c r="E104" s="1"/>
      <c r="F104" s="1"/>
      <c r="G104" s="2"/>
      <c r="I104" s="2"/>
      <c r="P104" t="str">
        <f t="shared" si="7"/>
        <v/>
      </c>
      <c r="Q104" t="str">
        <f t="shared" si="8"/>
        <v/>
      </c>
      <c r="R104" t="str">
        <f t="shared" si="9"/>
        <v/>
      </c>
      <c r="T104">
        <f t="shared" si="10"/>
        <v>2985</v>
      </c>
    </row>
    <row r="105" spans="1:20" ht="14.1" customHeight="1" outlineLevel="3" x14ac:dyDescent="0.2">
      <c r="A105" t="str">
        <f t="shared" si="11"/>
        <v/>
      </c>
      <c r="E105" s="1"/>
      <c r="F105" s="1"/>
      <c r="G105" s="2"/>
      <c r="I105" s="2"/>
      <c r="P105" t="str">
        <f t="shared" si="7"/>
        <v/>
      </c>
      <c r="Q105" t="str">
        <f t="shared" si="8"/>
        <v/>
      </c>
      <c r="R105" t="str">
        <f t="shared" si="9"/>
        <v/>
      </c>
      <c r="T105">
        <f t="shared" si="10"/>
        <v>2985</v>
      </c>
    </row>
    <row r="106" spans="1:20" ht="14.1" customHeight="1" outlineLevel="3" x14ac:dyDescent="0.2">
      <c r="A106" t="str">
        <f t="shared" si="11"/>
        <v/>
      </c>
      <c r="E106" s="1"/>
      <c r="F106" s="1"/>
      <c r="G106" s="2"/>
      <c r="I106" s="2"/>
      <c r="P106" t="str">
        <f t="shared" si="7"/>
        <v/>
      </c>
      <c r="Q106" t="str">
        <f t="shared" si="8"/>
        <v/>
      </c>
      <c r="R106" t="str">
        <f t="shared" si="9"/>
        <v/>
      </c>
      <c r="T106">
        <f t="shared" si="10"/>
        <v>2985</v>
      </c>
    </row>
    <row r="107" spans="1:20" ht="14.1" customHeight="1" outlineLevel="3" x14ac:dyDescent="0.2">
      <c r="A107" t="str">
        <f t="shared" si="11"/>
        <v/>
      </c>
      <c r="E107" s="1"/>
      <c r="F107" s="1"/>
      <c r="G107" s="2"/>
      <c r="I107" s="2"/>
      <c r="P107" t="str">
        <f t="shared" si="7"/>
        <v/>
      </c>
      <c r="Q107" t="str">
        <f t="shared" si="8"/>
        <v/>
      </c>
      <c r="R107" t="str">
        <f t="shared" si="9"/>
        <v/>
      </c>
      <c r="T107">
        <f t="shared" si="10"/>
        <v>2985</v>
      </c>
    </row>
    <row r="108" spans="1:20" ht="14.1" customHeight="1" outlineLevel="3" x14ac:dyDescent="0.2">
      <c r="A108" t="str">
        <f t="shared" si="11"/>
        <v/>
      </c>
      <c r="E108" s="1"/>
      <c r="F108" s="1"/>
      <c r="G108" s="2"/>
      <c r="I108" s="2"/>
      <c r="P108" t="str">
        <f t="shared" si="7"/>
        <v/>
      </c>
      <c r="Q108" t="str">
        <f t="shared" si="8"/>
        <v/>
      </c>
      <c r="R108" t="str">
        <f t="shared" si="9"/>
        <v/>
      </c>
      <c r="T108">
        <f t="shared" si="10"/>
        <v>2985</v>
      </c>
    </row>
    <row r="109" spans="1:20" ht="14.1" customHeight="1" outlineLevel="3" x14ac:dyDescent="0.2">
      <c r="A109" t="str">
        <f t="shared" si="11"/>
        <v/>
      </c>
      <c r="E109" s="1"/>
      <c r="F109" s="1"/>
      <c r="G109" s="2"/>
      <c r="I109" s="2"/>
      <c r="P109" t="str">
        <f t="shared" si="7"/>
        <v/>
      </c>
      <c r="Q109" t="str">
        <f t="shared" si="8"/>
        <v/>
      </c>
      <c r="R109" t="str">
        <f t="shared" si="9"/>
        <v/>
      </c>
      <c r="T109">
        <f t="shared" si="10"/>
        <v>2985</v>
      </c>
    </row>
    <row r="110" spans="1:20" outlineLevel="2" x14ac:dyDescent="0.2">
      <c r="A110" t="str">
        <f t="shared" si="11"/>
        <v/>
      </c>
      <c r="E110" s="1"/>
      <c r="F110" s="1"/>
      <c r="G110" s="2"/>
      <c r="I110" s="2"/>
      <c r="P110" t="str">
        <f t="shared" si="7"/>
        <v/>
      </c>
      <c r="Q110" t="str">
        <f t="shared" si="8"/>
        <v/>
      </c>
      <c r="R110" t="str">
        <f t="shared" si="9"/>
        <v/>
      </c>
      <c r="T110">
        <f t="shared" si="10"/>
        <v>2985</v>
      </c>
    </row>
    <row r="111" spans="1:20" ht="14.1" customHeight="1" outlineLevel="3" x14ac:dyDescent="0.2">
      <c r="A111" t="str">
        <f t="shared" si="11"/>
        <v/>
      </c>
      <c r="E111" s="1"/>
      <c r="F111" s="1"/>
      <c r="G111" s="2"/>
      <c r="I111" s="2"/>
      <c r="P111" t="str">
        <f t="shared" si="7"/>
        <v/>
      </c>
      <c r="Q111" t="str">
        <f t="shared" si="8"/>
        <v/>
      </c>
      <c r="R111" t="str">
        <f t="shared" si="9"/>
        <v/>
      </c>
      <c r="T111">
        <f t="shared" si="10"/>
        <v>2985</v>
      </c>
    </row>
    <row r="112" spans="1:20" outlineLevel="2" x14ac:dyDescent="0.2">
      <c r="A112" t="str">
        <f t="shared" si="11"/>
        <v/>
      </c>
      <c r="E112" s="1"/>
      <c r="F112" s="1"/>
      <c r="G112" s="2"/>
      <c r="I112" s="2"/>
      <c r="P112" t="str">
        <f t="shared" si="7"/>
        <v/>
      </c>
      <c r="Q112" t="str">
        <f t="shared" si="8"/>
        <v/>
      </c>
      <c r="R112" t="str">
        <f t="shared" si="9"/>
        <v/>
      </c>
      <c r="T112">
        <f t="shared" si="10"/>
        <v>2985</v>
      </c>
    </row>
    <row r="113" spans="1:20" ht="14.1" customHeight="1" outlineLevel="3" x14ac:dyDescent="0.2">
      <c r="A113" t="str">
        <f t="shared" si="11"/>
        <v/>
      </c>
      <c r="E113" s="1"/>
      <c r="F113" s="1"/>
      <c r="G113" s="2"/>
      <c r="I113" s="2"/>
      <c r="P113" t="str">
        <f t="shared" si="7"/>
        <v/>
      </c>
      <c r="Q113" t="str">
        <f t="shared" si="8"/>
        <v/>
      </c>
      <c r="R113" t="str">
        <f t="shared" si="9"/>
        <v/>
      </c>
      <c r="T113">
        <f t="shared" si="10"/>
        <v>2985</v>
      </c>
    </row>
    <row r="114" spans="1:20" ht="14.1" customHeight="1" outlineLevel="3" x14ac:dyDescent="0.2">
      <c r="A114" t="str">
        <f t="shared" si="11"/>
        <v/>
      </c>
      <c r="E114" s="1"/>
      <c r="F114" s="1"/>
      <c r="G114" s="2"/>
      <c r="I114" s="2"/>
      <c r="P114" t="str">
        <f t="shared" si="7"/>
        <v/>
      </c>
      <c r="Q114" t="str">
        <f t="shared" si="8"/>
        <v/>
      </c>
      <c r="R114" t="str">
        <f t="shared" si="9"/>
        <v/>
      </c>
      <c r="T114">
        <f t="shared" si="10"/>
        <v>2985</v>
      </c>
    </row>
    <row r="115" spans="1:20" ht="14.1" customHeight="1" outlineLevel="3" x14ac:dyDescent="0.2">
      <c r="A115" t="str">
        <f t="shared" si="11"/>
        <v/>
      </c>
      <c r="E115" s="1"/>
      <c r="F115" s="1"/>
      <c r="G115" s="2"/>
      <c r="I115" s="2"/>
      <c r="P115" t="str">
        <f>IF(OR(K115="",K115=0),"",D115&amp;N115&amp;K115&amp;M115&amp;F115&amp;G115)</f>
        <v/>
      </c>
      <c r="Q115" t="str">
        <f t="shared" si="8"/>
        <v/>
      </c>
      <c r="R115" t="str">
        <f t="shared" si="9"/>
        <v/>
      </c>
      <c r="T115">
        <f t="shared" si="10"/>
        <v>2985</v>
      </c>
    </row>
    <row r="116" spans="1:20" ht="14.1" customHeight="1" outlineLevel="3" x14ac:dyDescent="0.2">
      <c r="A116" t="str">
        <f t="shared" si="11"/>
        <v/>
      </c>
      <c r="E116" s="1"/>
      <c r="F116" s="1"/>
      <c r="G116" s="2"/>
      <c r="I116" s="2"/>
      <c r="P116" t="str">
        <f t="shared" ref="P116:P118" si="12">IF(OR(K116="",K116=0),"",D116&amp;N116&amp;K116&amp;M116&amp;F116&amp;G116)</f>
        <v/>
      </c>
      <c r="Q116" t="str">
        <f t="shared" si="8"/>
        <v/>
      </c>
      <c r="R116" t="str">
        <f t="shared" si="9"/>
        <v/>
      </c>
      <c r="T116">
        <f t="shared" si="10"/>
        <v>2985</v>
      </c>
    </row>
    <row r="117" spans="1:20" ht="14.1" customHeight="1" outlineLevel="3" x14ac:dyDescent="0.2">
      <c r="A117" t="str">
        <f t="shared" si="11"/>
        <v/>
      </c>
      <c r="E117" s="1"/>
      <c r="F117" s="1"/>
      <c r="G117" s="2"/>
      <c r="I117" s="2"/>
      <c r="P117" t="str">
        <f t="shared" si="12"/>
        <v/>
      </c>
      <c r="Q117" t="str">
        <f t="shared" si="8"/>
        <v/>
      </c>
      <c r="R117" t="str">
        <f t="shared" si="9"/>
        <v/>
      </c>
      <c r="T117">
        <f t="shared" si="10"/>
        <v>2985</v>
      </c>
    </row>
    <row r="118" spans="1:20" ht="14.1" customHeight="1" outlineLevel="3" x14ac:dyDescent="0.2">
      <c r="A118" t="str">
        <f t="shared" si="11"/>
        <v/>
      </c>
      <c r="E118" s="1"/>
      <c r="F118" s="1"/>
      <c r="G118" s="2"/>
      <c r="I118" s="2"/>
      <c r="P118" t="str">
        <f t="shared" si="12"/>
        <v/>
      </c>
      <c r="Q118" t="str">
        <f t="shared" si="8"/>
        <v/>
      </c>
      <c r="R118" t="str">
        <f t="shared" si="9"/>
        <v/>
      </c>
      <c r="T118">
        <f t="shared" si="10"/>
        <v>2985</v>
      </c>
    </row>
    <row r="119" spans="1:20" ht="14.1" customHeight="1" outlineLevel="3" x14ac:dyDescent="0.2">
      <c r="A119" t="str">
        <f t="shared" si="11"/>
        <v/>
      </c>
      <c r="E119" s="1"/>
      <c r="F119" s="1"/>
      <c r="G119" s="2"/>
      <c r="I119" s="2"/>
      <c r="P119" t="str">
        <f t="shared" si="7"/>
        <v/>
      </c>
      <c r="Q119" t="str">
        <f t="shared" si="8"/>
        <v/>
      </c>
      <c r="R119" t="str">
        <f t="shared" si="9"/>
        <v/>
      </c>
      <c r="T119">
        <f t="shared" si="10"/>
        <v>2985</v>
      </c>
    </row>
    <row r="120" spans="1:20" ht="14.1" customHeight="1" outlineLevel="3" x14ac:dyDescent="0.2">
      <c r="A120" t="str">
        <f t="shared" si="11"/>
        <v/>
      </c>
      <c r="E120" s="1"/>
      <c r="F120" s="1"/>
      <c r="G120" s="2"/>
      <c r="I120" s="2"/>
      <c r="P120" t="str">
        <f t="shared" si="7"/>
        <v/>
      </c>
      <c r="Q120" t="str">
        <f t="shared" si="8"/>
        <v/>
      </c>
      <c r="R120" t="str">
        <f t="shared" si="9"/>
        <v/>
      </c>
      <c r="T120">
        <f t="shared" si="10"/>
        <v>2985</v>
      </c>
    </row>
    <row r="121" spans="1:20" ht="14.1" customHeight="1" outlineLevel="3" x14ac:dyDescent="0.2">
      <c r="A121" t="str">
        <f t="shared" si="11"/>
        <v/>
      </c>
      <c r="E121" s="1"/>
      <c r="F121" s="1"/>
      <c r="G121" s="2"/>
      <c r="I121" s="2"/>
      <c r="P121" t="str">
        <f t="shared" ref="P121:P124" si="13">IF(OR(K121="",K121=0),"",D121&amp;N121&amp;K121&amp;M121&amp;F121&amp;G121)</f>
        <v/>
      </c>
      <c r="Q121" t="str">
        <f t="shared" si="8"/>
        <v/>
      </c>
      <c r="R121" t="str">
        <f t="shared" si="9"/>
        <v/>
      </c>
      <c r="T121">
        <f t="shared" si="10"/>
        <v>2985</v>
      </c>
    </row>
    <row r="122" spans="1:20" ht="14.1" customHeight="1" outlineLevel="3" x14ac:dyDescent="0.2">
      <c r="A122" t="str">
        <f t="shared" si="11"/>
        <v/>
      </c>
      <c r="E122" s="1"/>
      <c r="F122" s="1"/>
      <c r="G122" s="2"/>
      <c r="I122" s="2"/>
      <c r="P122" t="str">
        <f t="shared" si="13"/>
        <v/>
      </c>
      <c r="Q122" t="str">
        <f t="shared" si="8"/>
        <v/>
      </c>
      <c r="R122" t="str">
        <f t="shared" si="9"/>
        <v/>
      </c>
      <c r="T122">
        <f t="shared" si="10"/>
        <v>2985</v>
      </c>
    </row>
    <row r="123" spans="1:20" ht="14.1" customHeight="1" outlineLevel="3" x14ac:dyDescent="0.2">
      <c r="A123" t="str">
        <f t="shared" si="11"/>
        <v/>
      </c>
      <c r="E123" s="1"/>
      <c r="F123" s="1"/>
      <c r="G123" s="2"/>
      <c r="I123" s="2"/>
      <c r="P123" t="str">
        <f t="shared" si="13"/>
        <v/>
      </c>
      <c r="Q123" t="str">
        <f t="shared" si="8"/>
        <v/>
      </c>
      <c r="R123" t="str">
        <f t="shared" si="9"/>
        <v/>
      </c>
      <c r="T123">
        <f t="shared" si="10"/>
        <v>2985</v>
      </c>
    </row>
    <row r="124" spans="1:20" ht="14.1" customHeight="1" outlineLevel="3" x14ac:dyDescent="0.2">
      <c r="A124" t="str">
        <f t="shared" si="11"/>
        <v/>
      </c>
      <c r="E124" s="1"/>
      <c r="F124" s="1"/>
      <c r="G124" s="2"/>
      <c r="I124" s="2"/>
      <c r="P124" t="str">
        <f t="shared" si="13"/>
        <v/>
      </c>
      <c r="Q124" t="str">
        <f t="shared" si="8"/>
        <v/>
      </c>
      <c r="R124" t="str">
        <f t="shared" si="9"/>
        <v/>
      </c>
      <c r="T124">
        <f t="shared" si="10"/>
        <v>2985</v>
      </c>
    </row>
    <row r="125" spans="1:20" outlineLevel="2" x14ac:dyDescent="0.2">
      <c r="A125" t="str">
        <f t="shared" si="11"/>
        <v/>
      </c>
      <c r="E125" s="1"/>
      <c r="F125" s="1"/>
      <c r="G125" s="2"/>
      <c r="I125" s="2"/>
      <c r="P125" t="str">
        <f t="shared" si="7"/>
        <v/>
      </c>
      <c r="Q125" t="str">
        <f t="shared" si="8"/>
        <v/>
      </c>
      <c r="R125" t="str">
        <f t="shared" si="9"/>
        <v/>
      </c>
      <c r="T125">
        <f t="shared" si="10"/>
        <v>2985</v>
      </c>
    </row>
    <row r="126" spans="1:20" ht="14.1" customHeight="1" outlineLevel="3" x14ac:dyDescent="0.2">
      <c r="A126" t="str">
        <f t="shared" si="11"/>
        <v/>
      </c>
      <c r="E126" s="1"/>
      <c r="F126" s="1"/>
      <c r="G126" s="2"/>
      <c r="I126" s="2"/>
      <c r="P126" t="str">
        <f t="shared" si="7"/>
        <v/>
      </c>
      <c r="Q126" t="str">
        <f t="shared" si="8"/>
        <v/>
      </c>
      <c r="R126" t="str">
        <f t="shared" si="9"/>
        <v/>
      </c>
      <c r="T126">
        <f t="shared" si="10"/>
        <v>2985</v>
      </c>
    </row>
    <row r="127" spans="1:20" ht="14.1" customHeight="1" outlineLevel="3" x14ac:dyDescent="0.2">
      <c r="A127" t="str">
        <f t="shared" si="11"/>
        <v/>
      </c>
      <c r="E127" s="1"/>
      <c r="F127" s="1"/>
      <c r="G127" s="2"/>
      <c r="I127" s="2"/>
      <c r="P127" t="str">
        <f t="shared" si="7"/>
        <v/>
      </c>
      <c r="Q127" t="str">
        <f t="shared" si="8"/>
        <v/>
      </c>
      <c r="R127" t="str">
        <f t="shared" si="9"/>
        <v/>
      </c>
      <c r="T127">
        <f t="shared" si="10"/>
        <v>2985</v>
      </c>
    </row>
    <row r="128" spans="1:20" ht="14.1" customHeight="1" outlineLevel="3" x14ac:dyDescent="0.2">
      <c r="A128" t="str">
        <f t="shared" si="11"/>
        <v/>
      </c>
      <c r="E128" s="1"/>
      <c r="F128" s="1"/>
      <c r="G128" s="2"/>
      <c r="I128" s="2"/>
      <c r="P128" t="str">
        <f t="shared" si="7"/>
        <v/>
      </c>
      <c r="Q128" t="str">
        <f t="shared" si="8"/>
        <v/>
      </c>
      <c r="R128" t="str">
        <f t="shared" si="9"/>
        <v/>
      </c>
      <c r="T128">
        <f t="shared" si="10"/>
        <v>2985</v>
      </c>
    </row>
    <row r="129" spans="1:20" ht="14.1" customHeight="1" outlineLevel="3" x14ac:dyDescent="0.2">
      <c r="A129" t="str">
        <f t="shared" si="11"/>
        <v/>
      </c>
      <c r="E129" s="1"/>
      <c r="F129" s="1"/>
      <c r="G129" s="2"/>
      <c r="I129" s="2"/>
      <c r="P129" t="str">
        <f t="shared" si="7"/>
        <v/>
      </c>
      <c r="Q129" t="str">
        <f t="shared" si="8"/>
        <v/>
      </c>
      <c r="R129" t="str">
        <f t="shared" si="9"/>
        <v/>
      </c>
      <c r="T129">
        <f t="shared" si="10"/>
        <v>2985</v>
      </c>
    </row>
    <row r="130" spans="1:20" ht="14.1" customHeight="1" outlineLevel="3" x14ac:dyDescent="0.2">
      <c r="A130" t="str">
        <f t="shared" ref="A130:A161" si="14">IFERROR(IF(OR(K130="",I130=0),"",D130&amp;K130&amp;I130),"")</f>
        <v/>
      </c>
      <c r="E130" s="1"/>
      <c r="F130" s="1"/>
      <c r="G130" s="2"/>
      <c r="I130" s="2"/>
      <c r="P130" t="str">
        <f t="shared" si="7"/>
        <v/>
      </c>
      <c r="Q130" t="str">
        <f t="shared" si="8"/>
        <v/>
      </c>
      <c r="R130" t="str">
        <f t="shared" si="9"/>
        <v/>
      </c>
      <c r="T130">
        <f t="shared" si="10"/>
        <v>2985</v>
      </c>
    </row>
    <row r="131" spans="1:20" ht="14.1" customHeight="1" outlineLevel="3" x14ac:dyDescent="0.2">
      <c r="A131" t="str">
        <f t="shared" si="14"/>
        <v/>
      </c>
      <c r="E131" s="1"/>
      <c r="F131" s="1"/>
      <c r="G131" s="2"/>
      <c r="I131" s="2"/>
      <c r="P131" t="str">
        <f t="shared" ref="P131:P194" si="15">IF(OR(K131="",K131=0),"",D131&amp;N131&amp;K131&amp;M131&amp;F131)</f>
        <v/>
      </c>
      <c r="Q131" t="str">
        <f t="shared" ref="Q131:Q194" si="16">IF(P131="","",COUNTIF($P$2:$P$1448,$P131))</f>
        <v/>
      </c>
      <c r="R131" t="str">
        <f t="shared" ref="R131:R194" si="17">G131&amp;K131&amp;N131</f>
        <v/>
      </c>
      <c r="T131">
        <f t="shared" ref="T131:T194" si="18">COUNTIF($R$2:$R$2986,$R131)</f>
        <v>2985</v>
      </c>
    </row>
    <row r="132" spans="1:20" ht="14.1" customHeight="1" outlineLevel="3" x14ac:dyDescent="0.2">
      <c r="A132" t="str">
        <f t="shared" si="14"/>
        <v/>
      </c>
      <c r="E132" s="1"/>
      <c r="F132" s="1"/>
      <c r="G132" s="2"/>
      <c r="I132" s="2"/>
      <c r="P132" t="str">
        <f t="shared" si="15"/>
        <v/>
      </c>
      <c r="Q132" t="str">
        <f t="shared" si="16"/>
        <v/>
      </c>
      <c r="R132" t="str">
        <f t="shared" si="17"/>
        <v/>
      </c>
      <c r="T132">
        <f t="shared" si="18"/>
        <v>2985</v>
      </c>
    </row>
    <row r="133" spans="1:20" ht="14.1" customHeight="1" outlineLevel="3" x14ac:dyDescent="0.2">
      <c r="A133" t="str">
        <f t="shared" si="14"/>
        <v/>
      </c>
      <c r="E133" s="1"/>
      <c r="F133" s="1"/>
      <c r="G133" s="2"/>
      <c r="I133" s="2"/>
      <c r="P133" t="str">
        <f t="shared" si="15"/>
        <v/>
      </c>
      <c r="Q133" t="str">
        <f t="shared" si="16"/>
        <v/>
      </c>
      <c r="R133" t="str">
        <f t="shared" si="17"/>
        <v/>
      </c>
      <c r="T133">
        <f t="shared" si="18"/>
        <v>2985</v>
      </c>
    </row>
    <row r="134" spans="1:20" ht="14.1" customHeight="1" outlineLevel="3" x14ac:dyDescent="0.2">
      <c r="A134" t="str">
        <f t="shared" si="14"/>
        <v/>
      </c>
      <c r="E134" s="1"/>
      <c r="F134" s="1"/>
      <c r="G134" s="2"/>
      <c r="I134" s="2"/>
      <c r="P134" t="str">
        <f t="shared" si="15"/>
        <v/>
      </c>
      <c r="Q134" t="str">
        <f t="shared" si="16"/>
        <v/>
      </c>
      <c r="R134" t="str">
        <f t="shared" si="17"/>
        <v/>
      </c>
      <c r="T134">
        <f t="shared" si="18"/>
        <v>2985</v>
      </c>
    </row>
    <row r="135" spans="1:20" ht="14.1" customHeight="1" outlineLevel="3" x14ac:dyDescent="0.2">
      <c r="A135" t="str">
        <f t="shared" si="14"/>
        <v/>
      </c>
      <c r="E135" s="1"/>
      <c r="F135" s="1"/>
      <c r="G135" s="2"/>
      <c r="I135" s="2"/>
      <c r="P135" t="str">
        <f t="shared" si="15"/>
        <v/>
      </c>
      <c r="Q135" t="str">
        <f t="shared" si="16"/>
        <v/>
      </c>
      <c r="R135" t="str">
        <f t="shared" si="17"/>
        <v/>
      </c>
      <c r="T135">
        <f t="shared" si="18"/>
        <v>2985</v>
      </c>
    </row>
    <row r="136" spans="1:20" ht="14.1" customHeight="1" outlineLevel="3" x14ac:dyDescent="0.2">
      <c r="A136" t="str">
        <f t="shared" si="14"/>
        <v/>
      </c>
      <c r="E136" s="1"/>
      <c r="F136" s="1"/>
      <c r="G136" s="2"/>
      <c r="I136" s="2"/>
      <c r="P136" t="str">
        <f t="shared" si="15"/>
        <v/>
      </c>
      <c r="Q136" t="str">
        <f t="shared" si="16"/>
        <v/>
      </c>
      <c r="R136" t="str">
        <f t="shared" si="17"/>
        <v/>
      </c>
      <c r="T136">
        <f t="shared" si="18"/>
        <v>2985</v>
      </c>
    </row>
    <row r="137" spans="1:20" ht="14.1" customHeight="1" outlineLevel="3" x14ac:dyDescent="0.2">
      <c r="A137" t="str">
        <f t="shared" si="14"/>
        <v/>
      </c>
      <c r="E137" s="1"/>
      <c r="F137" s="1"/>
      <c r="G137" s="2"/>
      <c r="I137" s="2"/>
      <c r="P137" t="str">
        <f t="shared" si="15"/>
        <v/>
      </c>
      <c r="Q137" t="str">
        <f t="shared" si="16"/>
        <v/>
      </c>
      <c r="R137" t="str">
        <f t="shared" si="17"/>
        <v/>
      </c>
      <c r="T137">
        <f t="shared" si="18"/>
        <v>2985</v>
      </c>
    </row>
    <row r="138" spans="1:20" ht="14.1" customHeight="1" outlineLevel="3" x14ac:dyDescent="0.2">
      <c r="A138" t="str">
        <f t="shared" si="14"/>
        <v/>
      </c>
      <c r="E138" s="1"/>
      <c r="F138" s="1"/>
      <c r="G138" s="2"/>
      <c r="I138" s="2"/>
      <c r="P138" t="str">
        <f t="shared" si="15"/>
        <v/>
      </c>
      <c r="Q138" t="str">
        <f t="shared" si="16"/>
        <v/>
      </c>
      <c r="R138" t="str">
        <f t="shared" si="17"/>
        <v/>
      </c>
      <c r="T138">
        <f t="shared" si="18"/>
        <v>2985</v>
      </c>
    </row>
    <row r="139" spans="1:20" ht="14.1" customHeight="1" outlineLevel="3" x14ac:dyDescent="0.2">
      <c r="A139" t="str">
        <f t="shared" si="14"/>
        <v/>
      </c>
      <c r="E139" s="1"/>
      <c r="F139" s="1"/>
      <c r="G139" s="2"/>
      <c r="I139" s="2"/>
      <c r="P139" t="str">
        <f t="shared" si="15"/>
        <v/>
      </c>
      <c r="Q139" t="str">
        <f t="shared" si="16"/>
        <v/>
      </c>
      <c r="R139" t="str">
        <f t="shared" si="17"/>
        <v/>
      </c>
      <c r="T139">
        <f t="shared" si="18"/>
        <v>2985</v>
      </c>
    </row>
    <row r="140" spans="1:20" ht="14.1" customHeight="1" outlineLevel="3" x14ac:dyDescent="0.2">
      <c r="A140" t="str">
        <f t="shared" si="14"/>
        <v/>
      </c>
      <c r="E140" s="1"/>
      <c r="F140" s="1"/>
      <c r="G140" s="2"/>
      <c r="I140" s="2"/>
      <c r="P140" t="str">
        <f t="shared" si="15"/>
        <v/>
      </c>
      <c r="Q140" t="str">
        <f t="shared" si="16"/>
        <v/>
      </c>
      <c r="R140" t="str">
        <f t="shared" si="17"/>
        <v/>
      </c>
      <c r="T140">
        <f t="shared" si="18"/>
        <v>2985</v>
      </c>
    </row>
    <row r="141" spans="1:20" ht="14.1" customHeight="1" outlineLevel="3" x14ac:dyDescent="0.2">
      <c r="A141" t="str">
        <f t="shared" si="14"/>
        <v/>
      </c>
      <c r="E141" s="1"/>
      <c r="F141" s="1"/>
      <c r="G141" s="2"/>
      <c r="I141" s="2"/>
      <c r="P141" t="str">
        <f t="shared" si="15"/>
        <v/>
      </c>
      <c r="Q141" t="str">
        <f t="shared" si="16"/>
        <v/>
      </c>
      <c r="R141" t="str">
        <f t="shared" si="17"/>
        <v/>
      </c>
      <c r="T141">
        <f t="shared" si="18"/>
        <v>2985</v>
      </c>
    </row>
    <row r="142" spans="1:20" ht="14.1" customHeight="1" outlineLevel="3" x14ac:dyDescent="0.2">
      <c r="A142" t="str">
        <f t="shared" si="14"/>
        <v/>
      </c>
      <c r="E142" s="1"/>
      <c r="F142" s="1"/>
      <c r="G142" s="2"/>
      <c r="I142" s="2"/>
      <c r="P142" t="str">
        <f t="shared" si="15"/>
        <v/>
      </c>
      <c r="Q142" t="str">
        <f t="shared" si="16"/>
        <v/>
      </c>
      <c r="R142" t="str">
        <f t="shared" si="17"/>
        <v/>
      </c>
      <c r="T142">
        <f t="shared" si="18"/>
        <v>2985</v>
      </c>
    </row>
    <row r="143" spans="1:20" ht="14.1" customHeight="1" outlineLevel="3" x14ac:dyDescent="0.2">
      <c r="A143" t="str">
        <f t="shared" si="14"/>
        <v/>
      </c>
      <c r="E143" s="1"/>
      <c r="F143" s="1"/>
      <c r="G143" s="2"/>
      <c r="I143" s="2"/>
      <c r="P143" t="str">
        <f t="shared" si="15"/>
        <v/>
      </c>
      <c r="Q143" t="str">
        <f t="shared" si="16"/>
        <v/>
      </c>
      <c r="R143" t="str">
        <f t="shared" si="17"/>
        <v/>
      </c>
      <c r="T143">
        <f t="shared" si="18"/>
        <v>2985</v>
      </c>
    </row>
    <row r="144" spans="1:20" ht="14.1" customHeight="1" outlineLevel="3" x14ac:dyDescent="0.2">
      <c r="A144" t="str">
        <f t="shared" si="14"/>
        <v/>
      </c>
      <c r="E144" s="1"/>
      <c r="F144" s="1"/>
      <c r="G144" s="2"/>
      <c r="I144" s="2"/>
      <c r="P144" t="str">
        <f t="shared" si="15"/>
        <v/>
      </c>
      <c r="Q144" t="str">
        <f t="shared" si="16"/>
        <v/>
      </c>
      <c r="R144" t="str">
        <f t="shared" si="17"/>
        <v/>
      </c>
      <c r="T144">
        <f t="shared" si="18"/>
        <v>2985</v>
      </c>
    </row>
    <row r="145" spans="1:20" ht="14.1" customHeight="1" outlineLevel="3" x14ac:dyDescent="0.2">
      <c r="A145" t="str">
        <f t="shared" si="14"/>
        <v/>
      </c>
      <c r="E145" s="1"/>
      <c r="F145" s="1"/>
      <c r="G145" s="2"/>
      <c r="I145" s="2"/>
      <c r="P145" t="str">
        <f t="shared" si="15"/>
        <v/>
      </c>
      <c r="Q145" t="str">
        <f t="shared" si="16"/>
        <v/>
      </c>
      <c r="R145" t="str">
        <f t="shared" si="17"/>
        <v/>
      </c>
      <c r="T145">
        <f t="shared" si="18"/>
        <v>2985</v>
      </c>
    </row>
    <row r="146" spans="1:20" ht="14.1" customHeight="1" outlineLevel="3" x14ac:dyDescent="0.2">
      <c r="A146" t="str">
        <f t="shared" si="14"/>
        <v/>
      </c>
      <c r="E146" s="1"/>
      <c r="F146" s="1"/>
      <c r="G146" s="2"/>
      <c r="I146" s="2"/>
      <c r="P146" t="str">
        <f t="shared" si="15"/>
        <v/>
      </c>
      <c r="Q146" t="str">
        <f t="shared" si="16"/>
        <v/>
      </c>
      <c r="R146" t="str">
        <f t="shared" si="17"/>
        <v/>
      </c>
      <c r="T146">
        <f t="shared" si="18"/>
        <v>2985</v>
      </c>
    </row>
    <row r="147" spans="1:20" ht="14.1" customHeight="1" outlineLevel="3" x14ac:dyDescent="0.2">
      <c r="A147" t="str">
        <f t="shared" si="14"/>
        <v/>
      </c>
      <c r="E147" s="1"/>
      <c r="F147" s="1"/>
      <c r="G147" s="2"/>
      <c r="I147" s="2"/>
      <c r="P147" t="str">
        <f t="shared" si="15"/>
        <v/>
      </c>
      <c r="Q147" t="str">
        <f t="shared" si="16"/>
        <v/>
      </c>
      <c r="R147" t="str">
        <f t="shared" si="17"/>
        <v/>
      </c>
      <c r="T147">
        <f t="shared" si="18"/>
        <v>2985</v>
      </c>
    </row>
    <row r="148" spans="1:20" ht="14.1" customHeight="1" outlineLevel="3" x14ac:dyDescent="0.2">
      <c r="A148" t="str">
        <f t="shared" si="14"/>
        <v/>
      </c>
      <c r="E148" s="1"/>
      <c r="F148" s="1"/>
      <c r="G148" s="2"/>
      <c r="I148" s="2"/>
      <c r="P148" t="str">
        <f t="shared" si="15"/>
        <v/>
      </c>
      <c r="Q148" t="str">
        <f t="shared" si="16"/>
        <v/>
      </c>
      <c r="R148" t="str">
        <f t="shared" si="17"/>
        <v/>
      </c>
      <c r="T148">
        <f t="shared" si="18"/>
        <v>2985</v>
      </c>
    </row>
    <row r="149" spans="1:20" ht="14.1" customHeight="1" outlineLevel="3" x14ac:dyDescent="0.2">
      <c r="A149" t="str">
        <f t="shared" si="14"/>
        <v/>
      </c>
      <c r="E149" s="1"/>
      <c r="F149" s="1"/>
      <c r="G149" s="2"/>
      <c r="I149" s="2"/>
      <c r="P149" t="str">
        <f t="shared" si="15"/>
        <v/>
      </c>
      <c r="Q149" t="str">
        <f t="shared" si="16"/>
        <v/>
      </c>
      <c r="R149" t="str">
        <f t="shared" si="17"/>
        <v/>
      </c>
      <c r="T149">
        <f t="shared" si="18"/>
        <v>2985</v>
      </c>
    </row>
    <row r="150" spans="1:20" ht="14.1" customHeight="1" outlineLevel="3" x14ac:dyDescent="0.2">
      <c r="A150" t="str">
        <f t="shared" si="14"/>
        <v/>
      </c>
      <c r="E150" s="1"/>
      <c r="F150" s="1"/>
      <c r="G150" s="2"/>
      <c r="I150" s="2"/>
      <c r="P150" t="str">
        <f t="shared" si="15"/>
        <v/>
      </c>
      <c r="Q150" t="str">
        <f t="shared" si="16"/>
        <v/>
      </c>
      <c r="R150" t="str">
        <f t="shared" si="17"/>
        <v/>
      </c>
      <c r="T150">
        <f t="shared" si="18"/>
        <v>2985</v>
      </c>
    </row>
    <row r="151" spans="1:20" ht="14.1" customHeight="1" outlineLevel="3" x14ac:dyDescent="0.2">
      <c r="A151" t="str">
        <f t="shared" si="14"/>
        <v/>
      </c>
      <c r="E151" s="1"/>
      <c r="F151" s="1"/>
      <c r="G151" s="2"/>
      <c r="I151" s="2"/>
      <c r="P151" t="str">
        <f t="shared" si="15"/>
        <v/>
      </c>
      <c r="Q151" t="str">
        <f t="shared" si="16"/>
        <v/>
      </c>
      <c r="R151" t="str">
        <f t="shared" si="17"/>
        <v/>
      </c>
      <c r="T151">
        <f t="shared" si="18"/>
        <v>2985</v>
      </c>
    </row>
    <row r="152" spans="1:20" ht="14.1" customHeight="1" outlineLevel="3" x14ac:dyDescent="0.2">
      <c r="A152" t="str">
        <f t="shared" si="14"/>
        <v/>
      </c>
      <c r="E152" s="1"/>
      <c r="F152" s="1"/>
      <c r="G152" s="2"/>
      <c r="I152" s="2"/>
      <c r="P152" t="str">
        <f t="shared" si="15"/>
        <v/>
      </c>
      <c r="Q152" t="str">
        <f t="shared" si="16"/>
        <v/>
      </c>
      <c r="R152" t="str">
        <f t="shared" si="17"/>
        <v/>
      </c>
      <c r="T152">
        <f t="shared" si="18"/>
        <v>2985</v>
      </c>
    </row>
    <row r="153" spans="1:20" ht="14.1" customHeight="1" outlineLevel="3" x14ac:dyDescent="0.2">
      <c r="A153" t="str">
        <f t="shared" si="14"/>
        <v/>
      </c>
      <c r="E153" s="1"/>
      <c r="F153" s="1"/>
      <c r="G153" s="2"/>
      <c r="I153" s="2"/>
      <c r="P153" t="str">
        <f t="shared" si="15"/>
        <v/>
      </c>
      <c r="Q153" t="str">
        <f t="shared" si="16"/>
        <v/>
      </c>
      <c r="R153" t="str">
        <f t="shared" si="17"/>
        <v/>
      </c>
      <c r="T153">
        <f t="shared" si="18"/>
        <v>2985</v>
      </c>
    </row>
    <row r="154" spans="1:20" ht="14.1" customHeight="1" outlineLevel="3" x14ac:dyDescent="0.2">
      <c r="A154" t="str">
        <f t="shared" si="14"/>
        <v/>
      </c>
      <c r="E154" s="1"/>
      <c r="F154" s="1"/>
      <c r="G154" s="2"/>
      <c r="I154" s="2"/>
      <c r="P154" t="str">
        <f t="shared" si="15"/>
        <v/>
      </c>
      <c r="Q154" t="str">
        <f t="shared" si="16"/>
        <v/>
      </c>
      <c r="R154" t="str">
        <f t="shared" si="17"/>
        <v/>
      </c>
      <c r="T154">
        <f t="shared" si="18"/>
        <v>2985</v>
      </c>
    </row>
    <row r="155" spans="1:20" ht="14.1" customHeight="1" outlineLevel="3" x14ac:dyDescent="0.2">
      <c r="A155" t="str">
        <f t="shared" si="14"/>
        <v/>
      </c>
      <c r="E155" s="1"/>
      <c r="F155" s="1"/>
      <c r="G155" s="2"/>
      <c r="I155" s="2"/>
      <c r="P155" t="str">
        <f t="shared" si="15"/>
        <v/>
      </c>
      <c r="Q155" t="str">
        <f t="shared" si="16"/>
        <v/>
      </c>
      <c r="R155" t="str">
        <f t="shared" si="17"/>
        <v/>
      </c>
      <c r="T155">
        <f t="shared" si="18"/>
        <v>2985</v>
      </c>
    </row>
    <row r="156" spans="1:20" ht="14.1" customHeight="1" outlineLevel="3" x14ac:dyDescent="0.2">
      <c r="A156" t="str">
        <f t="shared" si="14"/>
        <v/>
      </c>
      <c r="E156" s="1"/>
      <c r="F156" s="1"/>
      <c r="G156" s="2"/>
      <c r="I156" s="2"/>
      <c r="P156" t="str">
        <f t="shared" si="15"/>
        <v/>
      </c>
      <c r="Q156" t="str">
        <f t="shared" si="16"/>
        <v/>
      </c>
      <c r="R156" t="str">
        <f t="shared" si="17"/>
        <v/>
      </c>
      <c r="T156">
        <f t="shared" si="18"/>
        <v>2985</v>
      </c>
    </row>
    <row r="157" spans="1:20" ht="14.1" customHeight="1" outlineLevel="3" x14ac:dyDescent="0.2">
      <c r="A157" t="str">
        <f t="shared" si="14"/>
        <v/>
      </c>
      <c r="E157" s="1"/>
      <c r="F157" s="1"/>
      <c r="G157" s="2"/>
      <c r="I157" s="2"/>
      <c r="P157" t="str">
        <f t="shared" ref="P157:P160" si="19">IF(OR(K157="",K157=0),"",D157&amp;N157&amp;K157&amp;M157&amp;F157&amp;G157)</f>
        <v/>
      </c>
      <c r="Q157" t="str">
        <f t="shared" si="16"/>
        <v/>
      </c>
      <c r="R157" t="str">
        <f t="shared" si="17"/>
        <v/>
      </c>
      <c r="T157">
        <f t="shared" si="18"/>
        <v>2985</v>
      </c>
    </row>
    <row r="158" spans="1:20" ht="14.1" customHeight="1" outlineLevel="3" x14ac:dyDescent="0.2">
      <c r="A158" t="str">
        <f t="shared" si="14"/>
        <v/>
      </c>
      <c r="E158" s="1"/>
      <c r="F158" s="1"/>
      <c r="G158" s="2"/>
      <c r="I158" s="2"/>
      <c r="P158" t="str">
        <f t="shared" si="19"/>
        <v/>
      </c>
      <c r="Q158" t="str">
        <f t="shared" si="16"/>
        <v/>
      </c>
      <c r="R158" t="str">
        <f t="shared" si="17"/>
        <v/>
      </c>
      <c r="T158">
        <f t="shared" si="18"/>
        <v>2985</v>
      </c>
    </row>
    <row r="159" spans="1:20" ht="14.1" customHeight="1" outlineLevel="3" x14ac:dyDescent="0.2">
      <c r="A159" t="str">
        <f t="shared" si="14"/>
        <v/>
      </c>
      <c r="E159" s="1"/>
      <c r="F159" s="1"/>
      <c r="G159" s="2"/>
      <c r="I159" s="2"/>
      <c r="P159" t="str">
        <f t="shared" si="19"/>
        <v/>
      </c>
      <c r="Q159" t="str">
        <f t="shared" si="16"/>
        <v/>
      </c>
      <c r="R159" t="str">
        <f t="shared" si="17"/>
        <v/>
      </c>
      <c r="T159">
        <f t="shared" si="18"/>
        <v>2985</v>
      </c>
    </row>
    <row r="160" spans="1:20" ht="14.1" customHeight="1" outlineLevel="3" x14ac:dyDescent="0.2">
      <c r="A160" t="str">
        <f t="shared" si="14"/>
        <v/>
      </c>
      <c r="E160" s="1"/>
      <c r="F160" s="1"/>
      <c r="G160" s="2"/>
      <c r="I160" s="2"/>
      <c r="P160" t="str">
        <f t="shared" si="19"/>
        <v/>
      </c>
      <c r="Q160" t="str">
        <f t="shared" si="16"/>
        <v/>
      </c>
      <c r="R160" t="str">
        <f t="shared" si="17"/>
        <v/>
      </c>
      <c r="T160">
        <f t="shared" si="18"/>
        <v>2985</v>
      </c>
    </row>
    <row r="161" spans="1:20" ht="14.1" customHeight="1" outlineLevel="3" x14ac:dyDescent="0.2">
      <c r="A161" t="str">
        <f t="shared" si="14"/>
        <v/>
      </c>
      <c r="E161" s="1"/>
      <c r="F161" s="1"/>
      <c r="G161" s="2"/>
      <c r="I161" s="2"/>
      <c r="P161" t="str">
        <f t="shared" si="15"/>
        <v/>
      </c>
      <c r="Q161" t="str">
        <f t="shared" si="16"/>
        <v/>
      </c>
      <c r="R161" t="str">
        <f t="shared" si="17"/>
        <v/>
      </c>
      <c r="T161">
        <f t="shared" si="18"/>
        <v>2985</v>
      </c>
    </row>
    <row r="162" spans="1:20" ht="14.1" customHeight="1" outlineLevel="3" x14ac:dyDescent="0.2">
      <c r="A162" t="str">
        <f t="shared" ref="A162:A194" si="20">IFERROR(IF(OR(K162="",I162=0),"",D162&amp;K162&amp;I162),"")</f>
        <v/>
      </c>
      <c r="E162" s="1"/>
      <c r="F162" s="1"/>
      <c r="G162" s="2"/>
      <c r="I162" s="2"/>
      <c r="P162" t="str">
        <f t="shared" si="15"/>
        <v/>
      </c>
      <c r="Q162" t="str">
        <f t="shared" si="16"/>
        <v/>
      </c>
      <c r="R162" t="str">
        <f t="shared" si="17"/>
        <v/>
      </c>
      <c r="T162">
        <f t="shared" si="18"/>
        <v>2985</v>
      </c>
    </row>
    <row r="163" spans="1:20" ht="14.1" customHeight="1" outlineLevel="3" x14ac:dyDescent="0.2">
      <c r="A163" t="str">
        <f t="shared" si="20"/>
        <v/>
      </c>
      <c r="E163" s="1"/>
      <c r="F163" s="1"/>
      <c r="G163" s="2"/>
      <c r="I163" s="2"/>
      <c r="P163" t="str">
        <f t="shared" si="15"/>
        <v/>
      </c>
      <c r="Q163" t="str">
        <f t="shared" si="16"/>
        <v/>
      </c>
      <c r="R163" t="str">
        <f t="shared" si="17"/>
        <v/>
      </c>
      <c r="T163">
        <f t="shared" si="18"/>
        <v>2985</v>
      </c>
    </row>
    <row r="164" spans="1:20" ht="14.1" customHeight="1" outlineLevel="3" x14ac:dyDescent="0.2">
      <c r="A164" t="str">
        <f t="shared" si="20"/>
        <v/>
      </c>
      <c r="E164" s="1"/>
      <c r="F164" s="1"/>
      <c r="G164" s="2"/>
      <c r="I164" s="2"/>
      <c r="P164" t="str">
        <f t="shared" si="15"/>
        <v/>
      </c>
      <c r="Q164" t="str">
        <f t="shared" si="16"/>
        <v/>
      </c>
      <c r="R164" t="str">
        <f t="shared" si="17"/>
        <v/>
      </c>
      <c r="T164">
        <f t="shared" si="18"/>
        <v>2985</v>
      </c>
    </row>
    <row r="165" spans="1:20" ht="14.1" customHeight="1" outlineLevel="3" x14ac:dyDescent="0.2">
      <c r="A165" t="str">
        <f t="shared" si="20"/>
        <v/>
      </c>
      <c r="E165" s="1"/>
      <c r="F165" s="1"/>
      <c r="G165" s="2"/>
      <c r="I165" s="2"/>
      <c r="P165" t="str">
        <f t="shared" si="15"/>
        <v/>
      </c>
      <c r="Q165" t="str">
        <f t="shared" si="16"/>
        <v/>
      </c>
      <c r="R165" t="str">
        <f t="shared" si="17"/>
        <v/>
      </c>
      <c r="T165">
        <f t="shared" si="18"/>
        <v>2985</v>
      </c>
    </row>
    <row r="166" spans="1:20" ht="14.1" customHeight="1" outlineLevel="3" x14ac:dyDescent="0.2">
      <c r="A166" t="str">
        <f t="shared" si="20"/>
        <v/>
      </c>
      <c r="E166" s="1"/>
      <c r="F166" s="1"/>
      <c r="G166" s="2"/>
      <c r="I166" s="2"/>
      <c r="P166" t="str">
        <f t="shared" si="15"/>
        <v/>
      </c>
      <c r="Q166" t="str">
        <f t="shared" si="16"/>
        <v/>
      </c>
      <c r="R166" t="str">
        <f t="shared" si="17"/>
        <v/>
      </c>
      <c r="T166">
        <f t="shared" si="18"/>
        <v>2985</v>
      </c>
    </row>
    <row r="167" spans="1:20" ht="14.1" customHeight="1" outlineLevel="3" x14ac:dyDescent="0.2">
      <c r="A167" t="str">
        <f t="shared" si="20"/>
        <v/>
      </c>
      <c r="E167" s="1"/>
      <c r="F167" s="1"/>
      <c r="G167" s="2"/>
      <c r="I167" s="2"/>
      <c r="P167" t="str">
        <f t="shared" si="15"/>
        <v/>
      </c>
      <c r="Q167" t="str">
        <f t="shared" si="16"/>
        <v/>
      </c>
      <c r="R167" t="str">
        <f t="shared" si="17"/>
        <v/>
      </c>
      <c r="T167">
        <f t="shared" si="18"/>
        <v>2985</v>
      </c>
    </row>
    <row r="168" spans="1:20" ht="14.1" customHeight="1" outlineLevel="3" x14ac:dyDescent="0.2">
      <c r="A168" t="str">
        <f t="shared" si="20"/>
        <v/>
      </c>
      <c r="E168" s="1"/>
      <c r="F168" s="1"/>
      <c r="G168" s="2"/>
      <c r="I168" s="2"/>
      <c r="P168" t="str">
        <f t="shared" si="15"/>
        <v/>
      </c>
      <c r="Q168" t="str">
        <f t="shared" si="16"/>
        <v/>
      </c>
      <c r="R168" t="str">
        <f t="shared" si="17"/>
        <v/>
      </c>
      <c r="T168">
        <f t="shared" si="18"/>
        <v>2985</v>
      </c>
    </row>
    <row r="169" spans="1:20" ht="14.1" customHeight="1" outlineLevel="3" x14ac:dyDescent="0.2">
      <c r="A169" t="str">
        <f t="shared" si="20"/>
        <v/>
      </c>
      <c r="E169" s="1"/>
      <c r="F169" s="1"/>
      <c r="G169" s="2"/>
      <c r="I169" s="2"/>
      <c r="P169" t="str">
        <f t="shared" si="15"/>
        <v/>
      </c>
      <c r="Q169" t="str">
        <f t="shared" si="16"/>
        <v/>
      </c>
      <c r="R169" t="str">
        <f t="shared" si="17"/>
        <v/>
      </c>
      <c r="T169">
        <f t="shared" si="18"/>
        <v>2985</v>
      </c>
    </row>
    <row r="170" spans="1:20" ht="14.1" customHeight="1" outlineLevel="3" x14ac:dyDescent="0.2">
      <c r="A170" t="str">
        <f t="shared" si="20"/>
        <v/>
      </c>
      <c r="E170" s="1"/>
      <c r="F170" s="1"/>
      <c r="G170" s="2"/>
      <c r="I170" s="2"/>
      <c r="P170" t="str">
        <f t="shared" si="15"/>
        <v/>
      </c>
      <c r="Q170" t="str">
        <f t="shared" si="16"/>
        <v/>
      </c>
      <c r="R170" t="str">
        <f t="shared" si="17"/>
        <v/>
      </c>
      <c r="T170">
        <f t="shared" si="18"/>
        <v>2985</v>
      </c>
    </row>
    <row r="171" spans="1:20" ht="14.1" customHeight="1" outlineLevel="3" x14ac:dyDescent="0.2">
      <c r="A171" t="str">
        <f t="shared" si="20"/>
        <v/>
      </c>
      <c r="E171" s="1"/>
      <c r="F171" s="1"/>
      <c r="G171" s="2"/>
      <c r="I171" s="2"/>
      <c r="P171" t="str">
        <f t="shared" si="15"/>
        <v/>
      </c>
      <c r="Q171" t="str">
        <f t="shared" si="16"/>
        <v/>
      </c>
      <c r="R171" t="str">
        <f t="shared" si="17"/>
        <v/>
      </c>
      <c r="T171">
        <f t="shared" si="18"/>
        <v>2985</v>
      </c>
    </row>
    <row r="172" spans="1:20" ht="14.1" customHeight="1" outlineLevel="3" x14ac:dyDescent="0.2">
      <c r="A172" t="str">
        <f t="shared" si="20"/>
        <v/>
      </c>
      <c r="E172" s="1"/>
      <c r="F172" s="1"/>
      <c r="G172" s="2"/>
      <c r="I172" s="2"/>
      <c r="P172" t="str">
        <f t="shared" si="15"/>
        <v/>
      </c>
      <c r="Q172" t="str">
        <f t="shared" si="16"/>
        <v/>
      </c>
      <c r="R172" t="str">
        <f t="shared" si="17"/>
        <v/>
      </c>
      <c r="T172">
        <f t="shared" si="18"/>
        <v>2985</v>
      </c>
    </row>
    <row r="173" spans="1:20" ht="14.1" customHeight="1" outlineLevel="3" x14ac:dyDescent="0.2">
      <c r="A173" t="str">
        <f t="shared" si="20"/>
        <v/>
      </c>
      <c r="E173" s="1"/>
      <c r="F173" s="1"/>
      <c r="G173" s="2"/>
      <c r="I173" s="2"/>
      <c r="P173" t="str">
        <f t="shared" si="15"/>
        <v/>
      </c>
      <c r="Q173" t="str">
        <f t="shared" si="16"/>
        <v/>
      </c>
      <c r="R173" t="str">
        <f t="shared" si="17"/>
        <v/>
      </c>
      <c r="T173">
        <f t="shared" si="18"/>
        <v>2985</v>
      </c>
    </row>
    <row r="174" spans="1:20" ht="14.1" customHeight="1" outlineLevel="3" x14ac:dyDescent="0.2">
      <c r="A174" t="str">
        <f t="shared" si="20"/>
        <v/>
      </c>
      <c r="E174" s="1"/>
      <c r="F174" s="1"/>
      <c r="G174" s="2"/>
      <c r="I174" s="2"/>
      <c r="P174" t="str">
        <f t="shared" si="15"/>
        <v/>
      </c>
      <c r="Q174" t="str">
        <f t="shared" si="16"/>
        <v/>
      </c>
      <c r="R174" t="str">
        <f t="shared" si="17"/>
        <v/>
      </c>
      <c r="T174">
        <f t="shared" si="18"/>
        <v>2985</v>
      </c>
    </row>
    <row r="175" spans="1:20" ht="14.1" customHeight="1" outlineLevel="3" x14ac:dyDescent="0.2">
      <c r="A175" t="str">
        <f t="shared" si="20"/>
        <v/>
      </c>
      <c r="E175" s="1"/>
      <c r="F175" s="1"/>
      <c r="G175" s="2"/>
      <c r="I175" s="2"/>
      <c r="P175" t="str">
        <f t="shared" si="15"/>
        <v/>
      </c>
      <c r="Q175" t="str">
        <f t="shared" si="16"/>
        <v/>
      </c>
      <c r="R175" t="str">
        <f t="shared" si="17"/>
        <v/>
      </c>
      <c r="T175">
        <f t="shared" si="18"/>
        <v>2985</v>
      </c>
    </row>
    <row r="176" spans="1:20" ht="14.1" customHeight="1" outlineLevel="3" x14ac:dyDescent="0.2">
      <c r="A176" t="str">
        <f t="shared" si="20"/>
        <v/>
      </c>
      <c r="E176" s="1"/>
      <c r="F176" s="1"/>
      <c r="G176" s="2"/>
      <c r="I176" s="2"/>
      <c r="P176" t="str">
        <f t="shared" si="15"/>
        <v/>
      </c>
      <c r="Q176" t="str">
        <f t="shared" si="16"/>
        <v/>
      </c>
      <c r="R176" t="str">
        <f t="shared" si="17"/>
        <v/>
      </c>
      <c r="T176">
        <f t="shared" si="18"/>
        <v>2985</v>
      </c>
    </row>
    <row r="177" spans="1:20" outlineLevel="2" x14ac:dyDescent="0.2">
      <c r="A177" t="str">
        <f t="shared" si="20"/>
        <v/>
      </c>
      <c r="E177" s="1"/>
      <c r="F177" s="1"/>
      <c r="G177" s="2"/>
      <c r="I177" s="2"/>
      <c r="P177" t="str">
        <f t="shared" si="15"/>
        <v/>
      </c>
      <c r="Q177" t="str">
        <f t="shared" si="16"/>
        <v/>
      </c>
      <c r="R177" t="str">
        <f t="shared" si="17"/>
        <v/>
      </c>
      <c r="T177">
        <f t="shared" si="18"/>
        <v>2985</v>
      </c>
    </row>
    <row r="178" spans="1:20" ht="14.1" customHeight="1" outlineLevel="3" x14ac:dyDescent="0.2">
      <c r="A178" t="str">
        <f t="shared" si="20"/>
        <v/>
      </c>
      <c r="E178" s="1"/>
      <c r="F178" s="1"/>
      <c r="G178" s="2"/>
      <c r="I178" s="2"/>
      <c r="P178" t="str">
        <f t="shared" si="15"/>
        <v/>
      </c>
      <c r="Q178" t="str">
        <f t="shared" si="16"/>
        <v/>
      </c>
      <c r="R178" t="str">
        <f t="shared" si="17"/>
        <v/>
      </c>
      <c r="T178">
        <f t="shared" si="18"/>
        <v>2985</v>
      </c>
    </row>
    <row r="179" spans="1:20" ht="14.1" customHeight="1" outlineLevel="3" x14ac:dyDescent="0.2">
      <c r="A179" t="str">
        <f t="shared" si="20"/>
        <v/>
      </c>
      <c r="E179" s="1"/>
      <c r="F179" s="1"/>
      <c r="G179" s="2"/>
      <c r="I179" s="2"/>
      <c r="P179" t="str">
        <f t="shared" si="15"/>
        <v/>
      </c>
      <c r="Q179" t="str">
        <f t="shared" si="16"/>
        <v/>
      </c>
      <c r="R179" t="str">
        <f t="shared" si="17"/>
        <v/>
      </c>
      <c r="T179">
        <f t="shared" si="18"/>
        <v>2985</v>
      </c>
    </row>
    <row r="180" spans="1:20" ht="14.1" customHeight="1" outlineLevel="3" x14ac:dyDescent="0.2">
      <c r="A180" t="str">
        <f t="shared" si="20"/>
        <v/>
      </c>
      <c r="E180" s="1"/>
      <c r="F180" s="1"/>
      <c r="G180" s="2"/>
      <c r="I180" s="2"/>
      <c r="P180" t="str">
        <f t="shared" si="15"/>
        <v/>
      </c>
      <c r="Q180" t="str">
        <f t="shared" si="16"/>
        <v/>
      </c>
      <c r="R180" t="str">
        <f t="shared" si="17"/>
        <v/>
      </c>
      <c r="T180">
        <f t="shared" si="18"/>
        <v>2985</v>
      </c>
    </row>
    <row r="181" spans="1:20" outlineLevel="2" x14ac:dyDescent="0.2">
      <c r="A181" t="str">
        <f t="shared" si="20"/>
        <v/>
      </c>
      <c r="E181" s="1"/>
      <c r="F181" s="1"/>
      <c r="G181" s="2"/>
      <c r="I181" s="2"/>
      <c r="P181" t="str">
        <f t="shared" si="15"/>
        <v/>
      </c>
      <c r="Q181" t="str">
        <f t="shared" si="16"/>
        <v/>
      </c>
      <c r="R181" t="str">
        <f t="shared" si="17"/>
        <v/>
      </c>
      <c r="T181">
        <f t="shared" si="18"/>
        <v>2985</v>
      </c>
    </row>
    <row r="182" spans="1:20" ht="14.1" customHeight="1" outlineLevel="3" x14ac:dyDescent="0.2">
      <c r="A182" t="str">
        <f t="shared" si="20"/>
        <v/>
      </c>
      <c r="E182" s="1"/>
      <c r="F182" s="1"/>
      <c r="G182" s="2"/>
      <c r="I182" s="2"/>
      <c r="P182" t="str">
        <f t="shared" si="15"/>
        <v/>
      </c>
      <c r="Q182" t="str">
        <f t="shared" si="16"/>
        <v/>
      </c>
      <c r="R182" t="str">
        <f t="shared" si="17"/>
        <v/>
      </c>
      <c r="T182">
        <f t="shared" si="18"/>
        <v>2985</v>
      </c>
    </row>
    <row r="183" spans="1:20" ht="14.1" customHeight="1" outlineLevel="3" x14ac:dyDescent="0.2">
      <c r="A183" t="str">
        <f t="shared" si="20"/>
        <v/>
      </c>
      <c r="E183" s="1"/>
      <c r="F183" s="1"/>
      <c r="G183" s="2"/>
      <c r="I183" s="2"/>
      <c r="P183" t="str">
        <f t="shared" si="15"/>
        <v/>
      </c>
      <c r="Q183" t="str">
        <f t="shared" si="16"/>
        <v/>
      </c>
      <c r="R183" t="str">
        <f t="shared" si="17"/>
        <v/>
      </c>
      <c r="T183">
        <f t="shared" si="18"/>
        <v>2985</v>
      </c>
    </row>
    <row r="184" spans="1:20" ht="14.1" customHeight="1" outlineLevel="3" x14ac:dyDescent="0.2">
      <c r="A184" t="str">
        <f t="shared" si="20"/>
        <v/>
      </c>
      <c r="E184" s="1"/>
      <c r="F184" s="1"/>
      <c r="G184" s="2"/>
      <c r="I184" s="2"/>
      <c r="P184" t="str">
        <f t="shared" si="15"/>
        <v/>
      </c>
      <c r="Q184" t="str">
        <f t="shared" si="16"/>
        <v/>
      </c>
      <c r="R184" t="str">
        <f t="shared" si="17"/>
        <v/>
      </c>
      <c r="T184">
        <f t="shared" si="18"/>
        <v>2985</v>
      </c>
    </row>
    <row r="185" spans="1:20" ht="14.1" customHeight="1" outlineLevel="3" x14ac:dyDescent="0.2">
      <c r="A185" t="str">
        <f t="shared" si="20"/>
        <v/>
      </c>
      <c r="E185" s="1"/>
      <c r="F185" s="1"/>
      <c r="G185" s="2"/>
      <c r="I185" s="2"/>
      <c r="P185" t="str">
        <f t="shared" si="15"/>
        <v/>
      </c>
      <c r="Q185" t="str">
        <f t="shared" si="16"/>
        <v/>
      </c>
      <c r="R185" t="str">
        <f t="shared" si="17"/>
        <v/>
      </c>
      <c r="T185">
        <f t="shared" si="18"/>
        <v>2985</v>
      </c>
    </row>
    <row r="186" spans="1:20" ht="14.1" customHeight="1" outlineLevel="3" x14ac:dyDescent="0.2">
      <c r="A186" t="str">
        <f t="shared" si="20"/>
        <v/>
      </c>
      <c r="E186" s="1"/>
      <c r="F186" s="1"/>
      <c r="G186" s="2"/>
      <c r="I186" s="2"/>
      <c r="P186" t="str">
        <f t="shared" si="15"/>
        <v/>
      </c>
      <c r="Q186" t="str">
        <f t="shared" si="16"/>
        <v/>
      </c>
      <c r="R186" t="str">
        <f t="shared" si="17"/>
        <v/>
      </c>
      <c r="T186">
        <f t="shared" si="18"/>
        <v>2985</v>
      </c>
    </row>
    <row r="187" spans="1:20" ht="14.1" customHeight="1" outlineLevel="3" x14ac:dyDescent="0.2">
      <c r="A187" t="str">
        <f t="shared" si="20"/>
        <v/>
      </c>
      <c r="E187" s="1"/>
      <c r="F187" s="1"/>
      <c r="G187" s="2"/>
      <c r="I187" s="2"/>
      <c r="P187" t="str">
        <f t="shared" si="15"/>
        <v/>
      </c>
      <c r="Q187" t="str">
        <f t="shared" si="16"/>
        <v/>
      </c>
      <c r="R187" t="str">
        <f t="shared" si="17"/>
        <v/>
      </c>
      <c r="T187">
        <f t="shared" si="18"/>
        <v>2985</v>
      </c>
    </row>
    <row r="188" spans="1:20" ht="14.1" customHeight="1" outlineLevel="3" x14ac:dyDescent="0.2">
      <c r="A188" t="str">
        <f t="shared" si="20"/>
        <v/>
      </c>
      <c r="E188" s="1"/>
      <c r="F188" s="1"/>
      <c r="G188" s="2"/>
      <c r="I188" s="2"/>
      <c r="P188" t="str">
        <f t="shared" si="15"/>
        <v/>
      </c>
      <c r="Q188" t="str">
        <f t="shared" si="16"/>
        <v/>
      </c>
      <c r="R188" t="str">
        <f t="shared" si="17"/>
        <v/>
      </c>
      <c r="T188">
        <f t="shared" si="18"/>
        <v>2985</v>
      </c>
    </row>
    <row r="189" spans="1:20" ht="14.1" customHeight="1" outlineLevel="3" x14ac:dyDescent="0.2">
      <c r="A189" t="str">
        <f t="shared" si="20"/>
        <v/>
      </c>
      <c r="E189" s="1"/>
      <c r="F189" s="1"/>
      <c r="G189" s="2"/>
      <c r="I189" s="2"/>
      <c r="P189" t="str">
        <f t="shared" si="15"/>
        <v/>
      </c>
      <c r="Q189" t="str">
        <f t="shared" si="16"/>
        <v/>
      </c>
      <c r="R189" t="str">
        <f t="shared" si="17"/>
        <v/>
      </c>
      <c r="T189">
        <f t="shared" si="18"/>
        <v>2985</v>
      </c>
    </row>
    <row r="190" spans="1:20" ht="14.1" customHeight="1" outlineLevel="3" x14ac:dyDescent="0.2">
      <c r="A190" t="str">
        <f t="shared" si="20"/>
        <v/>
      </c>
      <c r="E190" s="1"/>
      <c r="F190" s="1"/>
      <c r="G190" s="2"/>
      <c r="I190" s="2"/>
      <c r="P190" t="str">
        <f t="shared" si="15"/>
        <v/>
      </c>
      <c r="Q190" t="str">
        <f t="shared" si="16"/>
        <v/>
      </c>
      <c r="R190" t="str">
        <f t="shared" si="17"/>
        <v/>
      </c>
      <c r="T190">
        <f t="shared" si="18"/>
        <v>2985</v>
      </c>
    </row>
    <row r="191" spans="1:20" ht="14.1" customHeight="1" outlineLevel="3" x14ac:dyDescent="0.2">
      <c r="A191" t="str">
        <f t="shared" si="20"/>
        <v/>
      </c>
      <c r="E191" s="1"/>
      <c r="F191" s="1"/>
      <c r="G191" s="2"/>
      <c r="I191" s="2"/>
      <c r="P191" t="str">
        <f t="shared" si="15"/>
        <v/>
      </c>
      <c r="Q191" t="str">
        <f t="shared" si="16"/>
        <v/>
      </c>
      <c r="R191" t="str">
        <f t="shared" si="17"/>
        <v/>
      </c>
      <c r="T191">
        <f t="shared" si="18"/>
        <v>2985</v>
      </c>
    </row>
    <row r="192" spans="1:20" outlineLevel="2" x14ac:dyDescent="0.2">
      <c r="A192" t="str">
        <f t="shared" si="20"/>
        <v/>
      </c>
      <c r="E192" s="1"/>
      <c r="F192" s="1"/>
      <c r="G192" s="2"/>
      <c r="I192" s="2"/>
      <c r="P192" t="str">
        <f t="shared" si="15"/>
        <v/>
      </c>
      <c r="Q192" t="str">
        <f t="shared" si="16"/>
        <v/>
      </c>
      <c r="R192" t="str">
        <f t="shared" si="17"/>
        <v/>
      </c>
      <c r="T192">
        <f t="shared" si="18"/>
        <v>2985</v>
      </c>
    </row>
    <row r="193" spans="1:20" ht="14.1" customHeight="1" outlineLevel="3" x14ac:dyDescent="0.2">
      <c r="A193" t="str">
        <f t="shared" si="20"/>
        <v/>
      </c>
      <c r="E193" s="1"/>
      <c r="F193" s="1"/>
      <c r="G193" s="2"/>
      <c r="I193" s="2"/>
      <c r="P193" t="str">
        <f t="shared" si="15"/>
        <v/>
      </c>
      <c r="Q193" t="str">
        <f t="shared" si="16"/>
        <v/>
      </c>
      <c r="R193" t="str">
        <f t="shared" si="17"/>
        <v/>
      </c>
      <c r="T193">
        <f t="shared" si="18"/>
        <v>2985</v>
      </c>
    </row>
    <row r="194" spans="1:20" ht="14.1" customHeight="1" outlineLevel="3" x14ac:dyDescent="0.2">
      <c r="A194" t="str">
        <f t="shared" si="20"/>
        <v/>
      </c>
      <c r="E194" s="1"/>
      <c r="F194" s="1"/>
      <c r="G194" s="2"/>
      <c r="I194" s="2"/>
      <c r="P194" t="str">
        <f t="shared" si="15"/>
        <v/>
      </c>
      <c r="Q194" t="str">
        <f t="shared" si="16"/>
        <v/>
      </c>
      <c r="R194" t="str">
        <f t="shared" si="17"/>
        <v/>
      </c>
      <c r="T194">
        <f t="shared" si="18"/>
        <v>2985</v>
      </c>
    </row>
    <row r="195" spans="1:20" ht="14.1" customHeight="1" outlineLevel="3" x14ac:dyDescent="0.2">
      <c r="A195" t="str">
        <f t="shared" ref="A195:A258" si="21">IFERROR(IF(OR(K195="",I195=0),"",D195&amp;K195&amp;I195),"")</f>
        <v/>
      </c>
      <c r="E195" s="1"/>
      <c r="F195" s="1"/>
      <c r="G195" s="2"/>
      <c r="I195" s="2"/>
      <c r="P195" t="str">
        <f t="shared" ref="P195:P258" si="22">IF(OR(K195="",K195=0),"",D195&amp;N195&amp;K195&amp;M195&amp;F195)</f>
        <v/>
      </c>
      <c r="Q195" t="str">
        <f t="shared" ref="Q195:Q258" si="23">IF(P195="","",COUNTIF($P$2:$P$1448,$P195))</f>
        <v/>
      </c>
      <c r="R195" t="str">
        <f t="shared" ref="R195:R258" si="24">G195&amp;K195&amp;N195</f>
        <v/>
      </c>
      <c r="T195">
        <f t="shared" ref="T195:T258" si="25">COUNTIF($R$2:$R$2986,$R195)</f>
        <v>2985</v>
      </c>
    </row>
    <row r="196" spans="1:20" ht="14.1" customHeight="1" outlineLevel="3" x14ac:dyDescent="0.2">
      <c r="A196" t="str">
        <f t="shared" si="21"/>
        <v/>
      </c>
      <c r="E196" s="1"/>
      <c r="F196" s="1"/>
      <c r="G196" s="2"/>
      <c r="I196" s="2"/>
      <c r="P196" t="str">
        <f t="shared" si="22"/>
        <v/>
      </c>
      <c r="Q196" t="str">
        <f t="shared" si="23"/>
        <v/>
      </c>
      <c r="R196" t="str">
        <f t="shared" si="24"/>
        <v/>
      </c>
      <c r="T196">
        <f t="shared" si="25"/>
        <v>2985</v>
      </c>
    </row>
    <row r="197" spans="1:20" outlineLevel="2" x14ac:dyDescent="0.2">
      <c r="A197" t="str">
        <f t="shared" si="21"/>
        <v/>
      </c>
      <c r="E197" s="1"/>
      <c r="F197" s="1"/>
      <c r="G197" s="2"/>
      <c r="I197" s="2"/>
      <c r="P197" t="str">
        <f t="shared" si="22"/>
        <v/>
      </c>
      <c r="Q197" t="str">
        <f t="shared" si="23"/>
        <v/>
      </c>
      <c r="R197" t="str">
        <f t="shared" si="24"/>
        <v/>
      </c>
      <c r="T197">
        <f t="shared" si="25"/>
        <v>2985</v>
      </c>
    </row>
    <row r="198" spans="1:20" ht="14.1" customHeight="1" outlineLevel="3" x14ac:dyDescent="0.2">
      <c r="A198" t="str">
        <f t="shared" si="21"/>
        <v/>
      </c>
      <c r="E198" s="1"/>
      <c r="F198" s="1"/>
      <c r="G198" s="2"/>
      <c r="I198" s="2"/>
      <c r="P198" t="str">
        <f t="shared" si="22"/>
        <v/>
      </c>
      <c r="Q198" t="str">
        <f t="shared" si="23"/>
        <v/>
      </c>
      <c r="R198" t="str">
        <f t="shared" si="24"/>
        <v/>
      </c>
      <c r="T198">
        <f t="shared" si="25"/>
        <v>2985</v>
      </c>
    </row>
    <row r="199" spans="1:20" outlineLevel="2" x14ac:dyDescent="0.2">
      <c r="A199" t="str">
        <f t="shared" si="21"/>
        <v/>
      </c>
      <c r="E199" s="1"/>
      <c r="F199" s="1"/>
      <c r="G199" s="2"/>
      <c r="I199" s="2"/>
      <c r="P199" t="str">
        <f t="shared" si="22"/>
        <v/>
      </c>
      <c r="Q199" t="str">
        <f t="shared" si="23"/>
        <v/>
      </c>
      <c r="R199" t="str">
        <f t="shared" si="24"/>
        <v/>
      </c>
      <c r="T199">
        <f t="shared" si="25"/>
        <v>2985</v>
      </c>
    </row>
    <row r="200" spans="1:20" ht="14.1" customHeight="1" outlineLevel="3" x14ac:dyDescent="0.2">
      <c r="A200" t="str">
        <f t="shared" si="21"/>
        <v/>
      </c>
      <c r="E200" s="1"/>
      <c r="F200" s="1"/>
      <c r="G200" s="2"/>
      <c r="I200" s="2"/>
      <c r="P200" t="str">
        <f t="shared" si="22"/>
        <v/>
      </c>
      <c r="Q200" t="str">
        <f t="shared" si="23"/>
        <v/>
      </c>
      <c r="R200" t="str">
        <f t="shared" si="24"/>
        <v/>
      </c>
      <c r="T200">
        <f t="shared" si="25"/>
        <v>2985</v>
      </c>
    </row>
    <row r="201" spans="1:20" ht="14.1" customHeight="1" outlineLevel="3" x14ac:dyDescent="0.2">
      <c r="A201" t="str">
        <f t="shared" si="21"/>
        <v/>
      </c>
      <c r="E201" s="1"/>
      <c r="F201" s="1"/>
      <c r="G201" s="2"/>
      <c r="I201" s="2"/>
      <c r="P201" t="str">
        <f t="shared" si="22"/>
        <v/>
      </c>
      <c r="Q201" t="str">
        <f t="shared" si="23"/>
        <v/>
      </c>
      <c r="R201" t="str">
        <f t="shared" si="24"/>
        <v/>
      </c>
      <c r="T201">
        <f t="shared" si="25"/>
        <v>2985</v>
      </c>
    </row>
    <row r="202" spans="1:20" ht="14.1" customHeight="1" outlineLevel="3" x14ac:dyDescent="0.2">
      <c r="A202" t="str">
        <f t="shared" si="21"/>
        <v/>
      </c>
      <c r="E202" s="1"/>
      <c r="F202" s="1"/>
      <c r="G202" s="2"/>
      <c r="I202" s="2"/>
      <c r="P202" t="str">
        <f t="shared" si="22"/>
        <v/>
      </c>
      <c r="Q202" t="str">
        <f t="shared" si="23"/>
        <v/>
      </c>
      <c r="R202" t="str">
        <f t="shared" si="24"/>
        <v/>
      </c>
      <c r="T202">
        <f t="shared" si="25"/>
        <v>2985</v>
      </c>
    </row>
    <row r="203" spans="1:20" ht="14.1" customHeight="1" outlineLevel="3" x14ac:dyDescent="0.2">
      <c r="A203" t="str">
        <f t="shared" si="21"/>
        <v/>
      </c>
      <c r="E203" s="1"/>
      <c r="F203" s="1"/>
      <c r="G203" s="2"/>
      <c r="I203" s="2"/>
      <c r="P203" t="str">
        <f t="shared" si="22"/>
        <v/>
      </c>
      <c r="Q203" t="str">
        <f t="shared" si="23"/>
        <v/>
      </c>
      <c r="R203" t="str">
        <f t="shared" si="24"/>
        <v/>
      </c>
      <c r="T203">
        <f t="shared" si="25"/>
        <v>2985</v>
      </c>
    </row>
    <row r="204" spans="1:20" ht="14.1" customHeight="1" outlineLevel="3" x14ac:dyDescent="0.2">
      <c r="A204" t="str">
        <f t="shared" si="21"/>
        <v/>
      </c>
      <c r="E204" s="1"/>
      <c r="F204" s="1"/>
      <c r="G204" s="2"/>
      <c r="I204" s="2"/>
      <c r="P204" t="str">
        <f t="shared" si="22"/>
        <v/>
      </c>
      <c r="Q204" t="str">
        <f t="shared" si="23"/>
        <v/>
      </c>
      <c r="R204" t="str">
        <f t="shared" si="24"/>
        <v/>
      </c>
      <c r="T204">
        <f t="shared" si="25"/>
        <v>2985</v>
      </c>
    </row>
    <row r="205" spans="1:20" ht="14.1" customHeight="1" outlineLevel="3" x14ac:dyDescent="0.2">
      <c r="A205" t="str">
        <f t="shared" si="21"/>
        <v/>
      </c>
      <c r="E205" s="1"/>
      <c r="F205" s="1"/>
      <c r="G205" s="2"/>
      <c r="I205" s="2"/>
      <c r="P205" t="str">
        <f t="shared" si="22"/>
        <v/>
      </c>
      <c r="Q205" t="str">
        <f t="shared" si="23"/>
        <v/>
      </c>
      <c r="R205" t="str">
        <f t="shared" si="24"/>
        <v/>
      </c>
      <c r="T205">
        <f t="shared" si="25"/>
        <v>2985</v>
      </c>
    </row>
    <row r="206" spans="1:20" ht="14.1" customHeight="1" outlineLevel="3" x14ac:dyDescent="0.2">
      <c r="A206" t="str">
        <f t="shared" si="21"/>
        <v/>
      </c>
      <c r="E206" s="1"/>
      <c r="F206" s="1"/>
      <c r="G206" s="2"/>
      <c r="I206" s="2"/>
      <c r="P206" t="str">
        <f t="shared" si="22"/>
        <v/>
      </c>
      <c r="Q206" t="str">
        <f t="shared" si="23"/>
        <v/>
      </c>
      <c r="R206" t="str">
        <f t="shared" si="24"/>
        <v/>
      </c>
      <c r="T206">
        <f t="shared" si="25"/>
        <v>2985</v>
      </c>
    </row>
    <row r="207" spans="1:20" ht="14.1" customHeight="1" outlineLevel="3" x14ac:dyDescent="0.2">
      <c r="A207" t="str">
        <f t="shared" si="21"/>
        <v/>
      </c>
      <c r="E207" s="1"/>
      <c r="F207" s="1"/>
      <c r="G207" s="2"/>
      <c r="I207" s="2"/>
      <c r="P207" t="str">
        <f t="shared" si="22"/>
        <v/>
      </c>
      <c r="Q207" t="str">
        <f t="shared" si="23"/>
        <v/>
      </c>
      <c r="R207" t="str">
        <f t="shared" si="24"/>
        <v/>
      </c>
      <c r="T207">
        <f t="shared" si="25"/>
        <v>2985</v>
      </c>
    </row>
    <row r="208" spans="1:20" ht="14.1" customHeight="1" outlineLevel="3" x14ac:dyDescent="0.2">
      <c r="A208" t="str">
        <f t="shared" si="21"/>
        <v/>
      </c>
      <c r="E208" s="1"/>
      <c r="F208" s="1"/>
      <c r="G208" s="2"/>
      <c r="I208" s="2"/>
      <c r="P208" t="str">
        <f t="shared" si="22"/>
        <v/>
      </c>
      <c r="Q208" t="str">
        <f t="shared" si="23"/>
        <v/>
      </c>
      <c r="R208" t="str">
        <f t="shared" si="24"/>
        <v/>
      </c>
      <c r="T208">
        <f t="shared" si="25"/>
        <v>2985</v>
      </c>
    </row>
    <row r="209" spans="1:20" ht="14.1" customHeight="1" outlineLevel="3" x14ac:dyDescent="0.2">
      <c r="A209" t="str">
        <f t="shared" si="21"/>
        <v/>
      </c>
      <c r="E209" s="1"/>
      <c r="F209" s="1"/>
      <c r="G209" s="2"/>
      <c r="I209" s="2"/>
      <c r="P209" t="str">
        <f t="shared" si="22"/>
        <v/>
      </c>
      <c r="Q209" t="str">
        <f t="shared" si="23"/>
        <v/>
      </c>
      <c r="R209" t="str">
        <f t="shared" si="24"/>
        <v/>
      </c>
      <c r="T209">
        <f t="shared" si="25"/>
        <v>2985</v>
      </c>
    </row>
    <row r="210" spans="1:20" ht="14.1" customHeight="1" outlineLevel="3" x14ac:dyDescent="0.2">
      <c r="A210" t="str">
        <f t="shared" si="21"/>
        <v/>
      </c>
      <c r="E210" s="1"/>
      <c r="F210" s="1"/>
      <c r="G210" s="2"/>
      <c r="I210" s="2"/>
      <c r="P210" t="str">
        <f t="shared" si="22"/>
        <v/>
      </c>
      <c r="Q210" t="str">
        <f t="shared" si="23"/>
        <v/>
      </c>
      <c r="R210" t="str">
        <f t="shared" si="24"/>
        <v/>
      </c>
      <c r="T210">
        <f t="shared" si="25"/>
        <v>2985</v>
      </c>
    </row>
    <row r="211" spans="1:20" ht="14.1" customHeight="1" outlineLevel="3" x14ac:dyDescent="0.2">
      <c r="A211" t="str">
        <f t="shared" si="21"/>
        <v/>
      </c>
      <c r="E211" s="1"/>
      <c r="F211" s="1"/>
      <c r="G211" s="2"/>
      <c r="I211" s="2"/>
      <c r="P211" t="str">
        <f t="shared" si="22"/>
        <v/>
      </c>
      <c r="Q211" t="str">
        <f t="shared" si="23"/>
        <v/>
      </c>
      <c r="R211" t="str">
        <f t="shared" si="24"/>
        <v/>
      </c>
      <c r="T211">
        <f t="shared" si="25"/>
        <v>2985</v>
      </c>
    </row>
    <row r="212" spans="1:20" ht="14.1" customHeight="1" outlineLevel="3" x14ac:dyDescent="0.2">
      <c r="A212" t="str">
        <f t="shared" si="21"/>
        <v/>
      </c>
      <c r="E212" s="1"/>
      <c r="F212" s="1"/>
      <c r="G212" s="2"/>
      <c r="I212" s="2"/>
      <c r="P212" t="str">
        <f t="shared" si="22"/>
        <v/>
      </c>
      <c r="Q212" t="str">
        <f t="shared" si="23"/>
        <v/>
      </c>
      <c r="R212" t="str">
        <f t="shared" si="24"/>
        <v/>
      </c>
      <c r="T212">
        <f t="shared" si="25"/>
        <v>2985</v>
      </c>
    </row>
    <row r="213" spans="1:20" ht="14.1" customHeight="1" outlineLevel="3" x14ac:dyDescent="0.2">
      <c r="A213" t="str">
        <f t="shared" si="21"/>
        <v/>
      </c>
      <c r="E213" s="1"/>
      <c r="F213" s="1"/>
      <c r="G213" s="2"/>
      <c r="I213" s="2"/>
      <c r="P213" t="str">
        <f t="shared" si="22"/>
        <v/>
      </c>
      <c r="Q213" t="str">
        <f t="shared" si="23"/>
        <v/>
      </c>
      <c r="R213" t="str">
        <f t="shared" si="24"/>
        <v/>
      </c>
      <c r="T213">
        <f t="shared" si="25"/>
        <v>2985</v>
      </c>
    </row>
    <row r="214" spans="1:20" ht="14.1" customHeight="1" outlineLevel="3" x14ac:dyDescent="0.2">
      <c r="A214" t="str">
        <f t="shared" si="21"/>
        <v/>
      </c>
      <c r="E214" s="1"/>
      <c r="F214" s="1"/>
      <c r="G214" s="2"/>
      <c r="I214" s="2"/>
      <c r="P214" t="str">
        <f t="shared" si="22"/>
        <v/>
      </c>
      <c r="Q214" t="str">
        <f t="shared" si="23"/>
        <v/>
      </c>
      <c r="R214" t="str">
        <f t="shared" si="24"/>
        <v/>
      </c>
      <c r="T214">
        <f t="shared" si="25"/>
        <v>2985</v>
      </c>
    </row>
    <row r="215" spans="1:20" ht="14.1" customHeight="1" outlineLevel="3" x14ac:dyDescent="0.2">
      <c r="A215" t="str">
        <f t="shared" si="21"/>
        <v/>
      </c>
      <c r="E215" s="1"/>
      <c r="F215" s="1"/>
      <c r="G215" s="2"/>
      <c r="I215" s="2"/>
      <c r="P215" t="str">
        <f t="shared" si="22"/>
        <v/>
      </c>
      <c r="Q215" t="str">
        <f t="shared" si="23"/>
        <v/>
      </c>
      <c r="R215" t="str">
        <f t="shared" si="24"/>
        <v/>
      </c>
      <c r="T215">
        <f t="shared" si="25"/>
        <v>2985</v>
      </c>
    </row>
    <row r="216" spans="1:20" ht="14.1" customHeight="1" outlineLevel="3" x14ac:dyDescent="0.2">
      <c r="A216" t="str">
        <f t="shared" si="21"/>
        <v/>
      </c>
      <c r="E216" s="1"/>
      <c r="F216" s="1"/>
      <c r="G216" s="2"/>
      <c r="I216" s="2"/>
      <c r="P216" t="str">
        <f t="shared" si="22"/>
        <v/>
      </c>
      <c r="Q216" t="str">
        <f t="shared" si="23"/>
        <v/>
      </c>
      <c r="R216" t="str">
        <f t="shared" si="24"/>
        <v/>
      </c>
      <c r="T216">
        <f t="shared" si="25"/>
        <v>2985</v>
      </c>
    </row>
    <row r="217" spans="1:20" ht="14.1" customHeight="1" outlineLevel="3" x14ac:dyDescent="0.2">
      <c r="A217" t="str">
        <f t="shared" si="21"/>
        <v/>
      </c>
      <c r="E217" s="1"/>
      <c r="F217" s="1"/>
      <c r="G217" s="2"/>
      <c r="I217" s="2"/>
      <c r="P217" t="str">
        <f t="shared" si="22"/>
        <v/>
      </c>
      <c r="Q217" t="str">
        <f t="shared" si="23"/>
        <v/>
      </c>
      <c r="R217" t="str">
        <f t="shared" si="24"/>
        <v/>
      </c>
      <c r="T217">
        <f t="shared" si="25"/>
        <v>2985</v>
      </c>
    </row>
    <row r="218" spans="1:20" ht="14.1" customHeight="1" outlineLevel="3" x14ac:dyDescent="0.2">
      <c r="A218" t="str">
        <f t="shared" si="21"/>
        <v/>
      </c>
      <c r="E218" s="1"/>
      <c r="F218" s="1"/>
      <c r="G218" s="2"/>
      <c r="I218" s="2"/>
      <c r="P218" t="str">
        <f t="shared" si="22"/>
        <v/>
      </c>
      <c r="Q218" t="str">
        <f t="shared" si="23"/>
        <v/>
      </c>
      <c r="R218" t="str">
        <f t="shared" si="24"/>
        <v/>
      </c>
      <c r="T218">
        <f t="shared" si="25"/>
        <v>2985</v>
      </c>
    </row>
    <row r="219" spans="1:20" ht="14.1" customHeight="1" outlineLevel="3" x14ac:dyDescent="0.2">
      <c r="A219" t="str">
        <f t="shared" si="21"/>
        <v/>
      </c>
      <c r="E219" s="1"/>
      <c r="F219" s="1"/>
      <c r="G219" s="2"/>
      <c r="I219" s="2"/>
      <c r="P219" t="str">
        <f t="shared" si="22"/>
        <v/>
      </c>
      <c r="Q219" t="str">
        <f t="shared" si="23"/>
        <v/>
      </c>
      <c r="R219" t="str">
        <f t="shared" si="24"/>
        <v/>
      </c>
      <c r="T219">
        <f t="shared" si="25"/>
        <v>2985</v>
      </c>
    </row>
    <row r="220" spans="1:20" ht="14.1" customHeight="1" outlineLevel="3" x14ac:dyDescent="0.2">
      <c r="A220" t="str">
        <f t="shared" si="21"/>
        <v/>
      </c>
      <c r="E220" s="1"/>
      <c r="F220" s="1"/>
      <c r="G220" s="2"/>
      <c r="I220" s="2"/>
      <c r="P220" t="str">
        <f t="shared" si="22"/>
        <v/>
      </c>
      <c r="Q220" t="str">
        <f t="shared" si="23"/>
        <v/>
      </c>
      <c r="R220" t="str">
        <f t="shared" si="24"/>
        <v/>
      </c>
      <c r="T220">
        <f t="shared" si="25"/>
        <v>2985</v>
      </c>
    </row>
    <row r="221" spans="1:20" ht="14.1" customHeight="1" outlineLevel="3" x14ac:dyDescent="0.2">
      <c r="A221" t="str">
        <f t="shared" si="21"/>
        <v/>
      </c>
      <c r="E221" s="1"/>
      <c r="F221" s="1"/>
      <c r="G221" s="2"/>
      <c r="I221" s="2"/>
      <c r="P221" t="str">
        <f t="shared" si="22"/>
        <v/>
      </c>
      <c r="Q221" t="str">
        <f t="shared" si="23"/>
        <v/>
      </c>
      <c r="R221" t="str">
        <f t="shared" si="24"/>
        <v/>
      </c>
      <c r="T221">
        <f t="shared" si="25"/>
        <v>2985</v>
      </c>
    </row>
    <row r="222" spans="1:20" ht="14.1" customHeight="1" outlineLevel="3" x14ac:dyDescent="0.2">
      <c r="A222" t="str">
        <f t="shared" si="21"/>
        <v/>
      </c>
      <c r="E222" s="1"/>
      <c r="F222" s="1"/>
      <c r="G222" s="2"/>
      <c r="I222" s="2"/>
      <c r="P222" t="str">
        <f t="shared" si="22"/>
        <v/>
      </c>
      <c r="Q222" t="str">
        <f t="shared" si="23"/>
        <v/>
      </c>
      <c r="R222" t="str">
        <f t="shared" si="24"/>
        <v/>
      </c>
      <c r="T222">
        <f t="shared" si="25"/>
        <v>2985</v>
      </c>
    </row>
    <row r="223" spans="1:20" ht="14.1" customHeight="1" outlineLevel="3" x14ac:dyDescent="0.2">
      <c r="A223" t="str">
        <f t="shared" si="21"/>
        <v/>
      </c>
      <c r="E223" s="1"/>
      <c r="F223" s="1"/>
      <c r="G223" s="2"/>
      <c r="I223" s="2"/>
      <c r="P223" t="str">
        <f t="shared" si="22"/>
        <v/>
      </c>
      <c r="Q223" t="str">
        <f t="shared" si="23"/>
        <v/>
      </c>
      <c r="R223" t="str">
        <f t="shared" si="24"/>
        <v/>
      </c>
      <c r="T223">
        <f t="shared" si="25"/>
        <v>2985</v>
      </c>
    </row>
    <row r="224" spans="1:20" ht="14.1" customHeight="1" outlineLevel="3" x14ac:dyDescent="0.2">
      <c r="A224" t="str">
        <f t="shared" si="21"/>
        <v/>
      </c>
      <c r="E224" s="1"/>
      <c r="F224" s="1"/>
      <c r="G224" s="2"/>
      <c r="I224" s="2"/>
      <c r="P224" t="str">
        <f t="shared" si="22"/>
        <v/>
      </c>
      <c r="Q224" t="str">
        <f t="shared" si="23"/>
        <v/>
      </c>
      <c r="R224" t="str">
        <f t="shared" si="24"/>
        <v/>
      </c>
      <c r="T224">
        <f t="shared" si="25"/>
        <v>2985</v>
      </c>
    </row>
    <row r="225" spans="1:20" ht="14.1" customHeight="1" outlineLevel="3" x14ac:dyDescent="0.2">
      <c r="A225" t="str">
        <f t="shared" si="21"/>
        <v/>
      </c>
      <c r="E225" s="1"/>
      <c r="F225" s="1"/>
      <c r="G225" s="2"/>
      <c r="I225" s="2"/>
      <c r="P225" t="str">
        <f t="shared" si="22"/>
        <v/>
      </c>
      <c r="Q225" t="str">
        <f t="shared" si="23"/>
        <v/>
      </c>
      <c r="R225" t="str">
        <f t="shared" si="24"/>
        <v/>
      </c>
      <c r="T225">
        <f t="shared" si="25"/>
        <v>2985</v>
      </c>
    </row>
    <row r="226" spans="1:20" ht="14.1" customHeight="1" outlineLevel="3" x14ac:dyDescent="0.2">
      <c r="A226" t="str">
        <f t="shared" si="21"/>
        <v/>
      </c>
      <c r="E226" s="1"/>
      <c r="F226" s="1"/>
      <c r="G226" s="2"/>
      <c r="I226" s="2"/>
      <c r="P226" t="str">
        <f t="shared" si="22"/>
        <v/>
      </c>
      <c r="Q226" t="str">
        <f t="shared" si="23"/>
        <v/>
      </c>
      <c r="R226" t="str">
        <f t="shared" si="24"/>
        <v/>
      </c>
      <c r="T226">
        <f t="shared" si="25"/>
        <v>2985</v>
      </c>
    </row>
    <row r="227" spans="1:20" ht="14.1" customHeight="1" outlineLevel="3" x14ac:dyDescent="0.2">
      <c r="A227" t="str">
        <f t="shared" si="21"/>
        <v/>
      </c>
      <c r="E227" s="1"/>
      <c r="F227" s="1"/>
      <c r="G227" s="2"/>
      <c r="I227" s="2"/>
      <c r="P227" t="str">
        <f t="shared" si="22"/>
        <v/>
      </c>
      <c r="Q227" t="str">
        <f t="shared" si="23"/>
        <v/>
      </c>
      <c r="R227" t="str">
        <f t="shared" si="24"/>
        <v/>
      </c>
      <c r="T227">
        <f t="shared" si="25"/>
        <v>2985</v>
      </c>
    </row>
    <row r="228" spans="1:20" ht="14.1" customHeight="1" outlineLevel="3" x14ac:dyDescent="0.2">
      <c r="A228" t="str">
        <f t="shared" si="21"/>
        <v/>
      </c>
      <c r="E228" s="1"/>
      <c r="F228" s="1"/>
      <c r="G228" s="2"/>
      <c r="I228" s="2"/>
      <c r="P228" t="str">
        <f t="shared" si="22"/>
        <v/>
      </c>
      <c r="Q228" t="str">
        <f t="shared" si="23"/>
        <v/>
      </c>
      <c r="R228" t="str">
        <f t="shared" si="24"/>
        <v/>
      </c>
      <c r="T228">
        <f t="shared" si="25"/>
        <v>2985</v>
      </c>
    </row>
    <row r="229" spans="1:20" ht="14.1" customHeight="1" outlineLevel="3" x14ac:dyDescent="0.2">
      <c r="A229" t="str">
        <f t="shared" si="21"/>
        <v/>
      </c>
      <c r="E229" s="1"/>
      <c r="F229" s="1"/>
      <c r="G229" s="2"/>
      <c r="I229" s="2"/>
      <c r="P229" t="str">
        <f t="shared" si="22"/>
        <v/>
      </c>
      <c r="Q229" t="str">
        <f t="shared" si="23"/>
        <v/>
      </c>
      <c r="R229" t="str">
        <f t="shared" si="24"/>
        <v/>
      </c>
      <c r="T229">
        <f t="shared" si="25"/>
        <v>2985</v>
      </c>
    </row>
    <row r="230" spans="1:20" ht="14.1" customHeight="1" outlineLevel="3" x14ac:dyDescent="0.2">
      <c r="A230" t="str">
        <f t="shared" si="21"/>
        <v/>
      </c>
      <c r="E230" s="1"/>
      <c r="F230" s="1"/>
      <c r="G230" s="2"/>
      <c r="I230" s="2"/>
      <c r="P230" t="str">
        <f t="shared" si="22"/>
        <v/>
      </c>
      <c r="Q230" t="str">
        <f t="shared" si="23"/>
        <v/>
      </c>
      <c r="R230" t="str">
        <f t="shared" si="24"/>
        <v/>
      </c>
      <c r="T230">
        <f t="shared" si="25"/>
        <v>2985</v>
      </c>
    </row>
    <row r="231" spans="1:20" ht="14.1" customHeight="1" outlineLevel="3" x14ac:dyDescent="0.2">
      <c r="A231" t="str">
        <f t="shared" si="21"/>
        <v/>
      </c>
      <c r="E231" s="1"/>
      <c r="F231" s="1"/>
      <c r="G231" s="2"/>
      <c r="I231" s="2"/>
      <c r="P231" t="str">
        <f t="shared" si="22"/>
        <v/>
      </c>
      <c r="Q231" t="str">
        <f t="shared" si="23"/>
        <v/>
      </c>
      <c r="R231" t="str">
        <f t="shared" si="24"/>
        <v/>
      </c>
      <c r="T231">
        <f t="shared" si="25"/>
        <v>2985</v>
      </c>
    </row>
    <row r="232" spans="1:20" ht="14.1" customHeight="1" outlineLevel="3" x14ac:dyDescent="0.2">
      <c r="A232" t="str">
        <f t="shared" si="21"/>
        <v/>
      </c>
      <c r="E232" s="1"/>
      <c r="F232" s="1"/>
      <c r="G232" s="2"/>
      <c r="I232" s="2"/>
      <c r="P232" t="str">
        <f t="shared" si="22"/>
        <v/>
      </c>
      <c r="Q232" t="str">
        <f t="shared" si="23"/>
        <v/>
      </c>
      <c r="R232" t="str">
        <f t="shared" si="24"/>
        <v/>
      </c>
      <c r="T232">
        <f t="shared" si="25"/>
        <v>2985</v>
      </c>
    </row>
    <row r="233" spans="1:20" ht="14.1" customHeight="1" outlineLevel="3" x14ac:dyDescent="0.2">
      <c r="A233" t="str">
        <f t="shared" si="21"/>
        <v/>
      </c>
      <c r="E233" s="1"/>
      <c r="F233" s="1"/>
      <c r="G233" s="2"/>
      <c r="I233" s="2"/>
      <c r="P233" t="str">
        <f t="shared" si="22"/>
        <v/>
      </c>
      <c r="Q233" t="str">
        <f t="shared" si="23"/>
        <v/>
      </c>
      <c r="R233" t="str">
        <f t="shared" si="24"/>
        <v/>
      </c>
      <c r="T233">
        <f t="shared" si="25"/>
        <v>2985</v>
      </c>
    </row>
    <row r="234" spans="1:20" ht="14.1" customHeight="1" outlineLevel="3" x14ac:dyDescent="0.2">
      <c r="A234" t="str">
        <f t="shared" si="21"/>
        <v/>
      </c>
      <c r="E234" s="1"/>
      <c r="F234" s="1"/>
      <c r="G234" s="2"/>
      <c r="I234" s="2"/>
      <c r="P234" t="str">
        <f t="shared" si="22"/>
        <v/>
      </c>
      <c r="Q234" t="str">
        <f t="shared" si="23"/>
        <v/>
      </c>
      <c r="R234" t="str">
        <f t="shared" si="24"/>
        <v/>
      </c>
      <c r="T234">
        <f t="shared" si="25"/>
        <v>2985</v>
      </c>
    </row>
    <row r="235" spans="1:20" ht="14.1" customHeight="1" outlineLevel="3" x14ac:dyDescent="0.2">
      <c r="A235" t="str">
        <f t="shared" si="21"/>
        <v/>
      </c>
      <c r="E235" s="1"/>
      <c r="F235" s="1"/>
      <c r="G235" s="2"/>
      <c r="I235" s="2"/>
      <c r="P235" t="str">
        <f t="shared" si="22"/>
        <v/>
      </c>
      <c r="Q235" t="str">
        <f t="shared" si="23"/>
        <v/>
      </c>
      <c r="R235" t="str">
        <f t="shared" si="24"/>
        <v/>
      </c>
      <c r="T235">
        <f t="shared" si="25"/>
        <v>2985</v>
      </c>
    </row>
    <row r="236" spans="1:20" ht="14.1" customHeight="1" outlineLevel="3" x14ac:dyDescent="0.2">
      <c r="A236" t="str">
        <f t="shared" si="21"/>
        <v/>
      </c>
      <c r="E236" s="1"/>
      <c r="F236" s="1"/>
      <c r="G236" s="2"/>
      <c r="I236" s="2"/>
      <c r="P236" t="str">
        <f t="shared" si="22"/>
        <v/>
      </c>
      <c r="Q236" t="str">
        <f t="shared" si="23"/>
        <v/>
      </c>
      <c r="R236" t="str">
        <f t="shared" si="24"/>
        <v/>
      </c>
      <c r="T236">
        <f t="shared" si="25"/>
        <v>2985</v>
      </c>
    </row>
    <row r="237" spans="1:20" ht="14.1" customHeight="1" outlineLevel="3" x14ac:dyDescent="0.2">
      <c r="A237" t="str">
        <f t="shared" si="21"/>
        <v/>
      </c>
      <c r="E237" s="1"/>
      <c r="F237" s="1"/>
      <c r="G237" s="2"/>
      <c r="I237" s="2"/>
      <c r="P237" t="str">
        <f t="shared" si="22"/>
        <v/>
      </c>
      <c r="Q237" t="str">
        <f t="shared" si="23"/>
        <v/>
      </c>
      <c r="R237" t="str">
        <f t="shared" si="24"/>
        <v/>
      </c>
      <c r="T237">
        <f t="shared" si="25"/>
        <v>2985</v>
      </c>
    </row>
    <row r="238" spans="1:20" ht="14.1" customHeight="1" outlineLevel="3" x14ac:dyDescent="0.2">
      <c r="A238" t="str">
        <f t="shared" si="21"/>
        <v/>
      </c>
      <c r="E238" s="1"/>
      <c r="F238" s="1"/>
      <c r="G238" s="2"/>
      <c r="I238" s="2"/>
      <c r="P238" t="str">
        <f t="shared" si="22"/>
        <v/>
      </c>
      <c r="Q238" t="str">
        <f t="shared" si="23"/>
        <v/>
      </c>
      <c r="R238" t="str">
        <f t="shared" si="24"/>
        <v/>
      </c>
      <c r="T238">
        <f t="shared" si="25"/>
        <v>2985</v>
      </c>
    </row>
    <row r="239" spans="1:20" ht="14.1" customHeight="1" outlineLevel="3" x14ac:dyDescent="0.2">
      <c r="A239" t="str">
        <f t="shared" si="21"/>
        <v/>
      </c>
      <c r="E239" s="1"/>
      <c r="F239" s="1"/>
      <c r="G239" s="2"/>
      <c r="I239" s="2"/>
      <c r="P239" t="str">
        <f t="shared" si="22"/>
        <v/>
      </c>
      <c r="Q239" t="str">
        <f t="shared" si="23"/>
        <v/>
      </c>
      <c r="R239" t="str">
        <f t="shared" si="24"/>
        <v/>
      </c>
      <c r="T239">
        <f t="shared" si="25"/>
        <v>2985</v>
      </c>
    </row>
    <row r="240" spans="1:20" ht="14.1" customHeight="1" outlineLevel="3" x14ac:dyDescent="0.2">
      <c r="A240" t="str">
        <f t="shared" si="21"/>
        <v/>
      </c>
      <c r="E240" s="1"/>
      <c r="F240" s="1"/>
      <c r="G240" s="2"/>
      <c r="I240" s="2"/>
      <c r="P240" t="str">
        <f t="shared" si="22"/>
        <v/>
      </c>
      <c r="Q240" t="str">
        <f t="shared" si="23"/>
        <v/>
      </c>
      <c r="R240" t="str">
        <f t="shared" si="24"/>
        <v/>
      </c>
      <c r="T240">
        <f t="shared" si="25"/>
        <v>2985</v>
      </c>
    </row>
    <row r="241" spans="1:20" ht="14.1" customHeight="1" outlineLevel="3" x14ac:dyDescent="0.2">
      <c r="A241" t="str">
        <f t="shared" si="21"/>
        <v/>
      </c>
      <c r="E241" s="1"/>
      <c r="F241" s="1"/>
      <c r="G241" s="2"/>
      <c r="I241" s="2"/>
      <c r="P241" t="str">
        <f t="shared" si="22"/>
        <v/>
      </c>
      <c r="Q241" t="str">
        <f t="shared" si="23"/>
        <v/>
      </c>
      <c r="R241" t="str">
        <f t="shared" si="24"/>
        <v/>
      </c>
      <c r="T241">
        <f t="shared" si="25"/>
        <v>2985</v>
      </c>
    </row>
    <row r="242" spans="1:20" ht="14.1" customHeight="1" outlineLevel="3" x14ac:dyDescent="0.2">
      <c r="A242" t="str">
        <f t="shared" si="21"/>
        <v/>
      </c>
      <c r="E242" s="1"/>
      <c r="F242" s="1"/>
      <c r="G242" s="2"/>
      <c r="I242" s="2"/>
      <c r="P242" t="str">
        <f t="shared" si="22"/>
        <v/>
      </c>
      <c r="Q242" t="str">
        <f t="shared" si="23"/>
        <v/>
      </c>
      <c r="R242" t="str">
        <f t="shared" si="24"/>
        <v/>
      </c>
      <c r="T242">
        <f t="shared" si="25"/>
        <v>2985</v>
      </c>
    </row>
    <row r="243" spans="1:20" ht="14.1" customHeight="1" outlineLevel="3" x14ac:dyDescent="0.2">
      <c r="A243" t="str">
        <f t="shared" si="21"/>
        <v/>
      </c>
      <c r="E243" s="1"/>
      <c r="F243" s="1"/>
      <c r="G243" s="2"/>
      <c r="I243" s="2"/>
      <c r="P243" t="str">
        <f t="shared" si="22"/>
        <v/>
      </c>
      <c r="Q243" t="str">
        <f t="shared" si="23"/>
        <v/>
      </c>
      <c r="R243" t="str">
        <f t="shared" si="24"/>
        <v/>
      </c>
      <c r="T243">
        <f t="shared" si="25"/>
        <v>2985</v>
      </c>
    </row>
    <row r="244" spans="1:20" ht="14.1" customHeight="1" outlineLevel="3" x14ac:dyDescent="0.2">
      <c r="A244" t="str">
        <f t="shared" si="21"/>
        <v/>
      </c>
      <c r="E244" s="1"/>
      <c r="F244" s="1"/>
      <c r="G244" s="2"/>
      <c r="I244" s="2"/>
      <c r="P244" t="str">
        <f t="shared" si="22"/>
        <v/>
      </c>
      <c r="Q244" t="str">
        <f t="shared" si="23"/>
        <v/>
      </c>
      <c r="R244" t="str">
        <f t="shared" si="24"/>
        <v/>
      </c>
      <c r="T244">
        <f t="shared" si="25"/>
        <v>2985</v>
      </c>
    </row>
    <row r="245" spans="1:20" ht="14.1" customHeight="1" outlineLevel="3" x14ac:dyDescent="0.2">
      <c r="A245" t="str">
        <f t="shared" si="21"/>
        <v/>
      </c>
      <c r="E245" s="1"/>
      <c r="F245" s="1"/>
      <c r="G245" s="2"/>
      <c r="I245" s="2"/>
      <c r="P245" t="str">
        <f t="shared" si="22"/>
        <v/>
      </c>
      <c r="Q245" t="str">
        <f t="shared" si="23"/>
        <v/>
      </c>
      <c r="R245" t="str">
        <f t="shared" si="24"/>
        <v/>
      </c>
      <c r="T245">
        <f t="shared" si="25"/>
        <v>2985</v>
      </c>
    </row>
    <row r="246" spans="1:20" ht="14.1" customHeight="1" outlineLevel="3" x14ac:dyDescent="0.2">
      <c r="A246" t="str">
        <f t="shared" si="21"/>
        <v/>
      </c>
      <c r="E246" s="1"/>
      <c r="F246" s="1"/>
      <c r="G246" s="2"/>
      <c r="I246" s="2"/>
      <c r="P246" t="str">
        <f t="shared" si="22"/>
        <v/>
      </c>
      <c r="Q246" t="str">
        <f t="shared" si="23"/>
        <v/>
      </c>
      <c r="R246" t="str">
        <f t="shared" si="24"/>
        <v/>
      </c>
      <c r="T246">
        <f t="shared" si="25"/>
        <v>2985</v>
      </c>
    </row>
    <row r="247" spans="1:20" ht="14.1" customHeight="1" outlineLevel="3" x14ac:dyDescent="0.2">
      <c r="A247" t="str">
        <f t="shared" si="21"/>
        <v/>
      </c>
      <c r="E247" s="1"/>
      <c r="F247" s="1"/>
      <c r="G247" s="2"/>
      <c r="I247" s="2"/>
      <c r="P247" t="str">
        <f t="shared" si="22"/>
        <v/>
      </c>
      <c r="Q247" t="str">
        <f t="shared" si="23"/>
        <v/>
      </c>
      <c r="R247" t="str">
        <f t="shared" si="24"/>
        <v/>
      </c>
      <c r="T247">
        <f t="shared" si="25"/>
        <v>2985</v>
      </c>
    </row>
    <row r="248" spans="1:20" ht="14.1" customHeight="1" outlineLevel="3" x14ac:dyDescent="0.2">
      <c r="A248" t="str">
        <f t="shared" si="21"/>
        <v/>
      </c>
      <c r="E248" s="1"/>
      <c r="F248" s="1"/>
      <c r="G248" s="2"/>
      <c r="I248" s="2"/>
      <c r="P248" t="str">
        <f t="shared" si="22"/>
        <v/>
      </c>
      <c r="Q248" t="str">
        <f t="shared" si="23"/>
        <v/>
      </c>
      <c r="R248" t="str">
        <f t="shared" si="24"/>
        <v/>
      </c>
      <c r="T248">
        <f t="shared" si="25"/>
        <v>2985</v>
      </c>
    </row>
    <row r="249" spans="1:20" ht="14.1" customHeight="1" outlineLevel="3" x14ac:dyDescent="0.2">
      <c r="A249" t="str">
        <f t="shared" si="21"/>
        <v/>
      </c>
      <c r="E249" s="1"/>
      <c r="F249" s="1"/>
      <c r="G249" s="2"/>
      <c r="I249" s="2"/>
      <c r="P249" t="str">
        <f t="shared" si="22"/>
        <v/>
      </c>
      <c r="Q249" t="str">
        <f t="shared" si="23"/>
        <v/>
      </c>
      <c r="R249" t="str">
        <f t="shared" si="24"/>
        <v/>
      </c>
      <c r="T249">
        <f t="shared" si="25"/>
        <v>2985</v>
      </c>
    </row>
    <row r="250" spans="1:20" ht="14.1" customHeight="1" outlineLevel="3" x14ac:dyDescent="0.2">
      <c r="A250" t="str">
        <f t="shared" si="21"/>
        <v/>
      </c>
      <c r="E250" s="1"/>
      <c r="F250" s="1"/>
      <c r="G250" s="2"/>
      <c r="I250" s="2"/>
      <c r="P250" t="str">
        <f t="shared" si="22"/>
        <v/>
      </c>
      <c r="Q250" t="str">
        <f t="shared" si="23"/>
        <v/>
      </c>
      <c r="R250" t="str">
        <f t="shared" si="24"/>
        <v/>
      </c>
      <c r="T250">
        <f t="shared" si="25"/>
        <v>2985</v>
      </c>
    </row>
    <row r="251" spans="1:20" ht="14.1" customHeight="1" outlineLevel="3" x14ac:dyDescent="0.2">
      <c r="A251" t="str">
        <f t="shared" si="21"/>
        <v/>
      </c>
      <c r="E251" s="1"/>
      <c r="F251" s="1"/>
      <c r="G251" s="2"/>
      <c r="I251" s="2"/>
      <c r="P251" t="str">
        <f t="shared" si="22"/>
        <v/>
      </c>
      <c r="Q251" t="str">
        <f t="shared" si="23"/>
        <v/>
      </c>
      <c r="R251" t="str">
        <f t="shared" si="24"/>
        <v/>
      </c>
      <c r="T251">
        <f t="shared" si="25"/>
        <v>2985</v>
      </c>
    </row>
    <row r="252" spans="1:20" ht="14.1" customHeight="1" outlineLevel="3" x14ac:dyDescent="0.2">
      <c r="A252" t="str">
        <f t="shared" si="21"/>
        <v/>
      </c>
      <c r="E252" s="1"/>
      <c r="F252" s="1"/>
      <c r="G252" s="2"/>
      <c r="I252" s="2"/>
      <c r="P252" t="str">
        <f t="shared" si="22"/>
        <v/>
      </c>
      <c r="Q252" t="str">
        <f t="shared" si="23"/>
        <v/>
      </c>
      <c r="R252" t="str">
        <f t="shared" si="24"/>
        <v/>
      </c>
      <c r="T252">
        <f t="shared" si="25"/>
        <v>2985</v>
      </c>
    </row>
    <row r="253" spans="1:20" ht="14.1" customHeight="1" outlineLevel="3" x14ac:dyDescent="0.2">
      <c r="A253" t="str">
        <f t="shared" si="21"/>
        <v/>
      </c>
      <c r="E253" s="1"/>
      <c r="F253" s="1"/>
      <c r="G253" s="2"/>
      <c r="I253" s="2"/>
      <c r="P253" t="str">
        <f t="shared" si="22"/>
        <v/>
      </c>
      <c r="Q253" t="str">
        <f t="shared" si="23"/>
        <v/>
      </c>
      <c r="R253" t="str">
        <f t="shared" si="24"/>
        <v/>
      </c>
      <c r="T253">
        <f t="shared" si="25"/>
        <v>2985</v>
      </c>
    </row>
    <row r="254" spans="1:20" ht="14.1" customHeight="1" outlineLevel="3" x14ac:dyDescent="0.2">
      <c r="A254" t="str">
        <f t="shared" si="21"/>
        <v/>
      </c>
      <c r="E254" s="1"/>
      <c r="F254" s="1"/>
      <c r="G254" s="2"/>
      <c r="I254" s="2"/>
      <c r="P254" t="str">
        <f t="shared" si="22"/>
        <v/>
      </c>
      <c r="Q254" t="str">
        <f t="shared" si="23"/>
        <v/>
      </c>
      <c r="R254" t="str">
        <f t="shared" si="24"/>
        <v/>
      </c>
      <c r="T254">
        <f t="shared" si="25"/>
        <v>2985</v>
      </c>
    </row>
    <row r="255" spans="1:20" ht="14.1" customHeight="1" outlineLevel="3" x14ac:dyDescent="0.2">
      <c r="A255" t="str">
        <f t="shared" si="21"/>
        <v/>
      </c>
      <c r="E255" s="1"/>
      <c r="F255" s="1"/>
      <c r="G255" s="2"/>
      <c r="I255" s="2"/>
      <c r="P255" t="str">
        <f t="shared" si="22"/>
        <v/>
      </c>
      <c r="Q255" t="str">
        <f t="shared" si="23"/>
        <v/>
      </c>
      <c r="R255" t="str">
        <f t="shared" si="24"/>
        <v/>
      </c>
      <c r="T255">
        <f t="shared" si="25"/>
        <v>2985</v>
      </c>
    </row>
    <row r="256" spans="1:20" ht="14.1" customHeight="1" outlineLevel="3" x14ac:dyDescent="0.2">
      <c r="A256" t="str">
        <f t="shared" si="21"/>
        <v/>
      </c>
      <c r="E256" s="1"/>
      <c r="F256" s="1"/>
      <c r="G256" s="2"/>
      <c r="I256" s="2"/>
      <c r="P256" t="str">
        <f t="shared" si="22"/>
        <v/>
      </c>
      <c r="Q256" t="str">
        <f t="shared" si="23"/>
        <v/>
      </c>
      <c r="R256" t="str">
        <f t="shared" si="24"/>
        <v/>
      </c>
      <c r="T256">
        <f t="shared" si="25"/>
        <v>2985</v>
      </c>
    </row>
    <row r="257" spans="1:20" ht="14.1" customHeight="1" outlineLevel="3" x14ac:dyDescent="0.2">
      <c r="A257" t="str">
        <f t="shared" si="21"/>
        <v/>
      </c>
      <c r="E257" s="1"/>
      <c r="F257" s="1"/>
      <c r="G257" s="2"/>
      <c r="I257" s="2"/>
      <c r="P257" t="str">
        <f t="shared" si="22"/>
        <v/>
      </c>
      <c r="Q257" t="str">
        <f t="shared" si="23"/>
        <v/>
      </c>
      <c r="R257" t="str">
        <f t="shared" si="24"/>
        <v/>
      </c>
      <c r="T257">
        <f t="shared" si="25"/>
        <v>2985</v>
      </c>
    </row>
    <row r="258" spans="1:20" ht="14.1" customHeight="1" outlineLevel="3" x14ac:dyDescent="0.2">
      <c r="A258" t="str">
        <f t="shared" si="21"/>
        <v/>
      </c>
      <c r="E258" s="1"/>
      <c r="F258" s="1"/>
      <c r="G258" s="2"/>
      <c r="I258" s="2"/>
      <c r="P258" t="str">
        <f t="shared" si="22"/>
        <v/>
      </c>
      <c r="Q258" t="str">
        <f t="shared" si="23"/>
        <v/>
      </c>
      <c r="R258" t="str">
        <f t="shared" si="24"/>
        <v/>
      </c>
      <c r="T258">
        <f t="shared" si="25"/>
        <v>2985</v>
      </c>
    </row>
    <row r="259" spans="1:20" ht="14.1" customHeight="1" outlineLevel="3" x14ac:dyDescent="0.2">
      <c r="A259" t="str">
        <f t="shared" ref="A259:A322" si="26">IFERROR(IF(OR(K259="",I259=0),"",D259&amp;K259&amp;I259),"")</f>
        <v/>
      </c>
      <c r="E259" s="1"/>
      <c r="F259" s="1"/>
      <c r="G259" s="2"/>
      <c r="I259" s="2"/>
      <c r="P259" t="str">
        <f t="shared" ref="P259:P322" si="27">IF(OR(K259="",K259=0),"",D259&amp;N259&amp;K259&amp;M259&amp;F259)</f>
        <v/>
      </c>
      <c r="Q259" t="str">
        <f t="shared" ref="Q259:Q322" si="28">IF(P259="","",COUNTIF($P$2:$P$1448,$P259))</f>
        <v/>
      </c>
      <c r="R259" t="str">
        <f t="shared" ref="R259:R322" si="29">G259&amp;K259&amp;N259</f>
        <v/>
      </c>
      <c r="T259">
        <f t="shared" ref="T259:T322" si="30">COUNTIF($R$2:$R$2986,$R259)</f>
        <v>2985</v>
      </c>
    </row>
    <row r="260" spans="1:20" ht="14.1" customHeight="1" outlineLevel="3" x14ac:dyDescent="0.2">
      <c r="A260" t="str">
        <f t="shared" si="26"/>
        <v/>
      </c>
      <c r="E260" s="1"/>
      <c r="F260" s="1"/>
      <c r="G260" s="2"/>
      <c r="I260" s="2"/>
      <c r="P260" t="str">
        <f t="shared" si="27"/>
        <v/>
      </c>
      <c r="Q260" t="str">
        <f t="shared" si="28"/>
        <v/>
      </c>
      <c r="R260" t="str">
        <f t="shared" si="29"/>
        <v/>
      </c>
      <c r="T260">
        <f t="shared" si="30"/>
        <v>2985</v>
      </c>
    </row>
    <row r="261" spans="1:20" ht="14.1" customHeight="1" outlineLevel="3" x14ac:dyDescent="0.2">
      <c r="A261" t="str">
        <f t="shared" si="26"/>
        <v/>
      </c>
      <c r="E261" s="1"/>
      <c r="F261" s="1"/>
      <c r="G261" s="2"/>
      <c r="I261" s="2"/>
      <c r="P261" t="str">
        <f t="shared" si="27"/>
        <v/>
      </c>
      <c r="Q261" t="str">
        <f t="shared" si="28"/>
        <v/>
      </c>
      <c r="R261" t="str">
        <f t="shared" si="29"/>
        <v/>
      </c>
      <c r="T261">
        <f t="shared" si="30"/>
        <v>2985</v>
      </c>
    </row>
    <row r="262" spans="1:20" ht="14.1" customHeight="1" outlineLevel="3" x14ac:dyDescent="0.2">
      <c r="A262" t="str">
        <f t="shared" si="26"/>
        <v/>
      </c>
      <c r="E262" s="1"/>
      <c r="F262" s="1"/>
      <c r="G262" s="2"/>
      <c r="I262" s="2"/>
      <c r="P262" t="str">
        <f t="shared" si="27"/>
        <v/>
      </c>
      <c r="Q262" t="str">
        <f t="shared" si="28"/>
        <v/>
      </c>
      <c r="R262" t="str">
        <f t="shared" si="29"/>
        <v/>
      </c>
      <c r="T262">
        <f t="shared" si="30"/>
        <v>2985</v>
      </c>
    </row>
    <row r="263" spans="1:20" ht="14.1" customHeight="1" outlineLevel="3" x14ac:dyDescent="0.2">
      <c r="A263" t="str">
        <f t="shared" si="26"/>
        <v/>
      </c>
      <c r="E263" s="1"/>
      <c r="F263" s="1"/>
      <c r="G263" s="2"/>
      <c r="I263" s="2"/>
      <c r="P263" t="str">
        <f t="shared" si="27"/>
        <v/>
      </c>
      <c r="Q263" t="str">
        <f t="shared" si="28"/>
        <v/>
      </c>
      <c r="R263" t="str">
        <f t="shared" si="29"/>
        <v/>
      </c>
      <c r="T263">
        <f t="shared" si="30"/>
        <v>2985</v>
      </c>
    </row>
    <row r="264" spans="1:20" ht="14.1" customHeight="1" outlineLevel="3" x14ac:dyDescent="0.2">
      <c r="A264" t="str">
        <f t="shared" si="26"/>
        <v/>
      </c>
      <c r="E264" s="1"/>
      <c r="F264" s="1"/>
      <c r="G264" s="2"/>
      <c r="I264" s="2"/>
      <c r="P264" t="str">
        <f t="shared" si="27"/>
        <v/>
      </c>
      <c r="Q264" t="str">
        <f t="shared" si="28"/>
        <v/>
      </c>
      <c r="R264" t="str">
        <f t="shared" si="29"/>
        <v/>
      </c>
      <c r="T264">
        <f t="shared" si="30"/>
        <v>2985</v>
      </c>
    </row>
    <row r="265" spans="1:20" ht="14.1" customHeight="1" outlineLevel="3" x14ac:dyDescent="0.2">
      <c r="A265" t="str">
        <f t="shared" si="26"/>
        <v/>
      </c>
      <c r="E265" s="1"/>
      <c r="F265" s="1"/>
      <c r="G265" s="2"/>
      <c r="I265" s="2"/>
      <c r="P265" t="str">
        <f t="shared" si="27"/>
        <v/>
      </c>
      <c r="Q265" t="str">
        <f t="shared" si="28"/>
        <v/>
      </c>
      <c r="R265" t="str">
        <f t="shared" si="29"/>
        <v/>
      </c>
      <c r="T265">
        <f t="shared" si="30"/>
        <v>2985</v>
      </c>
    </row>
    <row r="266" spans="1:20" ht="14.1" customHeight="1" outlineLevel="3" x14ac:dyDescent="0.2">
      <c r="A266" t="str">
        <f t="shared" si="26"/>
        <v/>
      </c>
      <c r="E266" s="1"/>
      <c r="F266" s="1"/>
      <c r="G266" s="2"/>
      <c r="I266" s="2"/>
      <c r="P266" t="str">
        <f t="shared" si="27"/>
        <v/>
      </c>
      <c r="Q266" t="str">
        <f t="shared" si="28"/>
        <v/>
      </c>
      <c r="R266" t="str">
        <f t="shared" si="29"/>
        <v/>
      </c>
      <c r="T266">
        <f t="shared" si="30"/>
        <v>2985</v>
      </c>
    </row>
    <row r="267" spans="1:20" ht="14.1" customHeight="1" outlineLevel="3" x14ac:dyDescent="0.2">
      <c r="A267" t="str">
        <f t="shared" si="26"/>
        <v/>
      </c>
      <c r="E267" s="1"/>
      <c r="F267" s="1"/>
      <c r="G267" s="2"/>
      <c r="I267" s="2"/>
      <c r="P267" t="str">
        <f t="shared" si="27"/>
        <v/>
      </c>
      <c r="Q267" t="str">
        <f t="shared" si="28"/>
        <v/>
      </c>
      <c r="R267" t="str">
        <f t="shared" si="29"/>
        <v/>
      </c>
      <c r="T267">
        <f t="shared" si="30"/>
        <v>2985</v>
      </c>
    </row>
    <row r="268" spans="1:20" ht="14.1" customHeight="1" outlineLevel="3" x14ac:dyDescent="0.2">
      <c r="A268" t="str">
        <f t="shared" si="26"/>
        <v/>
      </c>
      <c r="E268" s="1"/>
      <c r="F268" s="1"/>
      <c r="G268" s="2"/>
      <c r="I268" s="2"/>
      <c r="P268" t="str">
        <f t="shared" si="27"/>
        <v/>
      </c>
      <c r="Q268" t="str">
        <f t="shared" si="28"/>
        <v/>
      </c>
      <c r="R268" t="str">
        <f t="shared" si="29"/>
        <v/>
      </c>
      <c r="T268">
        <f t="shared" si="30"/>
        <v>2985</v>
      </c>
    </row>
    <row r="269" spans="1:20" ht="14.1" customHeight="1" outlineLevel="3" x14ac:dyDescent="0.2">
      <c r="A269" t="str">
        <f t="shared" si="26"/>
        <v/>
      </c>
      <c r="E269" s="1"/>
      <c r="F269" s="1"/>
      <c r="G269" s="2"/>
      <c r="I269" s="2"/>
      <c r="P269" t="str">
        <f t="shared" si="27"/>
        <v/>
      </c>
      <c r="Q269" t="str">
        <f t="shared" si="28"/>
        <v/>
      </c>
      <c r="R269" t="str">
        <f t="shared" si="29"/>
        <v/>
      </c>
      <c r="T269">
        <f t="shared" si="30"/>
        <v>2985</v>
      </c>
    </row>
    <row r="270" spans="1:20" ht="14.1" customHeight="1" outlineLevel="3" x14ac:dyDescent="0.2">
      <c r="A270" t="str">
        <f t="shared" si="26"/>
        <v/>
      </c>
      <c r="E270" s="1"/>
      <c r="F270" s="1"/>
      <c r="G270" s="2"/>
      <c r="I270" s="2"/>
      <c r="P270" t="str">
        <f t="shared" si="27"/>
        <v/>
      </c>
      <c r="Q270" t="str">
        <f t="shared" si="28"/>
        <v/>
      </c>
      <c r="R270" t="str">
        <f t="shared" si="29"/>
        <v/>
      </c>
      <c r="T270">
        <f t="shared" si="30"/>
        <v>2985</v>
      </c>
    </row>
    <row r="271" spans="1:20" outlineLevel="2" x14ac:dyDescent="0.2">
      <c r="A271" t="str">
        <f t="shared" si="26"/>
        <v/>
      </c>
      <c r="E271" s="1"/>
      <c r="F271" s="1"/>
      <c r="G271" s="2"/>
      <c r="I271" s="2"/>
      <c r="P271" t="str">
        <f t="shared" si="27"/>
        <v/>
      </c>
      <c r="Q271" t="str">
        <f t="shared" si="28"/>
        <v/>
      </c>
      <c r="R271" t="str">
        <f t="shared" si="29"/>
        <v/>
      </c>
      <c r="T271">
        <f t="shared" si="30"/>
        <v>2985</v>
      </c>
    </row>
    <row r="272" spans="1:20" ht="14.1" customHeight="1" outlineLevel="3" x14ac:dyDescent="0.2">
      <c r="A272" t="str">
        <f t="shared" si="26"/>
        <v/>
      </c>
      <c r="E272" s="1"/>
      <c r="F272" s="1"/>
      <c r="G272" s="2"/>
      <c r="I272" s="2"/>
      <c r="P272" t="str">
        <f t="shared" si="27"/>
        <v/>
      </c>
      <c r="Q272" t="str">
        <f t="shared" si="28"/>
        <v/>
      </c>
      <c r="R272" t="str">
        <f t="shared" si="29"/>
        <v/>
      </c>
      <c r="T272">
        <f t="shared" si="30"/>
        <v>2985</v>
      </c>
    </row>
    <row r="273" spans="1:20" outlineLevel="2" x14ac:dyDescent="0.2">
      <c r="A273" t="str">
        <f t="shared" si="26"/>
        <v/>
      </c>
      <c r="E273" s="1"/>
      <c r="F273" s="1"/>
      <c r="G273" s="2"/>
      <c r="I273" s="2"/>
      <c r="P273" t="str">
        <f t="shared" si="27"/>
        <v/>
      </c>
      <c r="Q273" t="str">
        <f t="shared" si="28"/>
        <v/>
      </c>
      <c r="R273" t="str">
        <f t="shared" si="29"/>
        <v/>
      </c>
      <c r="T273">
        <f t="shared" si="30"/>
        <v>2985</v>
      </c>
    </row>
    <row r="274" spans="1:20" ht="14.1" customHeight="1" outlineLevel="3" x14ac:dyDescent="0.2">
      <c r="A274" t="str">
        <f t="shared" si="26"/>
        <v/>
      </c>
      <c r="E274" s="1"/>
      <c r="F274" s="1"/>
      <c r="G274" s="2"/>
      <c r="I274" s="2"/>
      <c r="P274" t="str">
        <f t="shared" si="27"/>
        <v/>
      </c>
      <c r="Q274" t="str">
        <f t="shared" si="28"/>
        <v/>
      </c>
      <c r="R274" t="str">
        <f t="shared" si="29"/>
        <v/>
      </c>
      <c r="T274">
        <f t="shared" si="30"/>
        <v>2985</v>
      </c>
    </row>
    <row r="275" spans="1:20" ht="14.1" customHeight="1" outlineLevel="3" x14ac:dyDescent="0.2">
      <c r="A275" t="str">
        <f t="shared" si="26"/>
        <v/>
      </c>
      <c r="E275" s="1"/>
      <c r="F275" s="1"/>
      <c r="G275" s="2"/>
      <c r="I275" s="2"/>
      <c r="P275" t="str">
        <f t="shared" si="27"/>
        <v/>
      </c>
      <c r="Q275" t="str">
        <f t="shared" si="28"/>
        <v/>
      </c>
      <c r="R275" t="str">
        <f t="shared" si="29"/>
        <v/>
      </c>
      <c r="T275">
        <f t="shared" si="30"/>
        <v>2985</v>
      </c>
    </row>
    <row r="276" spans="1:20" ht="14.1" customHeight="1" outlineLevel="3" x14ac:dyDescent="0.2">
      <c r="A276" t="str">
        <f t="shared" si="26"/>
        <v/>
      </c>
      <c r="E276" s="1"/>
      <c r="F276" s="1"/>
      <c r="G276" s="2"/>
      <c r="I276" s="2"/>
      <c r="P276" t="str">
        <f t="shared" si="27"/>
        <v/>
      </c>
      <c r="Q276" t="str">
        <f t="shared" si="28"/>
        <v/>
      </c>
      <c r="R276" t="str">
        <f t="shared" si="29"/>
        <v/>
      </c>
      <c r="T276">
        <f t="shared" si="30"/>
        <v>2985</v>
      </c>
    </row>
    <row r="277" spans="1:20" ht="14.1" customHeight="1" outlineLevel="3" x14ac:dyDescent="0.2">
      <c r="A277" t="str">
        <f t="shared" si="26"/>
        <v/>
      </c>
      <c r="E277" s="1"/>
      <c r="F277" s="1"/>
      <c r="G277" s="2"/>
      <c r="I277" s="2"/>
      <c r="P277" t="str">
        <f t="shared" si="27"/>
        <v/>
      </c>
      <c r="Q277" t="str">
        <f t="shared" si="28"/>
        <v/>
      </c>
      <c r="R277" t="str">
        <f t="shared" si="29"/>
        <v/>
      </c>
      <c r="T277">
        <f t="shared" si="30"/>
        <v>2985</v>
      </c>
    </row>
    <row r="278" spans="1:20" ht="14.1" customHeight="1" outlineLevel="3" x14ac:dyDescent="0.2">
      <c r="A278" t="str">
        <f t="shared" si="26"/>
        <v/>
      </c>
      <c r="E278" s="1"/>
      <c r="F278" s="1"/>
      <c r="G278" s="2"/>
      <c r="I278" s="2"/>
      <c r="P278" t="str">
        <f t="shared" si="27"/>
        <v/>
      </c>
      <c r="Q278" t="str">
        <f t="shared" si="28"/>
        <v/>
      </c>
      <c r="R278" t="str">
        <f t="shared" si="29"/>
        <v/>
      </c>
      <c r="T278">
        <f t="shared" si="30"/>
        <v>2985</v>
      </c>
    </row>
    <row r="279" spans="1:20" ht="14.1" customHeight="1" outlineLevel="3" x14ac:dyDescent="0.2">
      <c r="A279" t="str">
        <f t="shared" si="26"/>
        <v/>
      </c>
      <c r="E279" s="1"/>
      <c r="F279" s="1"/>
      <c r="G279" s="2"/>
      <c r="I279" s="2"/>
      <c r="P279" t="str">
        <f t="shared" si="27"/>
        <v/>
      </c>
      <c r="Q279" t="str">
        <f t="shared" si="28"/>
        <v/>
      </c>
      <c r="R279" t="str">
        <f t="shared" si="29"/>
        <v/>
      </c>
      <c r="T279">
        <f t="shared" si="30"/>
        <v>2985</v>
      </c>
    </row>
    <row r="280" spans="1:20" ht="14.1" customHeight="1" outlineLevel="3" x14ac:dyDescent="0.2">
      <c r="A280" t="str">
        <f t="shared" si="26"/>
        <v/>
      </c>
      <c r="E280" s="1"/>
      <c r="F280" s="1"/>
      <c r="G280" s="2"/>
      <c r="I280" s="2"/>
      <c r="P280" t="str">
        <f t="shared" si="27"/>
        <v/>
      </c>
      <c r="Q280" t="str">
        <f t="shared" si="28"/>
        <v/>
      </c>
      <c r="R280" t="str">
        <f t="shared" si="29"/>
        <v/>
      </c>
      <c r="T280">
        <f t="shared" si="30"/>
        <v>2985</v>
      </c>
    </row>
    <row r="281" spans="1:20" ht="14.1" customHeight="1" outlineLevel="3" x14ac:dyDescent="0.2">
      <c r="A281" t="str">
        <f t="shared" si="26"/>
        <v/>
      </c>
      <c r="E281" s="1"/>
      <c r="F281" s="1"/>
      <c r="G281" s="2"/>
      <c r="I281" s="2"/>
      <c r="P281" t="str">
        <f t="shared" si="27"/>
        <v/>
      </c>
      <c r="Q281" t="str">
        <f t="shared" si="28"/>
        <v/>
      </c>
      <c r="R281" t="str">
        <f t="shared" si="29"/>
        <v/>
      </c>
      <c r="T281">
        <f t="shared" si="30"/>
        <v>2985</v>
      </c>
    </row>
    <row r="282" spans="1:20" ht="14.1" customHeight="1" outlineLevel="3" x14ac:dyDescent="0.2">
      <c r="A282" t="str">
        <f t="shared" si="26"/>
        <v/>
      </c>
      <c r="E282" s="1"/>
      <c r="F282" s="1"/>
      <c r="G282" s="2"/>
      <c r="I282" s="2"/>
      <c r="P282" t="str">
        <f t="shared" si="27"/>
        <v/>
      </c>
      <c r="Q282" t="str">
        <f t="shared" si="28"/>
        <v/>
      </c>
      <c r="R282" t="str">
        <f t="shared" si="29"/>
        <v/>
      </c>
      <c r="T282">
        <f t="shared" si="30"/>
        <v>2985</v>
      </c>
    </row>
    <row r="283" spans="1:20" ht="14.1" customHeight="1" outlineLevel="3" x14ac:dyDescent="0.2">
      <c r="A283" t="str">
        <f t="shared" si="26"/>
        <v/>
      </c>
      <c r="E283" s="1"/>
      <c r="F283" s="1"/>
      <c r="G283" s="2"/>
      <c r="I283" s="2"/>
      <c r="P283" t="str">
        <f t="shared" si="27"/>
        <v/>
      </c>
      <c r="Q283" t="str">
        <f t="shared" si="28"/>
        <v/>
      </c>
      <c r="R283" t="str">
        <f t="shared" si="29"/>
        <v/>
      </c>
      <c r="T283">
        <f t="shared" si="30"/>
        <v>2985</v>
      </c>
    </row>
    <row r="284" spans="1:20" ht="14.1" customHeight="1" outlineLevel="3" x14ac:dyDescent="0.2">
      <c r="A284" t="str">
        <f t="shared" si="26"/>
        <v/>
      </c>
      <c r="E284" s="1"/>
      <c r="F284" s="1"/>
      <c r="G284" s="2"/>
      <c r="I284" s="2"/>
      <c r="P284" t="str">
        <f t="shared" si="27"/>
        <v/>
      </c>
      <c r="Q284" t="str">
        <f t="shared" si="28"/>
        <v/>
      </c>
      <c r="R284" t="str">
        <f t="shared" si="29"/>
        <v/>
      </c>
      <c r="T284">
        <f t="shared" si="30"/>
        <v>2985</v>
      </c>
    </row>
    <row r="285" spans="1:20" ht="14.1" customHeight="1" outlineLevel="3" x14ac:dyDescent="0.2">
      <c r="A285" t="str">
        <f t="shared" si="26"/>
        <v/>
      </c>
      <c r="E285" s="1"/>
      <c r="F285" s="1"/>
      <c r="G285" s="2"/>
      <c r="I285" s="2"/>
      <c r="P285" t="str">
        <f t="shared" si="27"/>
        <v/>
      </c>
      <c r="Q285" t="str">
        <f t="shared" si="28"/>
        <v/>
      </c>
      <c r="R285" t="str">
        <f t="shared" si="29"/>
        <v/>
      </c>
      <c r="T285">
        <f t="shared" si="30"/>
        <v>2985</v>
      </c>
    </row>
    <row r="286" spans="1:20" ht="14.1" customHeight="1" outlineLevel="3" x14ac:dyDescent="0.2">
      <c r="A286" t="str">
        <f t="shared" si="26"/>
        <v/>
      </c>
      <c r="E286" s="1"/>
      <c r="F286" s="1"/>
      <c r="G286" s="2"/>
      <c r="I286" s="2"/>
      <c r="P286" t="str">
        <f t="shared" si="27"/>
        <v/>
      </c>
      <c r="Q286" t="str">
        <f t="shared" si="28"/>
        <v/>
      </c>
      <c r="R286" t="str">
        <f t="shared" si="29"/>
        <v/>
      </c>
      <c r="T286">
        <f t="shared" si="30"/>
        <v>2985</v>
      </c>
    </row>
    <row r="287" spans="1:20" ht="14.1" customHeight="1" outlineLevel="3" x14ac:dyDescent="0.2">
      <c r="A287" t="str">
        <f t="shared" si="26"/>
        <v/>
      </c>
      <c r="E287" s="1"/>
      <c r="F287" s="1"/>
      <c r="G287" s="2"/>
      <c r="I287" s="2"/>
      <c r="P287" t="str">
        <f t="shared" si="27"/>
        <v/>
      </c>
      <c r="Q287" t="str">
        <f t="shared" si="28"/>
        <v/>
      </c>
      <c r="R287" t="str">
        <f t="shared" si="29"/>
        <v/>
      </c>
      <c r="T287">
        <f t="shared" si="30"/>
        <v>2985</v>
      </c>
    </row>
    <row r="288" spans="1:20" ht="14.1" customHeight="1" outlineLevel="3" x14ac:dyDescent="0.2">
      <c r="A288" t="str">
        <f t="shared" si="26"/>
        <v/>
      </c>
      <c r="E288" s="1"/>
      <c r="F288" s="1"/>
      <c r="G288" s="2"/>
      <c r="I288" s="2"/>
      <c r="P288" t="str">
        <f t="shared" si="27"/>
        <v/>
      </c>
      <c r="Q288" t="str">
        <f t="shared" si="28"/>
        <v/>
      </c>
      <c r="R288" t="str">
        <f t="shared" si="29"/>
        <v/>
      </c>
      <c r="T288">
        <f t="shared" si="30"/>
        <v>2985</v>
      </c>
    </row>
    <row r="289" spans="1:20" ht="14.1" customHeight="1" outlineLevel="3" x14ac:dyDescent="0.2">
      <c r="A289" t="str">
        <f t="shared" si="26"/>
        <v/>
      </c>
      <c r="E289" s="1"/>
      <c r="F289" s="1"/>
      <c r="G289" s="2"/>
      <c r="I289" s="2"/>
      <c r="P289" t="str">
        <f t="shared" si="27"/>
        <v/>
      </c>
      <c r="Q289" t="str">
        <f t="shared" si="28"/>
        <v/>
      </c>
      <c r="R289" t="str">
        <f t="shared" si="29"/>
        <v/>
      </c>
      <c r="T289">
        <f t="shared" si="30"/>
        <v>2985</v>
      </c>
    </row>
    <row r="290" spans="1:20" ht="14.1" customHeight="1" outlineLevel="3" x14ac:dyDescent="0.2">
      <c r="A290" t="str">
        <f t="shared" si="26"/>
        <v/>
      </c>
      <c r="E290" s="1"/>
      <c r="F290" s="1"/>
      <c r="G290" s="2"/>
      <c r="I290" s="2"/>
      <c r="P290" t="str">
        <f t="shared" si="27"/>
        <v/>
      </c>
      <c r="Q290" t="str">
        <f t="shared" si="28"/>
        <v/>
      </c>
      <c r="R290" t="str">
        <f t="shared" si="29"/>
        <v/>
      </c>
      <c r="T290">
        <f t="shared" si="30"/>
        <v>2985</v>
      </c>
    </row>
    <row r="291" spans="1:20" ht="14.1" customHeight="1" outlineLevel="3" x14ac:dyDescent="0.2">
      <c r="A291" t="str">
        <f t="shared" si="26"/>
        <v/>
      </c>
      <c r="E291" s="1"/>
      <c r="F291" s="1"/>
      <c r="G291" s="2"/>
      <c r="I291" s="2"/>
      <c r="P291" t="str">
        <f t="shared" si="27"/>
        <v/>
      </c>
      <c r="Q291" t="str">
        <f t="shared" si="28"/>
        <v/>
      </c>
      <c r="R291" t="str">
        <f t="shared" si="29"/>
        <v/>
      </c>
      <c r="T291">
        <f t="shared" si="30"/>
        <v>2985</v>
      </c>
    </row>
    <row r="292" spans="1:20" ht="14.1" customHeight="1" outlineLevel="3" x14ac:dyDescent="0.2">
      <c r="A292" t="str">
        <f t="shared" si="26"/>
        <v/>
      </c>
      <c r="E292" s="1"/>
      <c r="F292" s="1"/>
      <c r="G292" s="2"/>
      <c r="I292" s="2"/>
      <c r="P292" t="str">
        <f t="shared" si="27"/>
        <v/>
      </c>
      <c r="Q292" t="str">
        <f t="shared" si="28"/>
        <v/>
      </c>
      <c r="R292" t="str">
        <f t="shared" si="29"/>
        <v/>
      </c>
      <c r="T292">
        <f t="shared" si="30"/>
        <v>2985</v>
      </c>
    </row>
    <row r="293" spans="1:20" ht="14.1" customHeight="1" outlineLevel="3" x14ac:dyDescent="0.2">
      <c r="A293" t="str">
        <f t="shared" si="26"/>
        <v/>
      </c>
      <c r="E293" s="1"/>
      <c r="F293" s="1"/>
      <c r="G293" s="2"/>
      <c r="I293" s="2"/>
      <c r="P293" t="str">
        <f t="shared" si="27"/>
        <v/>
      </c>
      <c r="Q293" t="str">
        <f t="shared" si="28"/>
        <v/>
      </c>
      <c r="R293" t="str">
        <f t="shared" si="29"/>
        <v/>
      </c>
      <c r="T293">
        <f t="shared" si="30"/>
        <v>2985</v>
      </c>
    </row>
    <row r="294" spans="1:20" ht="14.1" customHeight="1" outlineLevel="3" x14ac:dyDescent="0.2">
      <c r="A294" t="str">
        <f t="shared" si="26"/>
        <v/>
      </c>
      <c r="E294" s="1"/>
      <c r="F294" s="1"/>
      <c r="G294" s="2"/>
      <c r="I294" s="2"/>
      <c r="P294" t="str">
        <f t="shared" si="27"/>
        <v/>
      </c>
      <c r="Q294" t="str">
        <f t="shared" si="28"/>
        <v/>
      </c>
      <c r="R294" t="str">
        <f t="shared" si="29"/>
        <v/>
      </c>
      <c r="T294">
        <f t="shared" si="30"/>
        <v>2985</v>
      </c>
    </row>
    <row r="295" spans="1:20" ht="14.1" customHeight="1" outlineLevel="3" x14ac:dyDescent="0.2">
      <c r="A295" t="str">
        <f t="shared" si="26"/>
        <v/>
      </c>
      <c r="E295" s="1"/>
      <c r="F295" s="1"/>
      <c r="G295" s="2"/>
      <c r="I295" s="2"/>
      <c r="P295" t="str">
        <f t="shared" si="27"/>
        <v/>
      </c>
      <c r="Q295" t="str">
        <f t="shared" si="28"/>
        <v/>
      </c>
      <c r="R295" t="str">
        <f t="shared" si="29"/>
        <v/>
      </c>
      <c r="T295">
        <f t="shared" si="30"/>
        <v>2985</v>
      </c>
    </row>
    <row r="296" spans="1:20" ht="14.1" customHeight="1" outlineLevel="3" x14ac:dyDescent="0.2">
      <c r="A296" t="str">
        <f t="shared" si="26"/>
        <v/>
      </c>
      <c r="E296" s="1"/>
      <c r="F296" s="1"/>
      <c r="G296" s="2"/>
      <c r="I296" s="2"/>
      <c r="P296" t="str">
        <f t="shared" si="27"/>
        <v/>
      </c>
      <c r="Q296" t="str">
        <f t="shared" si="28"/>
        <v/>
      </c>
      <c r="R296" t="str">
        <f t="shared" si="29"/>
        <v/>
      </c>
      <c r="T296">
        <f t="shared" si="30"/>
        <v>2985</v>
      </c>
    </row>
    <row r="297" spans="1:20" ht="14.1" customHeight="1" outlineLevel="3" x14ac:dyDescent="0.2">
      <c r="A297" t="str">
        <f t="shared" si="26"/>
        <v/>
      </c>
      <c r="E297" s="1"/>
      <c r="F297" s="1"/>
      <c r="G297" s="2"/>
      <c r="I297" s="2"/>
      <c r="P297" t="str">
        <f t="shared" si="27"/>
        <v/>
      </c>
      <c r="Q297" t="str">
        <f t="shared" si="28"/>
        <v/>
      </c>
      <c r="R297" t="str">
        <f t="shared" si="29"/>
        <v/>
      </c>
      <c r="T297">
        <f t="shared" si="30"/>
        <v>2985</v>
      </c>
    </row>
    <row r="298" spans="1:20" ht="14.1" customHeight="1" outlineLevel="3" x14ac:dyDescent="0.2">
      <c r="A298" t="str">
        <f t="shared" si="26"/>
        <v/>
      </c>
      <c r="E298" s="1"/>
      <c r="F298" s="1"/>
      <c r="G298" s="2"/>
      <c r="I298" s="2"/>
      <c r="P298" t="str">
        <f t="shared" si="27"/>
        <v/>
      </c>
      <c r="Q298" t="str">
        <f t="shared" si="28"/>
        <v/>
      </c>
      <c r="R298" t="str">
        <f t="shared" si="29"/>
        <v/>
      </c>
      <c r="T298">
        <f t="shared" si="30"/>
        <v>2985</v>
      </c>
    </row>
    <row r="299" spans="1:20" ht="14.1" customHeight="1" outlineLevel="3" x14ac:dyDescent="0.2">
      <c r="A299" t="str">
        <f t="shared" si="26"/>
        <v/>
      </c>
      <c r="E299" s="1"/>
      <c r="F299" s="1"/>
      <c r="G299" s="2"/>
      <c r="I299" s="2"/>
      <c r="P299" t="str">
        <f t="shared" si="27"/>
        <v/>
      </c>
      <c r="Q299" t="str">
        <f t="shared" si="28"/>
        <v/>
      </c>
      <c r="R299" t="str">
        <f t="shared" si="29"/>
        <v/>
      </c>
      <c r="T299">
        <f t="shared" si="30"/>
        <v>2985</v>
      </c>
    </row>
    <row r="300" spans="1:20" ht="14.1" customHeight="1" outlineLevel="3" x14ac:dyDescent="0.2">
      <c r="A300" t="str">
        <f t="shared" si="26"/>
        <v/>
      </c>
      <c r="E300" s="1"/>
      <c r="F300" s="1"/>
      <c r="G300" s="2"/>
      <c r="I300" s="2"/>
      <c r="P300" t="str">
        <f t="shared" si="27"/>
        <v/>
      </c>
      <c r="Q300" t="str">
        <f t="shared" si="28"/>
        <v/>
      </c>
      <c r="R300" t="str">
        <f t="shared" si="29"/>
        <v/>
      </c>
      <c r="T300">
        <f t="shared" si="30"/>
        <v>2985</v>
      </c>
    </row>
    <row r="301" spans="1:20" ht="14.1" customHeight="1" outlineLevel="3" x14ac:dyDescent="0.2">
      <c r="A301" t="str">
        <f t="shared" si="26"/>
        <v/>
      </c>
      <c r="E301" s="1"/>
      <c r="F301" s="1"/>
      <c r="G301" s="2"/>
      <c r="I301" s="2"/>
      <c r="P301" t="str">
        <f t="shared" si="27"/>
        <v/>
      </c>
      <c r="Q301" t="str">
        <f t="shared" si="28"/>
        <v/>
      </c>
      <c r="R301" t="str">
        <f t="shared" si="29"/>
        <v/>
      </c>
      <c r="T301">
        <f t="shared" si="30"/>
        <v>2985</v>
      </c>
    </row>
    <row r="302" spans="1:20" ht="14.1" customHeight="1" outlineLevel="3" x14ac:dyDescent="0.2">
      <c r="A302" t="str">
        <f t="shared" si="26"/>
        <v/>
      </c>
      <c r="E302" s="1"/>
      <c r="F302" s="1"/>
      <c r="G302" s="2"/>
      <c r="I302" s="2"/>
      <c r="P302" t="str">
        <f t="shared" si="27"/>
        <v/>
      </c>
      <c r="Q302" t="str">
        <f t="shared" si="28"/>
        <v/>
      </c>
      <c r="R302" t="str">
        <f t="shared" si="29"/>
        <v/>
      </c>
      <c r="T302">
        <f t="shared" si="30"/>
        <v>2985</v>
      </c>
    </row>
    <row r="303" spans="1:20" ht="14.1" customHeight="1" outlineLevel="3" x14ac:dyDescent="0.2">
      <c r="A303" t="str">
        <f t="shared" si="26"/>
        <v/>
      </c>
      <c r="E303" s="1"/>
      <c r="F303" s="1"/>
      <c r="G303" s="2"/>
      <c r="I303" s="2"/>
      <c r="P303" t="str">
        <f t="shared" si="27"/>
        <v/>
      </c>
      <c r="Q303" t="str">
        <f t="shared" si="28"/>
        <v/>
      </c>
      <c r="R303" t="str">
        <f t="shared" si="29"/>
        <v/>
      </c>
      <c r="T303">
        <f t="shared" si="30"/>
        <v>2985</v>
      </c>
    </row>
    <row r="304" spans="1:20" ht="14.1" customHeight="1" outlineLevel="3" x14ac:dyDescent="0.2">
      <c r="A304" t="str">
        <f t="shared" si="26"/>
        <v/>
      </c>
      <c r="E304" s="1"/>
      <c r="F304" s="1"/>
      <c r="G304" s="2"/>
      <c r="I304" s="2"/>
      <c r="P304" t="str">
        <f t="shared" si="27"/>
        <v/>
      </c>
      <c r="Q304" t="str">
        <f t="shared" si="28"/>
        <v/>
      </c>
      <c r="R304" t="str">
        <f t="shared" si="29"/>
        <v/>
      </c>
      <c r="T304">
        <f t="shared" si="30"/>
        <v>2985</v>
      </c>
    </row>
    <row r="305" spans="1:20" ht="14.1" customHeight="1" outlineLevel="3" x14ac:dyDescent="0.2">
      <c r="A305" t="str">
        <f t="shared" si="26"/>
        <v/>
      </c>
      <c r="E305" s="1"/>
      <c r="F305" s="1"/>
      <c r="G305" s="2"/>
      <c r="I305" s="2"/>
      <c r="P305" t="str">
        <f t="shared" si="27"/>
        <v/>
      </c>
      <c r="Q305" t="str">
        <f t="shared" si="28"/>
        <v/>
      </c>
      <c r="R305" t="str">
        <f t="shared" si="29"/>
        <v/>
      </c>
      <c r="T305">
        <f t="shared" si="30"/>
        <v>2985</v>
      </c>
    </row>
    <row r="306" spans="1:20" ht="14.1" customHeight="1" outlineLevel="3" x14ac:dyDescent="0.2">
      <c r="A306" t="str">
        <f t="shared" si="26"/>
        <v/>
      </c>
      <c r="E306" s="1"/>
      <c r="F306" s="1"/>
      <c r="G306" s="2"/>
      <c r="I306" s="2"/>
      <c r="P306" t="str">
        <f t="shared" si="27"/>
        <v/>
      </c>
      <c r="Q306" t="str">
        <f t="shared" si="28"/>
        <v/>
      </c>
      <c r="R306" t="str">
        <f t="shared" si="29"/>
        <v/>
      </c>
      <c r="T306">
        <f t="shared" si="30"/>
        <v>2985</v>
      </c>
    </row>
    <row r="307" spans="1:20" ht="14.1" customHeight="1" outlineLevel="3" x14ac:dyDescent="0.2">
      <c r="A307" t="str">
        <f t="shared" si="26"/>
        <v/>
      </c>
      <c r="E307" s="1"/>
      <c r="F307" s="1"/>
      <c r="G307" s="2"/>
      <c r="I307" s="2"/>
      <c r="P307" t="str">
        <f t="shared" si="27"/>
        <v/>
      </c>
      <c r="Q307" t="str">
        <f t="shared" si="28"/>
        <v/>
      </c>
      <c r="R307" t="str">
        <f t="shared" si="29"/>
        <v/>
      </c>
      <c r="T307">
        <f t="shared" si="30"/>
        <v>2985</v>
      </c>
    </row>
    <row r="308" spans="1:20" ht="14.1" customHeight="1" outlineLevel="3" x14ac:dyDescent="0.2">
      <c r="A308" t="str">
        <f t="shared" si="26"/>
        <v/>
      </c>
      <c r="E308" s="1"/>
      <c r="F308" s="1"/>
      <c r="G308" s="2"/>
      <c r="I308" s="2"/>
      <c r="P308" t="str">
        <f t="shared" ref="P308:P309" si="31">IF(OR(K308="",K308=0),"",D308&amp;N308&amp;K308&amp;M308&amp;F308&amp;G308)</f>
        <v/>
      </c>
      <c r="Q308" t="str">
        <f t="shared" si="28"/>
        <v/>
      </c>
      <c r="R308" t="str">
        <f t="shared" si="29"/>
        <v/>
      </c>
      <c r="T308">
        <f t="shared" si="30"/>
        <v>2985</v>
      </c>
    </row>
    <row r="309" spans="1:20" ht="14.1" customHeight="1" outlineLevel="3" x14ac:dyDescent="0.2">
      <c r="A309" t="str">
        <f t="shared" si="26"/>
        <v/>
      </c>
      <c r="E309" s="1"/>
      <c r="F309" s="1"/>
      <c r="G309" s="2"/>
      <c r="I309" s="2"/>
      <c r="P309" t="str">
        <f t="shared" si="31"/>
        <v/>
      </c>
      <c r="Q309" t="str">
        <f t="shared" si="28"/>
        <v/>
      </c>
      <c r="R309" t="str">
        <f t="shared" si="29"/>
        <v/>
      </c>
      <c r="T309">
        <f t="shared" si="30"/>
        <v>2985</v>
      </c>
    </row>
    <row r="310" spans="1:20" ht="14.1" customHeight="1" outlineLevel="3" x14ac:dyDescent="0.2">
      <c r="A310" t="str">
        <f t="shared" si="26"/>
        <v/>
      </c>
      <c r="E310" s="1"/>
      <c r="F310" s="1"/>
      <c r="G310" s="2"/>
      <c r="I310" s="2"/>
      <c r="P310" t="str">
        <f t="shared" si="27"/>
        <v/>
      </c>
      <c r="Q310" t="str">
        <f t="shared" si="28"/>
        <v/>
      </c>
      <c r="R310" t="str">
        <f t="shared" si="29"/>
        <v/>
      </c>
      <c r="T310">
        <f t="shared" si="30"/>
        <v>2985</v>
      </c>
    </row>
    <row r="311" spans="1:20" ht="14.1" customHeight="1" outlineLevel="3" x14ac:dyDescent="0.2">
      <c r="A311" t="str">
        <f t="shared" si="26"/>
        <v/>
      </c>
      <c r="E311" s="1"/>
      <c r="F311" s="1"/>
      <c r="G311" s="2"/>
      <c r="I311" s="2"/>
      <c r="P311" t="str">
        <f t="shared" si="27"/>
        <v/>
      </c>
      <c r="Q311" t="str">
        <f t="shared" si="28"/>
        <v/>
      </c>
      <c r="R311" t="str">
        <f t="shared" si="29"/>
        <v/>
      </c>
      <c r="T311">
        <f t="shared" si="30"/>
        <v>2985</v>
      </c>
    </row>
    <row r="312" spans="1:20" ht="14.1" customHeight="1" outlineLevel="3" x14ac:dyDescent="0.2">
      <c r="A312" t="str">
        <f t="shared" si="26"/>
        <v/>
      </c>
      <c r="E312" s="1"/>
      <c r="F312" s="1"/>
      <c r="G312" s="2"/>
      <c r="I312" s="2"/>
      <c r="P312" t="str">
        <f t="shared" si="27"/>
        <v/>
      </c>
      <c r="Q312" t="str">
        <f t="shared" si="28"/>
        <v/>
      </c>
      <c r="R312" t="str">
        <f t="shared" si="29"/>
        <v/>
      </c>
      <c r="T312">
        <f t="shared" si="30"/>
        <v>2985</v>
      </c>
    </row>
    <row r="313" spans="1:20" ht="14.1" customHeight="1" outlineLevel="3" x14ac:dyDescent="0.2">
      <c r="A313" t="str">
        <f t="shared" si="26"/>
        <v/>
      </c>
      <c r="E313" s="1"/>
      <c r="F313" s="1"/>
      <c r="G313" s="2"/>
      <c r="I313" s="2"/>
      <c r="P313" t="str">
        <f t="shared" si="27"/>
        <v/>
      </c>
      <c r="Q313" t="str">
        <f t="shared" si="28"/>
        <v/>
      </c>
      <c r="R313" t="str">
        <f t="shared" si="29"/>
        <v/>
      </c>
      <c r="T313">
        <f t="shared" si="30"/>
        <v>2985</v>
      </c>
    </row>
    <row r="314" spans="1:20" ht="14.1" customHeight="1" outlineLevel="3" x14ac:dyDescent="0.2">
      <c r="A314" t="str">
        <f t="shared" si="26"/>
        <v/>
      </c>
      <c r="E314" s="1"/>
      <c r="F314" s="1"/>
      <c r="G314" s="2"/>
      <c r="I314" s="2"/>
      <c r="P314" t="str">
        <f t="shared" si="27"/>
        <v/>
      </c>
      <c r="Q314" t="str">
        <f t="shared" si="28"/>
        <v/>
      </c>
      <c r="R314" t="str">
        <f t="shared" si="29"/>
        <v/>
      </c>
      <c r="T314">
        <f t="shared" si="30"/>
        <v>2985</v>
      </c>
    </row>
    <row r="315" spans="1:20" ht="14.1" customHeight="1" outlineLevel="3" x14ac:dyDescent="0.2">
      <c r="A315" t="str">
        <f t="shared" si="26"/>
        <v/>
      </c>
      <c r="E315" s="1"/>
      <c r="F315" s="1"/>
      <c r="G315" s="2"/>
      <c r="I315" s="2"/>
      <c r="P315" t="str">
        <f t="shared" si="27"/>
        <v/>
      </c>
      <c r="Q315" t="str">
        <f t="shared" si="28"/>
        <v/>
      </c>
      <c r="R315" t="str">
        <f t="shared" si="29"/>
        <v/>
      </c>
      <c r="T315">
        <f t="shared" si="30"/>
        <v>2985</v>
      </c>
    </row>
    <row r="316" spans="1:20" ht="14.1" customHeight="1" outlineLevel="3" x14ac:dyDescent="0.2">
      <c r="A316" t="str">
        <f t="shared" si="26"/>
        <v/>
      </c>
      <c r="E316" s="1"/>
      <c r="F316" s="1"/>
      <c r="G316" s="2"/>
      <c r="I316" s="2"/>
      <c r="P316" t="str">
        <f t="shared" si="27"/>
        <v/>
      </c>
      <c r="Q316" t="str">
        <f t="shared" si="28"/>
        <v/>
      </c>
      <c r="R316" t="str">
        <f t="shared" si="29"/>
        <v/>
      </c>
      <c r="T316">
        <f t="shared" si="30"/>
        <v>2985</v>
      </c>
    </row>
    <row r="317" spans="1:20" ht="14.1" customHeight="1" outlineLevel="3" x14ac:dyDescent="0.2">
      <c r="A317" t="str">
        <f t="shared" si="26"/>
        <v/>
      </c>
      <c r="E317" s="1"/>
      <c r="F317" s="1"/>
      <c r="G317" s="2"/>
      <c r="I317" s="2"/>
      <c r="P317" t="str">
        <f t="shared" si="27"/>
        <v/>
      </c>
      <c r="Q317" t="str">
        <f t="shared" si="28"/>
        <v/>
      </c>
      <c r="R317" t="str">
        <f t="shared" si="29"/>
        <v/>
      </c>
      <c r="T317">
        <f t="shared" si="30"/>
        <v>2985</v>
      </c>
    </row>
    <row r="318" spans="1:20" ht="14.1" customHeight="1" outlineLevel="3" x14ac:dyDescent="0.2">
      <c r="A318" t="str">
        <f t="shared" si="26"/>
        <v/>
      </c>
      <c r="E318" s="1"/>
      <c r="F318" s="1"/>
      <c r="G318" s="2"/>
      <c r="I318" s="2"/>
      <c r="P318" t="str">
        <f t="shared" si="27"/>
        <v/>
      </c>
      <c r="Q318" t="str">
        <f t="shared" si="28"/>
        <v/>
      </c>
      <c r="R318" t="str">
        <f t="shared" si="29"/>
        <v/>
      </c>
      <c r="T318">
        <f t="shared" si="30"/>
        <v>2985</v>
      </c>
    </row>
    <row r="319" spans="1:20" ht="14.1" customHeight="1" outlineLevel="3" x14ac:dyDescent="0.2">
      <c r="A319" t="str">
        <f t="shared" si="26"/>
        <v/>
      </c>
      <c r="E319" s="1"/>
      <c r="F319" s="1"/>
      <c r="G319" s="2"/>
      <c r="I319" s="2"/>
      <c r="P319" t="str">
        <f t="shared" si="27"/>
        <v/>
      </c>
      <c r="Q319" t="str">
        <f t="shared" si="28"/>
        <v/>
      </c>
      <c r="R319" t="str">
        <f t="shared" si="29"/>
        <v/>
      </c>
      <c r="T319">
        <f t="shared" si="30"/>
        <v>2985</v>
      </c>
    </row>
    <row r="320" spans="1:20" ht="14.1" customHeight="1" outlineLevel="3" x14ac:dyDescent="0.2">
      <c r="A320" t="str">
        <f t="shared" si="26"/>
        <v/>
      </c>
      <c r="E320" s="1"/>
      <c r="F320" s="1"/>
      <c r="G320" s="2"/>
      <c r="I320" s="2"/>
      <c r="P320" t="str">
        <f t="shared" si="27"/>
        <v/>
      </c>
      <c r="Q320" t="str">
        <f t="shared" si="28"/>
        <v/>
      </c>
      <c r="R320" t="str">
        <f t="shared" si="29"/>
        <v/>
      </c>
      <c r="T320">
        <f t="shared" si="30"/>
        <v>2985</v>
      </c>
    </row>
    <row r="321" spans="1:20" ht="14.1" customHeight="1" outlineLevel="3" x14ac:dyDescent="0.2">
      <c r="A321" t="str">
        <f t="shared" si="26"/>
        <v/>
      </c>
      <c r="E321" s="1"/>
      <c r="F321" s="1"/>
      <c r="G321" s="2"/>
      <c r="I321" s="2"/>
      <c r="P321" t="str">
        <f t="shared" si="27"/>
        <v/>
      </c>
      <c r="Q321" t="str">
        <f t="shared" si="28"/>
        <v/>
      </c>
      <c r="R321" t="str">
        <f t="shared" si="29"/>
        <v/>
      </c>
      <c r="T321">
        <f t="shared" si="30"/>
        <v>2985</v>
      </c>
    </row>
    <row r="322" spans="1:20" ht="14.1" customHeight="1" outlineLevel="3" x14ac:dyDescent="0.2">
      <c r="A322" t="str">
        <f t="shared" si="26"/>
        <v/>
      </c>
      <c r="E322" s="1"/>
      <c r="F322" s="1"/>
      <c r="G322" s="2"/>
      <c r="I322" s="2"/>
      <c r="P322" t="str">
        <f t="shared" si="27"/>
        <v/>
      </c>
      <c r="Q322" t="str">
        <f t="shared" si="28"/>
        <v/>
      </c>
      <c r="R322" t="str">
        <f t="shared" si="29"/>
        <v/>
      </c>
      <c r="T322">
        <f t="shared" si="30"/>
        <v>2985</v>
      </c>
    </row>
    <row r="323" spans="1:20" ht="14.1" customHeight="1" outlineLevel="3" x14ac:dyDescent="0.2">
      <c r="A323" t="str">
        <f t="shared" ref="A323:A386" si="32">IFERROR(IF(OR(K323="",I323=0),"",D323&amp;K323&amp;I323),"")</f>
        <v/>
      </c>
      <c r="E323" s="1"/>
      <c r="F323" s="1"/>
      <c r="G323" s="2"/>
      <c r="I323" s="2"/>
      <c r="P323" t="str">
        <f t="shared" ref="P323:P386" si="33">IF(OR(K323="",K323=0),"",D323&amp;N323&amp;K323&amp;M323&amp;F323)</f>
        <v/>
      </c>
      <c r="Q323" t="str">
        <f t="shared" ref="Q323:Q386" si="34">IF(P323="","",COUNTIF($P$2:$P$1448,$P323))</f>
        <v/>
      </c>
      <c r="R323" t="str">
        <f t="shared" ref="R323:R386" si="35">G323&amp;K323&amp;N323</f>
        <v/>
      </c>
      <c r="T323">
        <f t="shared" ref="T323:T386" si="36">COUNTIF($R$2:$R$2986,$R323)</f>
        <v>2985</v>
      </c>
    </row>
    <row r="324" spans="1:20" ht="14.1" customHeight="1" outlineLevel="3" x14ac:dyDescent="0.2">
      <c r="A324" t="str">
        <f t="shared" si="32"/>
        <v/>
      </c>
      <c r="E324" s="1"/>
      <c r="F324" s="1"/>
      <c r="G324" s="2"/>
      <c r="I324" s="2"/>
      <c r="P324" t="str">
        <f t="shared" si="33"/>
        <v/>
      </c>
      <c r="Q324" t="str">
        <f t="shared" si="34"/>
        <v/>
      </c>
      <c r="R324" t="str">
        <f t="shared" si="35"/>
        <v/>
      </c>
      <c r="T324">
        <f t="shared" si="36"/>
        <v>2985</v>
      </c>
    </row>
    <row r="325" spans="1:20" ht="14.1" customHeight="1" outlineLevel="3" x14ac:dyDescent="0.2">
      <c r="A325" t="str">
        <f t="shared" si="32"/>
        <v/>
      </c>
      <c r="E325" s="1"/>
      <c r="F325" s="1"/>
      <c r="G325" s="2"/>
      <c r="I325" s="2"/>
      <c r="P325" t="str">
        <f t="shared" si="33"/>
        <v/>
      </c>
      <c r="Q325" t="str">
        <f t="shared" si="34"/>
        <v/>
      </c>
      <c r="R325" t="str">
        <f t="shared" si="35"/>
        <v/>
      </c>
      <c r="T325">
        <f t="shared" si="36"/>
        <v>2985</v>
      </c>
    </row>
    <row r="326" spans="1:20" ht="14.1" customHeight="1" outlineLevel="3" x14ac:dyDescent="0.2">
      <c r="A326" t="str">
        <f t="shared" si="32"/>
        <v/>
      </c>
      <c r="E326" s="1"/>
      <c r="F326" s="1"/>
      <c r="G326" s="2"/>
      <c r="I326" s="2"/>
      <c r="P326" t="str">
        <f t="shared" si="33"/>
        <v/>
      </c>
      <c r="Q326" t="str">
        <f t="shared" si="34"/>
        <v/>
      </c>
      <c r="R326" t="str">
        <f t="shared" si="35"/>
        <v/>
      </c>
      <c r="T326">
        <f t="shared" si="36"/>
        <v>2985</v>
      </c>
    </row>
    <row r="327" spans="1:20" ht="14.1" customHeight="1" outlineLevel="3" x14ac:dyDescent="0.2">
      <c r="A327" t="str">
        <f t="shared" si="32"/>
        <v/>
      </c>
      <c r="E327" s="1"/>
      <c r="F327" s="1"/>
      <c r="G327" s="2"/>
      <c r="I327" s="2"/>
      <c r="P327" t="str">
        <f t="shared" si="33"/>
        <v/>
      </c>
      <c r="Q327" t="str">
        <f t="shared" si="34"/>
        <v/>
      </c>
      <c r="R327" t="str">
        <f t="shared" si="35"/>
        <v/>
      </c>
      <c r="T327">
        <f t="shared" si="36"/>
        <v>2985</v>
      </c>
    </row>
    <row r="328" spans="1:20" ht="14.1" customHeight="1" outlineLevel="3" x14ac:dyDescent="0.2">
      <c r="A328" t="str">
        <f t="shared" si="32"/>
        <v/>
      </c>
      <c r="E328" s="1"/>
      <c r="F328" s="1"/>
      <c r="G328" s="2"/>
      <c r="I328" s="2"/>
      <c r="P328" t="str">
        <f t="shared" si="33"/>
        <v/>
      </c>
      <c r="Q328" t="str">
        <f t="shared" si="34"/>
        <v/>
      </c>
      <c r="R328" t="str">
        <f t="shared" si="35"/>
        <v/>
      </c>
      <c r="T328">
        <f t="shared" si="36"/>
        <v>2985</v>
      </c>
    </row>
    <row r="329" spans="1:20" ht="14.1" customHeight="1" outlineLevel="3" x14ac:dyDescent="0.2">
      <c r="A329" t="str">
        <f t="shared" si="32"/>
        <v/>
      </c>
      <c r="E329" s="1"/>
      <c r="F329" s="1"/>
      <c r="G329" s="2"/>
      <c r="I329" s="2"/>
      <c r="P329" t="str">
        <f t="shared" si="33"/>
        <v/>
      </c>
      <c r="Q329" t="str">
        <f t="shared" si="34"/>
        <v/>
      </c>
      <c r="R329" t="str">
        <f t="shared" si="35"/>
        <v/>
      </c>
      <c r="T329">
        <f t="shared" si="36"/>
        <v>2985</v>
      </c>
    </row>
    <row r="330" spans="1:20" ht="14.1" customHeight="1" outlineLevel="3" x14ac:dyDescent="0.2">
      <c r="A330" t="str">
        <f t="shared" si="32"/>
        <v/>
      </c>
      <c r="E330" s="1"/>
      <c r="F330" s="1"/>
      <c r="G330" s="2"/>
      <c r="I330" s="2"/>
      <c r="P330" t="str">
        <f t="shared" si="33"/>
        <v/>
      </c>
      <c r="Q330" t="str">
        <f t="shared" si="34"/>
        <v/>
      </c>
      <c r="R330" t="str">
        <f t="shared" si="35"/>
        <v/>
      </c>
      <c r="T330">
        <f t="shared" si="36"/>
        <v>2985</v>
      </c>
    </row>
    <row r="331" spans="1:20" ht="14.1" customHeight="1" outlineLevel="3" x14ac:dyDescent="0.2">
      <c r="A331" t="str">
        <f t="shared" si="32"/>
        <v/>
      </c>
      <c r="E331" s="1"/>
      <c r="F331" s="1"/>
      <c r="G331" s="2"/>
      <c r="I331" s="2"/>
      <c r="P331" t="str">
        <f t="shared" si="33"/>
        <v/>
      </c>
      <c r="Q331" t="str">
        <f t="shared" si="34"/>
        <v/>
      </c>
      <c r="R331" t="str">
        <f t="shared" si="35"/>
        <v/>
      </c>
      <c r="T331">
        <f t="shared" si="36"/>
        <v>2985</v>
      </c>
    </row>
    <row r="332" spans="1:20" ht="14.1" customHeight="1" outlineLevel="3" x14ac:dyDescent="0.2">
      <c r="A332" t="str">
        <f t="shared" si="32"/>
        <v/>
      </c>
      <c r="E332" s="1"/>
      <c r="F332" s="1"/>
      <c r="G332" s="2"/>
      <c r="I332" s="2"/>
      <c r="P332" t="str">
        <f t="shared" si="33"/>
        <v/>
      </c>
      <c r="Q332" t="str">
        <f t="shared" si="34"/>
        <v/>
      </c>
      <c r="R332" t="str">
        <f t="shared" si="35"/>
        <v/>
      </c>
      <c r="T332">
        <f t="shared" si="36"/>
        <v>2985</v>
      </c>
    </row>
    <row r="333" spans="1:20" ht="14.1" customHeight="1" outlineLevel="3" x14ac:dyDescent="0.2">
      <c r="A333" t="str">
        <f t="shared" si="32"/>
        <v/>
      </c>
      <c r="E333" s="1"/>
      <c r="F333" s="1"/>
      <c r="G333" s="2"/>
      <c r="I333" s="2"/>
      <c r="P333" t="str">
        <f t="shared" si="33"/>
        <v/>
      </c>
      <c r="Q333" t="str">
        <f t="shared" si="34"/>
        <v/>
      </c>
      <c r="R333" t="str">
        <f t="shared" si="35"/>
        <v/>
      </c>
      <c r="T333">
        <f t="shared" si="36"/>
        <v>2985</v>
      </c>
    </row>
    <row r="334" spans="1:20" ht="14.1" customHeight="1" outlineLevel="3" x14ac:dyDescent="0.2">
      <c r="A334" t="str">
        <f t="shared" si="32"/>
        <v/>
      </c>
      <c r="E334" s="1"/>
      <c r="F334" s="1"/>
      <c r="G334" s="2"/>
      <c r="I334" s="2"/>
      <c r="P334" t="str">
        <f t="shared" si="33"/>
        <v/>
      </c>
      <c r="Q334" t="str">
        <f t="shared" si="34"/>
        <v/>
      </c>
      <c r="R334" t="str">
        <f t="shared" si="35"/>
        <v/>
      </c>
      <c r="T334">
        <f t="shared" si="36"/>
        <v>2985</v>
      </c>
    </row>
    <row r="335" spans="1:20" ht="14.1" customHeight="1" outlineLevel="3" x14ac:dyDescent="0.2">
      <c r="A335" t="str">
        <f t="shared" si="32"/>
        <v/>
      </c>
      <c r="E335" s="1"/>
      <c r="F335" s="1"/>
      <c r="G335" s="2"/>
      <c r="I335" s="2"/>
      <c r="P335" t="str">
        <f t="shared" si="33"/>
        <v/>
      </c>
      <c r="Q335" t="str">
        <f t="shared" si="34"/>
        <v/>
      </c>
      <c r="R335" t="str">
        <f t="shared" si="35"/>
        <v/>
      </c>
      <c r="T335">
        <f t="shared" si="36"/>
        <v>2985</v>
      </c>
    </row>
    <row r="336" spans="1:20" ht="14.1" customHeight="1" outlineLevel="3" x14ac:dyDescent="0.2">
      <c r="A336" t="str">
        <f t="shared" si="32"/>
        <v/>
      </c>
      <c r="E336" s="1"/>
      <c r="F336" s="1"/>
      <c r="G336" s="2"/>
      <c r="I336" s="2"/>
      <c r="P336" t="str">
        <f t="shared" si="33"/>
        <v/>
      </c>
      <c r="Q336" t="str">
        <f t="shared" si="34"/>
        <v/>
      </c>
      <c r="R336" t="str">
        <f t="shared" si="35"/>
        <v/>
      </c>
      <c r="T336">
        <f t="shared" si="36"/>
        <v>2985</v>
      </c>
    </row>
    <row r="337" spans="1:20" ht="14.1" customHeight="1" outlineLevel="3" x14ac:dyDescent="0.2">
      <c r="A337" t="str">
        <f t="shared" si="32"/>
        <v/>
      </c>
      <c r="E337" s="1"/>
      <c r="F337" s="1"/>
      <c r="G337" s="2"/>
      <c r="I337" s="2"/>
      <c r="P337" t="str">
        <f t="shared" si="33"/>
        <v/>
      </c>
      <c r="Q337" t="str">
        <f t="shared" si="34"/>
        <v/>
      </c>
      <c r="R337" t="str">
        <f t="shared" si="35"/>
        <v/>
      </c>
      <c r="T337">
        <f t="shared" si="36"/>
        <v>2985</v>
      </c>
    </row>
    <row r="338" spans="1:20" ht="14.1" customHeight="1" outlineLevel="3" x14ac:dyDescent="0.2">
      <c r="A338" t="str">
        <f t="shared" si="32"/>
        <v/>
      </c>
      <c r="E338" s="1"/>
      <c r="F338" s="1"/>
      <c r="G338" s="2"/>
      <c r="I338" s="2"/>
      <c r="P338" t="str">
        <f t="shared" si="33"/>
        <v/>
      </c>
      <c r="Q338" t="str">
        <f t="shared" si="34"/>
        <v/>
      </c>
      <c r="R338" t="str">
        <f t="shared" si="35"/>
        <v/>
      </c>
      <c r="T338">
        <f t="shared" si="36"/>
        <v>2985</v>
      </c>
    </row>
    <row r="339" spans="1:20" ht="14.1" customHeight="1" outlineLevel="3" x14ac:dyDescent="0.2">
      <c r="A339" t="str">
        <f t="shared" si="32"/>
        <v/>
      </c>
      <c r="E339" s="1"/>
      <c r="F339" s="1"/>
      <c r="G339" s="2"/>
      <c r="I339" s="2"/>
      <c r="P339" t="str">
        <f t="shared" si="33"/>
        <v/>
      </c>
      <c r="Q339" t="str">
        <f t="shared" si="34"/>
        <v/>
      </c>
      <c r="R339" t="str">
        <f t="shared" si="35"/>
        <v/>
      </c>
      <c r="T339">
        <f t="shared" si="36"/>
        <v>2985</v>
      </c>
    </row>
    <row r="340" spans="1:20" ht="14.1" customHeight="1" outlineLevel="3" x14ac:dyDescent="0.2">
      <c r="A340" t="str">
        <f t="shared" si="32"/>
        <v/>
      </c>
      <c r="E340" s="1"/>
      <c r="F340" s="1"/>
      <c r="G340" s="2"/>
      <c r="I340" s="2"/>
      <c r="P340" t="str">
        <f t="shared" si="33"/>
        <v/>
      </c>
      <c r="Q340" t="str">
        <f t="shared" si="34"/>
        <v/>
      </c>
      <c r="R340" t="str">
        <f t="shared" si="35"/>
        <v/>
      </c>
      <c r="T340">
        <f t="shared" si="36"/>
        <v>2985</v>
      </c>
    </row>
    <row r="341" spans="1:20" ht="14.1" customHeight="1" outlineLevel="3" x14ac:dyDescent="0.2">
      <c r="A341" t="str">
        <f t="shared" si="32"/>
        <v/>
      </c>
      <c r="E341" s="1"/>
      <c r="F341" s="1"/>
      <c r="G341" s="2"/>
      <c r="I341" s="2"/>
      <c r="P341" t="str">
        <f t="shared" si="33"/>
        <v/>
      </c>
      <c r="Q341" t="str">
        <f t="shared" si="34"/>
        <v/>
      </c>
      <c r="R341" t="str">
        <f t="shared" si="35"/>
        <v/>
      </c>
      <c r="T341">
        <f t="shared" si="36"/>
        <v>2985</v>
      </c>
    </row>
    <row r="342" spans="1:20" ht="14.1" customHeight="1" outlineLevel="3" x14ac:dyDescent="0.2">
      <c r="A342" t="str">
        <f t="shared" si="32"/>
        <v/>
      </c>
      <c r="E342" s="1"/>
      <c r="F342" s="1"/>
      <c r="G342" s="2"/>
      <c r="I342" s="2"/>
      <c r="P342" t="str">
        <f t="shared" si="33"/>
        <v/>
      </c>
      <c r="Q342" t="str">
        <f t="shared" si="34"/>
        <v/>
      </c>
      <c r="R342" t="str">
        <f t="shared" si="35"/>
        <v/>
      </c>
      <c r="T342">
        <f t="shared" si="36"/>
        <v>2985</v>
      </c>
    </row>
    <row r="343" spans="1:20" ht="14.1" customHeight="1" outlineLevel="3" x14ac:dyDescent="0.2">
      <c r="A343" t="str">
        <f t="shared" si="32"/>
        <v/>
      </c>
      <c r="E343" s="1"/>
      <c r="F343" s="1"/>
      <c r="G343" s="2"/>
      <c r="I343" s="2"/>
      <c r="P343" t="str">
        <f t="shared" si="33"/>
        <v/>
      </c>
      <c r="Q343" t="str">
        <f t="shared" si="34"/>
        <v/>
      </c>
      <c r="R343" t="str">
        <f t="shared" si="35"/>
        <v/>
      </c>
      <c r="T343">
        <f t="shared" si="36"/>
        <v>2985</v>
      </c>
    </row>
    <row r="344" spans="1:20" ht="14.1" customHeight="1" outlineLevel="3" x14ac:dyDescent="0.2">
      <c r="A344" t="str">
        <f t="shared" si="32"/>
        <v/>
      </c>
      <c r="E344" s="1"/>
      <c r="F344" s="1"/>
      <c r="G344" s="2"/>
      <c r="I344" s="2"/>
      <c r="P344" t="str">
        <f t="shared" si="33"/>
        <v/>
      </c>
      <c r="Q344" t="str">
        <f t="shared" si="34"/>
        <v/>
      </c>
      <c r="R344" t="str">
        <f t="shared" si="35"/>
        <v/>
      </c>
      <c r="T344">
        <f t="shared" si="36"/>
        <v>2985</v>
      </c>
    </row>
    <row r="345" spans="1:20" ht="14.1" customHeight="1" outlineLevel="3" x14ac:dyDescent="0.2">
      <c r="A345" t="str">
        <f t="shared" si="32"/>
        <v/>
      </c>
      <c r="E345" s="1"/>
      <c r="F345" s="1"/>
      <c r="G345" s="2"/>
      <c r="I345" s="2"/>
      <c r="P345" t="str">
        <f t="shared" si="33"/>
        <v/>
      </c>
      <c r="Q345" t="str">
        <f t="shared" si="34"/>
        <v/>
      </c>
      <c r="R345" t="str">
        <f t="shared" si="35"/>
        <v/>
      </c>
      <c r="T345">
        <f t="shared" si="36"/>
        <v>2985</v>
      </c>
    </row>
    <row r="346" spans="1:20" ht="14.1" customHeight="1" outlineLevel="3" x14ac:dyDescent="0.2">
      <c r="A346" t="str">
        <f t="shared" si="32"/>
        <v/>
      </c>
      <c r="E346" s="1"/>
      <c r="F346" s="1"/>
      <c r="G346" s="2"/>
      <c r="I346" s="2"/>
      <c r="P346" t="str">
        <f t="shared" si="33"/>
        <v/>
      </c>
      <c r="Q346" t="str">
        <f t="shared" si="34"/>
        <v/>
      </c>
      <c r="R346" t="str">
        <f t="shared" si="35"/>
        <v/>
      </c>
      <c r="T346">
        <f t="shared" si="36"/>
        <v>2985</v>
      </c>
    </row>
    <row r="347" spans="1:20" ht="14.1" customHeight="1" outlineLevel="3" x14ac:dyDescent="0.2">
      <c r="A347" t="str">
        <f t="shared" si="32"/>
        <v/>
      </c>
      <c r="E347" s="1"/>
      <c r="F347" s="1"/>
      <c r="G347" s="2"/>
      <c r="I347" s="2"/>
      <c r="P347" t="str">
        <f t="shared" si="33"/>
        <v/>
      </c>
      <c r="Q347" t="str">
        <f t="shared" si="34"/>
        <v/>
      </c>
      <c r="R347" t="str">
        <f t="shared" si="35"/>
        <v/>
      </c>
      <c r="T347">
        <f t="shared" si="36"/>
        <v>2985</v>
      </c>
    </row>
    <row r="348" spans="1:20" ht="14.1" customHeight="1" outlineLevel="3" x14ac:dyDescent="0.2">
      <c r="A348" t="str">
        <f t="shared" si="32"/>
        <v/>
      </c>
      <c r="E348" s="1"/>
      <c r="F348" s="1"/>
      <c r="G348" s="2"/>
      <c r="I348" s="2"/>
      <c r="P348" t="str">
        <f t="shared" si="33"/>
        <v/>
      </c>
      <c r="Q348" t="str">
        <f t="shared" si="34"/>
        <v/>
      </c>
      <c r="R348" t="str">
        <f t="shared" si="35"/>
        <v/>
      </c>
      <c r="T348">
        <f t="shared" si="36"/>
        <v>2985</v>
      </c>
    </row>
    <row r="349" spans="1:20" ht="14.1" customHeight="1" outlineLevel="3" x14ac:dyDescent="0.2">
      <c r="A349" t="str">
        <f t="shared" si="32"/>
        <v/>
      </c>
      <c r="E349" s="1"/>
      <c r="F349" s="1"/>
      <c r="G349" s="2"/>
      <c r="I349" s="2"/>
      <c r="P349" t="str">
        <f t="shared" si="33"/>
        <v/>
      </c>
      <c r="Q349" t="str">
        <f t="shared" si="34"/>
        <v/>
      </c>
      <c r="R349" t="str">
        <f t="shared" si="35"/>
        <v/>
      </c>
      <c r="T349">
        <f t="shared" si="36"/>
        <v>2985</v>
      </c>
    </row>
    <row r="350" spans="1:20" ht="14.1" customHeight="1" outlineLevel="3" x14ac:dyDescent="0.2">
      <c r="A350" t="str">
        <f t="shared" si="32"/>
        <v/>
      </c>
      <c r="E350" s="1"/>
      <c r="F350" s="1"/>
      <c r="G350" s="2"/>
      <c r="I350" s="2"/>
      <c r="P350" t="str">
        <f t="shared" si="33"/>
        <v/>
      </c>
      <c r="Q350" t="str">
        <f t="shared" si="34"/>
        <v/>
      </c>
      <c r="R350" t="str">
        <f t="shared" si="35"/>
        <v/>
      </c>
      <c r="T350">
        <f t="shared" si="36"/>
        <v>2985</v>
      </c>
    </row>
    <row r="351" spans="1:20" ht="14.1" customHeight="1" outlineLevel="3" x14ac:dyDescent="0.2">
      <c r="A351" t="str">
        <f t="shared" si="32"/>
        <v/>
      </c>
      <c r="E351" s="1"/>
      <c r="F351" s="1"/>
      <c r="G351" s="2"/>
      <c r="I351" s="2"/>
      <c r="P351" t="str">
        <f t="shared" si="33"/>
        <v/>
      </c>
      <c r="Q351" t="str">
        <f t="shared" si="34"/>
        <v/>
      </c>
      <c r="R351" t="str">
        <f t="shared" si="35"/>
        <v/>
      </c>
      <c r="T351">
        <f t="shared" si="36"/>
        <v>2985</v>
      </c>
    </row>
    <row r="352" spans="1:20" ht="14.1" customHeight="1" outlineLevel="3" x14ac:dyDescent="0.2">
      <c r="A352" t="str">
        <f t="shared" si="32"/>
        <v/>
      </c>
      <c r="E352" s="1"/>
      <c r="F352" s="1"/>
      <c r="G352" s="2"/>
      <c r="I352" s="2"/>
      <c r="P352" t="str">
        <f t="shared" si="33"/>
        <v/>
      </c>
      <c r="Q352" t="str">
        <f t="shared" si="34"/>
        <v/>
      </c>
      <c r="R352" t="str">
        <f t="shared" si="35"/>
        <v/>
      </c>
      <c r="T352">
        <f t="shared" si="36"/>
        <v>2985</v>
      </c>
    </row>
    <row r="353" spans="1:20" ht="14.1" customHeight="1" outlineLevel="3" x14ac:dyDescent="0.2">
      <c r="A353" t="str">
        <f t="shared" si="32"/>
        <v/>
      </c>
      <c r="E353" s="1"/>
      <c r="F353" s="1"/>
      <c r="G353" s="2"/>
      <c r="I353" s="2"/>
      <c r="P353" t="str">
        <f t="shared" si="33"/>
        <v/>
      </c>
      <c r="Q353" t="str">
        <f t="shared" si="34"/>
        <v/>
      </c>
      <c r="R353" t="str">
        <f t="shared" si="35"/>
        <v/>
      </c>
      <c r="T353">
        <f t="shared" si="36"/>
        <v>2985</v>
      </c>
    </row>
    <row r="354" spans="1:20" ht="14.1" customHeight="1" outlineLevel="3" x14ac:dyDescent="0.2">
      <c r="A354" t="str">
        <f t="shared" si="32"/>
        <v/>
      </c>
      <c r="E354" s="1"/>
      <c r="F354" s="1"/>
      <c r="G354" s="2"/>
      <c r="I354" s="2"/>
      <c r="P354" t="str">
        <f t="shared" si="33"/>
        <v/>
      </c>
      <c r="Q354" t="str">
        <f t="shared" si="34"/>
        <v/>
      </c>
      <c r="R354" t="str">
        <f t="shared" si="35"/>
        <v/>
      </c>
      <c r="T354">
        <f t="shared" si="36"/>
        <v>2985</v>
      </c>
    </row>
    <row r="355" spans="1:20" ht="14.1" customHeight="1" outlineLevel="3" x14ac:dyDescent="0.2">
      <c r="A355" t="str">
        <f t="shared" si="32"/>
        <v/>
      </c>
      <c r="E355" s="1"/>
      <c r="F355" s="1"/>
      <c r="G355" s="2"/>
      <c r="I355" s="2"/>
      <c r="P355" t="str">
        <f t="shared" si="33"/>
        <v/>
      </c>
      <c r="Q355" t="str">
        <f t="shared" si="34"/>
        <v/>
      </c>
      <c r="R355" t="str">
        <f t="shared" si="35"/>
        <v/>
      </c>
      <c r="T355">
        <f t="shared" si="36"/>
        <v>2985</v>
      </c>
    </row>
    <row r="356" spans="1:20" ht="14.1" customHeight="1" outlineLevel="3" x14ac:dyDescent="0.2">
      <c r="A356" t="str">
        <f t="shared" si="32"/>
        <v/>
      </c>
      <c r="E356" s="1"/>
      <c r="F356" s="1"/>
      <c r="G356" s="2"/>
      <c r="I356" s="2"/>
      <c r="P356" t="str">
        <f t="shared" si="33"/>
        <v/>
      </c>
      <c r="Q356" t="str">
        <f t="shared" si="34"/>
        <v/>
      </c>
      <c r="R356" t="str">
        <f t="shared" si="35"/>
        <v/>
      </c>
      <c r="T356">
        <f t="shared" si="36"/>
        <v>2985</v>
      </c>
    </row>
    <row r="357" spans="1:20" ht="14.1" customHeight="1" outlineLevel="3" x14ac:dyDescent="0.2">
      <c r="A357" t="str">
        <f t="shared" si="32"/>
        <v/>
      </c>
      <c r="E357" s="1"/>
      <c r="F357" s="1"/>
      <c r="G357" s="2"/>
      <c r="I357" s="2"/>
      <c r="P357" t="str">
        <f t="shared" si="33"/>
        <v/>
      </c>
      <c r="Q357" t="str">
        <f t="shared" si="34"/>
        <v/>
      </c>
      <c r="R357" t="str">
        <f t="shared" si="35"/>
        <v/>
      </c>
      <c r="T357">
        <f t="shared" si="36"/>
        <v>2985</v>
      </c>
    </row>
    <row r="358" spans="1:20" ht="14.1" customHeight="1" outlineLevel="3" x14ac:dyDescent="0.2">
      <c r="A358" t="str">
        <f t="shared" si="32"/>
        <v/>
      </c>
      <c r="E358" s="1"/>
      <c r="F358" s="1"/>
      <c r="G358" s="2"/>
      <c r="I358" s="2"/>
      <c r="P358" t="str">
        <f t="shared" si="33"/>
        <v/>
      </c>
      <c r="Q358" t="str">
        <f t="shared" si="34"/>
        <v/>
      </c>
      <c r="R358" t="str">
        <f t="shared" si="35"/>
        <v/>
      </c>
      <c r="T358">
        <f t="shared" si="36"/>
        <v>2985</v>
      </c>
    </row>
    <row r="359" spans="1:20" ht="14.1" customHeight="1" outlineLevel="3" x14ac:dyDescent="0.2">
      <c r="A359" t="str">
        <f t="shared" si="32"/>
        <v/>
      </c>
      <c r="E359" s="1"/>
      <c r="F359" s="1"/>
      <c r="G359" s="2"/>
      <c r="I359" s="2"/>
      <c r="P359" t="str">
        <f t="shared" si="33"/>
        <v/>
      </c>
      <c r="Q359" t="str">
        <f t="shared" si="34"/>
        <v/>
      </c>
      <c r="R359" t="str">
        <f t="shared" si="35"/>
        <v/>
      </c>
      <c r="T359">
        <f t="shared" si="36"/>
        <v>2985</v>
      </c>
    </row>
    <row r="360" spans="1:20" ht="14.1" customHeight="1" outlineLevel="3" x14ac:dyDescent="0.2">
      <c r="A360" t="str">
        <f t="shared" si="32"/>
        <v/>
      </c>
      <c r="E360" s="1"/>
      <c r="F360" s="1"/>
      <c r="G360" s="2"/>
      <c r="I360" s="2"/>
      <c r="P360" t="str">
        <f t="shared" si="33"/>
        <v/>
      </c>
      <c r="Q360" t="str">
        <f t="shared" si="34"/>
        <v/>
      </c>
      <c r="R360" t="str">
        <f t="shared" si="35"/>
        <v/>
      </c>
      <c r="T360">
        <f t="shared" si="36"/>
        <v>2985</v>
      </c>
    </row>
    <row r="361" spans="1:20" ht="14.1" customHeight="1" outlineLevel="3" x14ac:dyDescent="0.2">
      <c r="A361" t="str">
        <f t="shared" si="32"/>
        <v/>
      </c>
      <c r="E361" s="1"/>
      <c r="F361" s="1"/>
      <c r="G361" s="2"/>
      <c r="I361" s="2"/>
      <c r="P361" t="str">
        <f t="shared" si="33"/>
        <v/>
      </c>
      <c r="Q361" t="str">
        <f t="shared" si="34"/>
        <v/>
      </c>
      <c r="R361" t="str">
        <f t="shared" si="35"/>
        <v/>
      </c>
      <c r="T361">
        <f t="shared" si="36"/>
        <v>2985</v>
      </c>
    </row>
    <row r="362" spans="1:20" ht="14.1" customHeight="1" outlineLevel="3" x14ac:dyDescent="0.2">
      <c r="A362" t="str">
        <f t="shared" si="32"/>
        <v/>
      </c>
      <c r="E362" s="1"/>
      <c r="F362" s="1"/>
      <c r="G362" s="2"/>
      <c r="I362" s="2"/>
      <c r="P362" t="str">
        <f t="shared" si="33"/>
        <v/>
      </c>
      <c r="Q362" t="str">
        <f t="shared" si="34"/>
        <v/>
      </c>
      <c r="R362" t="str">
        <f t="shared" si="35"/>
        <v/>
      </c>
      <c r="T362">
        <f t="shared" si="36"/>
        <v>2985</v>
      </c>
    </row>
    <row r="363" spans="1:20" ht="14.1" customHeight="1" outlineLevel="3" x14ac:dyDescent="0.2">
      <c r="A363" t="str">
        <f t="shared" si="32"/>
        <v/>
      </c>
      <c r="E363" s="1"/>
      <c r="F363" s="1"/>
      <c r="G363" s="2"/>
      <c r="I363" s="2"/>
      <c r="P363" t="str">
        <f t="shared" si="33"/>
        <v/>
      </c>
      <c r="Q363" t="str">
        <f t="shared" si="34"/>
        <v/>
      </c>
      <c r="R363" t="str">
        <f t="shared" si="35"/>
        <v/>
      </c>
      <c r="T363">
        <f t="shared" si="36"/>
        <v>2985</v>
      </c>
    </row>
    <row r="364" spans="1:20" ht="14.1" customHeight="1" outlineLevel="3" x14ac:dyDescent="0.2">
      <c r="A364" t="str">
        <f t="shared" si="32"/>
        <v/>
      </c>
      <c r="E364" s="1"/>
      <c r="F364" s="1"/>
      <c r="G364" s="2"/>
      <c r="I364" s="2"/>
      <c r="P364" t="str">
        <f t="shared" si="33"/>
        <v/>
      </c>
      <c r="Q364" t="str">
        <f t="shared" si="34"/>
        <v/>
      </c>
      <c r="R364" t="str">
        <f t="shared" si="35"/>
        <v/>
      </c>
      <c r="T364">
        <f t="shared" si="36"/>
        <v>2985</v>
      </c>
    </row>
    <row r="365" spans="1:20" ht="14.1" customHeight="1" outlineLevel="3" x14ac:dyDescent="0.2">
      <c r="A365" t="str">
        <f t="shared" si="32"/>
        <v/>
      </c>
      <c r="E365" s="1"/>
      <c r="F365" s="1"/>
      <c r="G365" s="2"/>
      <c r="I365" s="2"/>
      <c r="P365" t="str">
        <f t="shared" si="33"/>
        <v/>
      </c>
      <c r="Q365" t="str">
        <f t="shared" si="34"/>
        <v/>
      </c>
      <c r="R365" t="str">
        <f t="shared" si="35"/>
        <v/>
      </c>
      <c r="T365">
        <f t="shared" si="36"/>
        <v>2985</v>
      </c>
    </row>
    <row r="366" spans="1:20" ht="14.1" customHeight="1" outlineLevel="3" x14ac:dyDescent="0.2">
      <c r="A366" t="str">
        <f t="shared" si="32"/>
        <v/>
      </c>
      <c r="E366" s="1"/>
      <c r="F366" s="1"/>
      <c r="G366" s="2"/>
      <c r="I366" s="2"/>
      <c r="P366" t="str">
        <f t="shared" si="33"/>
        <v/>
      </c>
      <c r="Q366" t="str">
        <f t="shared" si="34"/>
        <v/>
      </c>
      <c r="R366" t="str">
        <f t="shared" si="35"/>
        <v/>
      </c>
      <c r="T366">
        <f t="shared" si="36"/>
        <v>2985</v>
      </c>
    </row>
    <row r="367" spans="1:20" ht="14.1" customHeight="1" outlineLevel="3" x14ac:dyDescent="0.2">
      <c r="A367" t="str">
        <f t="shared" si="32"/>
        <v/>
      </c>
      <c r="E367" s="1"/>
      <c r="F367" s="1"/>
      <c r="G367" s="2"/>
      <c r="I367" s="2"/>
      <c r="P367" t="str">
        <f t="shared" si="33"/>
        <v/>
      </c>
      <c r="Q367" t="str">
        <f t="shared" si="34"/>
        <v/>
      </c>
      <c r="R367" t="str">
        <f t="shared" si="35"/>
        <v/>
      </c>
      <c r="T367">
        <f t="shared" si="36"/>
        <v>2985</v>
      </c>
    </row>
    <row r="368" spans="1:20" ht="14.1" customHeight="1" outlineLevel="3" x14ac:dyDescent="0.2">
      <c r="A368" t="str">
        <f t="shared" si="32"/>
        <v/>
      </c>
      <c r="E368" s="1"/>
      <c r="F368" s="1"/>
      <c r="G368" s="2"/>
      <c r="I368" s="2"/>
      <c r="P368" t="str">
        <f t="shared" si="33"/>
        <v/>
      </c>
      <c r="Q368" t="str">
        <f t="shared" si="34"/>
        <v/>
      </c>
      <c r="R368" t="str">
        <f t="shared" si="35"/>
        <v/>
      </c>
      <c r="T368">
        <f t="shared" si="36"/>
        <v>2985</v>
      </c>
    </row>
    <row r="369" spans="1:20" ht="14.1" customHeight="1" outlineLevel="3" x14ac:dyDescent="0.2">
      <c r="A369" t="str">
        <f t="shared" si="32"/>
        <v/>
      </c>
      <c r="E369" s="1"/>
      <c r="F369" s="1"/>
      <c r="G369" s="2"/>
      <c r="I369" s="2"/>
      <c r="P369" t="str">
        <f t="shared" si="33"/>
        <v/>
      </c>
      <c r="Q369" t="str">
        <f t="shared" si="34"/>
        <v/>
      </c>
      <c r="R369" t="str">
        <f t="shared" si="35"/>
        <v/>
      </c>
      <c r="T369">
        <f t="shared" si="36"/>
        <v>2985</v>
      </c>
    </row>
    <row r="370" spans="1:20" ht="14.1" customHeight="1" outlineLevel="3" x14ac:dyDescent="0.2">
      <c r="A370" t="str">
        <f t="shared" si="32"/>
        <v/>
      </c>
      <c r="E370" s="1"/>
      <c r="F370" s="1"/>
      <c r="G370" s="2"/>
      <c r="I370" s="2"/>
      <c r="P370" t="str">
        <f t="shared" si="33"/>
        <v/>
      </c>
      <c r="Q370" t="str">
        <f t="shared" si="34"/>
        <v/>
      </c>
      <c r="R370" t="str">
        <f t="shared" si="35"/>
        <v/>
      </c>
      <c r="T370">
        <f t="shared" si="36"/>
        <v>2985</v>
      </c>
    </row>
    <row r="371" spans="1:20" ht="14.1" customHeight="1" outlineLevel="3" x14ac:dyDescent="0.2">
      <c r="A371" t="str">
        <f t="shared" si="32"/>
        <v/>
      </c>
      <c r="E371" s="1"/>
      <c r="F371" s="1"/>
      <c r="G371" s="2"/>
      <c r="I371" s="2"/>
      <c r="P371" t="str">
        <f t="shared" si="33"/>
        <v/>
      </c>
      <c r="Q371" t="str">
        <f t="shared" si="34"/>
        <v/>
      </c>
      <c r="R371" t="str">
        <f t="shared" si="35"/>
        <v/>
      </c>
      <c r="T371">
        <f t="shared" si="36"/>
        <v>2985</v>
      </c>
    </row>
    <row r="372" spans="1:20" ht="14.1" customHeight="1" outlineLevel="3" x14ac:dyDescent="0.2">
      <c r="A372" t="str">
        <f t="shared" si="32"/>
        <v/>
      </c>
      <c r="E372" s="1"/>
      <c r="F372" s="1"/>
      <c r="G372" s="2"/>
      <c r="I372" s="2"/>
      <c r="P372" t="str">
        <f t="shared" si="33"/>
        <v/>
      </c>
      <c r="Q372" t="str">
        <f t="shared" si="34"/>
        <v/>
      </c>
      <c r="R372" t="str">
        <f t="shared" si="35"/>
        <v/>
      </c>
      <c r="T372">
        <f t="shared" si="36"/>
        <v>2985</v>
      </c>
    </row>
    <row r="373" spans="1:20" ht="14.1" customHeight="1" outlineLevel="3" x14ac:dyDescent="0.2">
      <c r="A373" t="str">
        <f t="shared" si="32"/>
        <v/>
      </c>
      <c r="E373" s="1"/>
      <c r="F373" s="1"/>
      <c r="G373" s="2"/>
      <c r="I373" s="2"/>
      <c r="P373" t="str">
        <f t="shared" si="33"/>
        <v/>
      </c>
      <c r="Q373" t="str">
        <f t="shared" si="34"/>
        <v/>
      </c>
      <c r="R373" t="str">
        <f t="shared" si="35"/>
        <v/>
      </c>
      <c r="T373">
        <f t="shared" si="36"/>
        <v>2985</v>
      </c>
    </row>
    <row r="374" spans="1:20" ht="14.1" customHeight="1" outlineLevel="3" x14ac:dyDescent="0.2">
      <c r="A374" t="str">
        <f t="shared" si="32"/>
        <v/>
      </c>
      <c r="E374" s="1"/>
      <c r="F374" s="1"/>
      <c r="G374" s="2"/>
      <c r="I374" s="2"/>
      <c r="P374" t="str">
        <f t="shared" si="33"/>
        <v/>
      </c>
      <c r="Q374" t="str">
        <f t="shared" si="34"/>
        <v/>
      </c>
      <c r="R374" t="str">
        <f t="shared" si="35"/>
        <v/>
      </c>
      <c r="T374">
        <f t="shared" si="36"/>
        <v>2985</v>
      </c>
    </row>
    <row r="375" spans="1:20" ht="14.1" customHeight="1" outlineLevel="3" x14ac:dyDescent="0.2">
      <c r="A375" t="str">
        <f t="shared" si="32"/>
        <v/>
      </c>
      <c r="E375" s="1"/>
      <c r="F375" s="1"/>
      <c r="G375" s="2"/>
      <c r="I375" s="2"/>
      <c r="P375" t="str">
        <f t="shared" si="33"/>
        <v/>
      </c>
      <c r="Q375" t="str">
        <f t="shared" si="34"/>
        <v/>
      </c>
      <c r="R375" t="str">
        <f t="shared" si="35"/>
        <v/>
      </c>
      <c r="T375">
        <f t="shared" si="36"/>
        <v>2985</v>
      </c>
    </row>
    <row r="376" spans="1:20" ht="14.1" customHeight="1" outlineLevel="3" x14ac:dyDescent="0.2">
      <c r="A376" t="str">
        <f t="shared" si="32"/>
        <v/>
      </c>
      <c r="E376" s="1"/>
      <c r="F376" s="1"/>
      <c r="G376" s="2"/>
      <c r="I376" s="2"/>
      <c r="P376" t="str">
        <f t="shared" si="33"/>
        <v/>
      </c>
      <c r="Q376" t="str">
        <f t="shared" si="34"/>
        <v/>
      </c>
      <c r="R376" t="str">
        <f t="shared" si="35"/>
        <v/>
      </c>
      <c r="T376">
        <f t="shared" si="36"/>
        <v>2985</v>
      </c>
    </row>
    <row r="377" spans="1:20" ht="14.1" customHeight="1" outlineLevel="3" x14ac:dyDescent="0.2">
      <c r="A377" t="str">
        <f t="shared" si="32"/>
        <v/>
      </c>
      <c r="E377" s="1"/>
      <c r="F377" s="1"/>
      <c r="G377" s="2"/>
      <c r="I377" s="2"/>
      <c r="P377" t="str">
        <f t="shared" si="33"/>
        <v/>
      </c>
      <c r="Q377" t="str">
        <f t="shared" si="34"/>
        <v/>
      </c>
      <c r="R377" t="str">
        <f t="shared" si="35"/>
        <v/>
      </c>
      <c r="T377">
        <f t="shared" si="36"/>
        <v>2985</v>
      </c>
    </row>
    <row r="378" spans="1:20" ht="14.1" customHeight="1" outlineLevel="3" x14ac:dyDescent="0.2">
      <c r="A378" t="str">
        <f t="shared" si="32"/>
        <v/>
      </c>
      <c r="E378" s="1"/>
      <c r="F378" s="1"/>
      <c r="G378" s="2"/>
      <c r="I378" s="2"/>
      <c r="P378" t="str">
        <f t="shared" si="33"/>
        <v/>
      </c>
      <c r="Q378" t="str">
        <f t="shared" si="34"/>
        <v/>
      </c>
      <c r="R378" t="str">
        <f t="shared" si="35"/>
        <v/>
      </c>
      <c r="T378">
        <f t="shared" si="36"/>
        <v>2985</v>
      </c>
    </row>
    <row r="379" spans="1:20" ht="14.1" customHeight="1" outlineLevel="3" x14ac:dyDescent="0.2">
      <c r="A379" t="str">
        <f t="shared" si="32"/>
        <v/>
      </c>
      <c r="E379" s="1"/>
      <c r="F379" s="1"/>
      <c r="G379" s="2"/>
      <c r="I379" s="2"/>
      <c r="P379" t="str">
        <f t="shared" si="33"/>
        <v/>
      </c>
      <c r="Q379" t="str">
        <f t="shared" si="34"/>
        <v/>
      </c>
      <c r="R379" t="str">
        <f t="shared" si="35"/>
        <v/>
      </c>
      <c r="T379">
        <f t="shared" si="36"/>
        <v>2985</v>
      </c>
    </row>
    <row r="380" spans="1:20" ht="14.1" customHeight="1" outlineLevel="3" x14ac:dyDescent="0.2">
      <c r="A380" t="str">
        <f t="shared" si="32"/>
        <v/>
      </c>
      <c r="E380" s="1"/>
      <c r="F380" s="1"/>
      <c r="G380" s="2"/>
      <c r="I380" s="2"/>
      <c r="P380" t="str">
        <f t="shared" si="33"/>
        <v/>
      </c>
      <c r="Q380" t="str">
        <f t="shared" si="34"/>
        <v/>
      </c>
      <c r="R380" t="str">
        <f t="shared" si="35"/>
        <v/>
      </c>
      <c r="T380">
        <f t="shared" si="36"/>
        <v>2985</v>
      </c>
    </row>
    <row r="381" spans="1:20" ht="14.1" customHeight="1" outlineLevel="3" x14ac:dyDescent="0.2">
      <c r="A381" t="str">
        <f t="shared" si="32"/>
        <v/>
      </c>
      <c r="E381" s="1"/>
      <c r="F381" s="1"/>
      <c r="G381" s="2"/>
      <c r="I381" s="2"/>
      <c r="P381" t="str">
        <f t="shared" si="33"/>
        <v/>
      </c>
      <c r="Q381" t="str">
        <f t="shared" si="34"/>
        <v/>
      </c>
      <c r="R381" t="str">
        <f t="shared" si="35"/>
        <v/>
      </c>
      <c r="T381">
        <f t="shared" si="36"/>
        <v>2985</v>
      </c>
    </row>
    <row r="382" spans="1:20" ht="14.1" customHeight="1" outlineLevel="3" x14ac:dyDescent="0.2">
      <c r="A382" t="str">
        <f t="shared" si="32"/>
        <v/>
      </c>
      <c r="E382" s="1"/>
      <c r="F382" s="1"/>
      <c r="G382" s="2"/>
      <c r="I382" s="2"/>
      <c r="P382" t="str">
        <f t="shared" si="33"/>
        <v/>
      </c>
      <c r="Q382" t="str">
        <f t="shared" si="34"/>
        <v/>
      </c>
      <c r="R382" t="str">
        <f t="shared" si="35"/>
        <v/>
      </c>
      <c r="T382">
        <f t="shared" si="36"/>
        <v>2985</v>
      </c>
    </row>
    <row r="383" spans="1:20" ht="14.1" customHeight="1" outlineLevel="3" x14ac:dyDescent="0.2">
      <c r="A383" t="str">
        <f t="shared" si="32"/>
        <v/>
      </c>
      <c r="E383" s="1"/>
      <c r="F383" s="1"/>
      <c r="G383" s="2"/>
      <c r="I383" s="2"/>
      <c r="P383" t="str">
        <f t="shared" si="33"/>
        <v/>
      </c>
      <c r="Q383" t="str">
        <f t="shared" si="34"/>
        <v/>
      </c>
      <c r="R383" t="str">
        <f t="shared" si="35"/>
        <v/>
      </c>
      <c r="T383">
        <f t="shared" si="36"/>
        <v>2985</v>
      </c>
    </row>
    <row r="384" spans="1:20" ht="14.1" customHeight="1" outlineLevel="3" x14ac:dyDescent="0.2">
      <c r="A384" t="str">
        <f t="shared" si="32"/>
        <v/>
      </c>
      <c r="E384" s="1"/>
      <c r="F384" s="1"/>
      <c r="G384" s="2"/>
      <c r="I384" s="2"/>
      <c r="P384" t="str">
        <f t="shared" si="33"/>
        <v/>
      </c>
      <c r="Q384" t="str">
        <f t="shared" si="34"/>
        <v/>
      </c>
      <c r="R384" t="str">
        <f t="shared" si="35"/>
        <v/>
      </c>
      <c r="T384">
        <f t="shared" si="36"/>
        <v>2985</v>
      </c>
    </row>
    <row r="385" spans="1:20" ht="14.1" customHeight="1" outlineLevel="3" x14ac:dyDescent="0.2">
      <c r="A385" t="str">
        <f t="shared" si="32"/>
        <v/>
      </c>
      <c r="E385" s="1"/>
      <c r="F385" s="1"/>
      <c r="G385" s="2"/>
      <c r="I385" s="2"/>
      <c r="P385" t="str">
        <f t="shared" si="33"/>
        <v/>
      </c>
      <c r="Q385" t="str">
        <f t="shared" si="34"/>
        <v/>
      </c>
      <c r="R385" t="str">
        <f t="shared" si="35"/>
        <v/>
      </c>
      <c r="T385">
        <f t="shared" si="36"/>
        <v>2985</v>
      </c>
    </row>
    <row r="386" spans="1:20" ht="14.1" customHeight="1" outlineLevel="3" x14ac:dyDescent="0.2">
      <c r="A386" t="str">
        <f t="shared" si="32"/>
        <v/>
      </c>
      <c r="E386" s="1"/>
      <c r="F386" s="1"/>
      <c r="G386" s="2"/>
      <c r="I386" s="2"/>
      <c r="P386" t="str">
        <f t="shared" si="33"/>
        <v/>
      </c>
      <c r="Q386" t="str">
        <f t="shared" si="34"/>
        <v/>
      </c>
      <c r="R386" t="str">
        <f t="shared" si="35"/>
        <v/>
      </c>
      <c r="T386">
        <f t="shared" si="36"/>
        <v>2985</v>
      </c>
    </row>
    <row r="387" spans="1:20" ht="14.1" customHeight="1" outlineLevel="3" x14ac:dyDescent="0.2">
      <c r="A387" t="str">
        <f t="shared" ref="A387:A450" si="37">IFERROR(IF(OR(K387="",I387=0),"",D387&amp;K387&amp;I387),"")</f>
        <v/>
      </c>
      <c r="E387" s="1"/>
      <c r="F387" s="1"/>
      <c r="G387" s="2"/>
      <c r="I387" s="2"/>
      <c r="P387" t="str">
        <f t="shared" ref="P387:P450" si="38">IF(OR(K387="",K387=0),"",D387&amp;N387&amp;K387&amp;M387&amp;F387)</f>
        <v/>
      </c>
      <c r="Q387" t="str">
        <f t="shared" ref="Q387:Q450" si="39">IF(P387="","",COUNTIF($P$2:$P$1448,$P387))</f>
        <v/>
      </c>
      <c r="R387" t="str">
        <f t="shared" ref="R387:R450" si="40">G387&amp;K387&amp;N387</f>
        <v/>
      </c>
      <c r="T387">
        <f t="shared" ref="T387:T450" si="41">COUNTIF($R$2:$R$2986,$R387)</f>
        <v>2985</v>
      </c>
    </row>
    <row r="388" spans="1:20" ht="14.1" customHeight="1" outlineLevel="3" x14ac:dyDescent="0.2">
      <c r="A388" t="str">
        <f t="shared" si="37"/>
        <v/>
      </c>
      <c r="E388" s="1"/>
      <c r="F388" s="1"/>
      <c r="G388" s="2"/>
      <c r="I388" s="2"/>
      <c r="P388" t="str">
        <f t="shared" si="38"/>
        <v/>
      </c>
      <c r="Q388" t="str">
        <f t="shared" si="39"/>
        <v/>
      </c>
      <c r="R388" t="str">
        <f t="shared" si="40"/>
        <v/>
      </c>
      <c r="T388">
        <f t="shared" si="41"/>
        <v>2985</v>
      </c>
    </row>
    <row r="389" spans="1:20" ht="14.1" customHeight="1" outlineLevel="3" x14ac:dyDescent="0.2">
      <c r="A389" t="str">
        <f t="shared" si="37"/>
        <v/>
      </c>
      <c r="E389" s="1"/>
      <c r="F389" s="1"/>
      <c r="G389" s="2"/>
      <c r="I389" s="2"/>
      <c r="P389" t="str">
        <f t="shared" si="38"/>
        <v/>
      </c>
      <c r="Q389" t="str">
        <f t="shared" si="39"/>
        <v/>
      </c>
      <c r="R389" t="str">
        <f t="shared" si="40"/>
        <v/>
      </c>
      <c r="T389">
        <f t="shared" si="41"/>
        <v>2985</v>
      </c>
    </row>
    <row r="390" spans="1:20" ht="14.1" customHeight="1" outlineLevel="3" x14ac:dyDescent="0.2">
      <c r="A390" t="str">
        <f t="shared" si="37"/>
        <v/>
      </c>
      <c r="E390" s="1"/>
      <c r="F390" s="1"/>
      <c r="G390" s="2"/>
      <c r="I390" s="2"/>
      <c r="P390" t="str">
        <f t="shared" si="38"/>
        <v/>
      </c>
      <c r="Q390" t="str">
        <f t="shared" si="39"/>
        <v/>
      </c>
      <c r="R390" t="str">
        <f t="shared" si="40"/>
        <v/>
      </c>
      <c r="T390">
        <f t="shared" si="41"/>
        <v>2985</v>
      </c>
    </row>
    <row r="391" spans="1:20" ht="14.1" customHeight="1" outlineLevel="3" x14ac:dyDescent="0.2">
      <c r="A391" t="str">
        <f t="shared" si="37"/>
        <v/>
      </c>
      <c r="E391" s="1"/>
      <c r="F391" s="1"/>
      <c r="G391" s="2"/>
      <c r="I391" s="2"/>
      <c r="P391" t="str">
        <f t="shared" si="38"/>
        <v/>
      </c>
      <c r="Q391" t="str">
        <f t="shared" si="39"/>
        <v/>
      </c>
      <c r="R391" t="str">
        <f t="shared" si="40"/>
        <v/>
      </c>
      <c r="T391">
        <f t="shared" si="41"/>
        <v>2985</v>
      </c>
    </row>
    <row r="392" spans="1:20" ht="14.1" customHeight="1" outlineLevel="3" x14ac:dyDescent="0.2">
      <c r="A392" t="str">
        <f t="shared" si="37"/>
        <v/>
      </c>
      <c r="E392" s="1"/>
      <c r="F392" s="1"/>
      <c r="G392" s="2"/>
      <c r="I392" s="2"/>
      <c r="P392" t="str">
        <f t="shared" si="38"/>
        <v/>
      </c>
      <c r="Q392" t="str">
        <f t="shared" si="39"/>
        <v/>
      </c>
      <c r="R392" t="str">
        <f t="shared" si="40"/>
        <v/>
      </c>
      <c r="T392">
        <f t="shared" si="41"/>
        <v>2985</v>
      </c>
    </row>
    <row r="393" spans="1:20" ht="14.1" customHeight="1" outlineLevel="3" x14ac:dyDescent="0.2">
      <c r="A393" t="str">
        <f t="shared" si="37"/>
        <v/>
      </c>
      <c r="E393" s="1"/>
      <c r="F393" s="1"/>
      <c r="G393" s="2"/>
      <c r="I393" s="2"/>
      <c r="P393" t="str">
        <f t="shared" si="38"/>
        <v/>
      </c>
      <c r="Q393" t="str">
        <f t="shared" si="39"/>
        <v/>
      </c>
      <c r="R393" t="str">
        <f t="shared" si="40"/>
        <v/>
      </c>
      <c r="T393">
        <f t="shared" si="41"/>
        <v>2985</v>
      </c>
    </row>
    <row r="394" spans="1:20" ht="14.1" customHeight="1" outlineLevel="3" x14ac:dyDescent="0.2">
      <c r="A394" t="str">
        <f t="shared" si="37"/>
        <v/>
      </c>
      <c r="E394" s="1"/>
      <c r="F394" s="1"/>
      <c r="G394" s="2"/>
      <c r="I394" s="2"/>
      <c r="P394" t="str">
        <f t="shared" si="38"/>
        <v/>
      </c>
      <c r="Q394" t="str">
        <f t="shared" si="39"/>
        <v/>
      </c>
      <c r="R394" t="str">
        <f t="shared" si="40"/>
        <v/>
      </c>
      <c r="T394">
        <f t="shared" si="41"/>
        <v>2985</v>
      </c>
    </row>
    <row r="395" spans="1:20" ht="14.1" customHeight="1" outlineLevel="3" x14ac:dyDescent="0.2">
      <c r="A395" t="str">
        <f t="shared" si="37"/>
        <v/>
      </c>
      <c r="E395" s="1"/>
      <c r="F395" s="1"/>
      <c r="G395" s="2"/>
      <c r="I395" s="2"/>
      <c r="P395" t="str">
        <f t="shared" si="38"/>
        <v/>
      </c>
      <c r="Q395" t="str">
        <f t="shared" si="39"/>
        <v/>
      </c>
      <c r="R395" t="str">
        <f t="shared" si="40"/>
        <v/>
      </c>
      <c r="T395">
        <f t="shared" si="41"/>
        <v>2985</v>
      </c>
    </row>
    <row r="396" spans="1:20" ht="14.1" customHeight="1" outlineLevel="3" x14ac:dyDescent="0.2">
      <c r="A396" t="str">
        <f t="shared" si="37"/>
        <v/>
      </c>
      <c r="E396" s="1"/>
      <c r="F396" s="1"/>
      <c r="G396" s="2"/>
      <c r="I396" s="2"/>
      <c r="P396" t="str">
        <f t="shared" si="38"/>
        <v/>
      </c>
      <c r="Q396" t="str">
        <f t="shared" si="39"/>
        <v/>
      </c>
      <c r="R396" t="str">
        <f t="shared" si="40"/>
        <v/>
      </c>
      <c r="T396">
        <f t="shared" si="41"/>
        <v>2985</v>
      </c>
    </row>
    <row r="397" spans="1:20" ht="14.1" customHeight="1" outlineLevel="3" x14ac:dyDescent="0.2">
      <c r="A397" t="str">
        <f t="shared" si="37"/>
        <v/>
      </c>
      <c r="E397" s="1"/>
      <c r="F397" s="1"/>
      <c r="G397" s="2"/>
      <c r="I397" s="2"/>
      <c r="P397" t="str">
        <f t="shared" si="38"/>
        <v/>
      </c>
      <c r="Q397" t="str">
        <f t="shared" si="39"/>
        <v/>
      </c>
      <c r="R397" t="str">
        <f t="shared" si="40"/>
        <v/>
      </c>
      <c r="T397">
        <f t="shared" si="41"/>
        <v>2985</v>
      </c>
    </row>
    <row r="398" spans="1:20" ht="14.1" customHeight="1" outlineLevel="3" x14ac:dyDescent="0.2">
      <c r="A398" t="str">
        <f t="shared" si="37"/>
        <v/>
      </c>
      <c r="E398" s="1"/>
      <c r="F398" s="1"/>
      <c r="G398" s="2"/>
      <c r="I398" s="2"/>
      <c r="P398" t="str">
        <f t="shared" si="38"/>
        <v/>
      </c>
      <c r="Q398" t="str">
        <f t="shared" si="39"/>
        <v/>
      </c>
      <c r="R398" t="str">
        <f t="shared" si="40"/>
        <v/>
      </c>
      <c r="T398">
        <f t="shared" si="41"/>
        <v>2985</v>
      </c>
    </row>
    <row r="399" spans="1:20" ht="14.1" customHeight="1" outlineLevel="3" x14ac:dyDescent="0.2">
      <c r="A399" t="str">
        <f t="shared" si="37"/>
        <v/>
      </c>
      <c r="E399" s="1"/>
      <c r="F399" s="1"/>
      <c r="G399" s="2"/>
      <c r="I399" s="2"/>
      <c r="P399" t="str">
        <f t="shared" si="38"/>
        <v/>
      </c>
      <c r="Q399" t="str">
        <f t="shared" si="39"/>
        <v/>
      </c>
      <c r="R399" t="str">
        <f t="shared" si="40"/>
        <v/>
      </c>
      <c r="T399">
        <f t="shared" si="41"/>
        <v>2985</v>
      </c>
    </row>
    <row r="400" spans="1:20" ht="14.1" customHeight="1" outlineLevel="3" x14ac:dyDescent="0.2">
      <c r="A400" t="str">
        <f t="shared" si="37"/>
        <v/>
      </c>
      <c r="E400" s="1"/>
      <c r="F400" s="1"/>
      <c r="G400" s="2"/>
      <c r="I400" s="2"/>
      <c r="P400" t="str">
        <f t="shared" si="38"/>
        <v/>
      </c>
      <c r="Q400" t="str">
        <f t="shared" si="39"/>
        <v/>
      </c>
      <c r="R400" t="str">
        <f t="shared" si="40"/>
        <v/>
      </c>
      <c r="T400">
        <f t="shared" si="41"/>
        <v>2985</v>
      </c>
    </row>
    <row r="401" spans="1:20" ht="14.1" customHeight="1" outlineLevel="3" x14ac:dyDescent="0.2">
      <c r="A401" t="str">
        <f t="shared" si="37"/>
        <v/>
      </c>
      <c r="E401" s="1"/>
      <c r="F401" s="1"/>
      <c r="G401" s="2"/>
      <c r="I401" s="2"/>
      <c r="P401" t="str">
        <f t="shared" si="38"/>
        <v/>
      </c>
      <c r="Q401" t="str">
        <f t="shared" si="39"/>
        <v/>
      </c>
      <c r="R401" t="str">
        <f t="shared" si="40"/>
        <v/>
      </c>
      <c r="T401">
        <f t="shared" si="41"/>
        <v>2985</v>
      </c>
    </row>
    <row r="402" spans="1:20" ht="14.1" customHeight="1" outlineLevel="3" x14ac:dyDescent="0.2">
      <c r="A402" t="str">
        <f t="shared" si="37"/>
        <v/>
      </c>
      <c r="E402" s="1"/>
      <c r="F402" s="1"/>
      <c r="G402" s="2"/>
      <c r="I402" s="2"/>
      <c r="P402" t="str">
        <f t="shared" si="38"/>
        <v/>
      </c>
      <c r="Q402" t="str">
        <f t="shared" si="39"/>
        <v/>
      </c>
      <c r="R402" t="str">
        <f t="shared" si="40"/>
        <v/>
      </c>
      <c r="T402">
        <f t="shared" si="41"/>
        <v>2985</v>
      </c>
    </row>
    <row r="403" spans="1:20" ht="14.1" customHeight="1" outlineLevel="3" x14ac:dyDescent="0.2">
      <c r="A403" t="str">
        <f t="shared" si="37"/>
        <v/>
      </c>
      <c r="E403" s="1"/>
      <c r="F403" s="1"/>
      <c r="G403" s="2"/>
      <c r="I403" s="2"/>
      <c r="P403" t="str">
        <f t="shared" si="38"/>
        <v/>
      </c>
      <c r="Q403" t="str">
        <f t="shared" si="39"/>
        <v/>
      </c>
      <c r="R403" t="str">
        <f t="shared" si="40"/>
        <v/>
      </c>
      <c r="T403">
        <f t="shared" si="41"/>
        <v>2985</v>
      </c>
    </row>
    <row r="404" spans="1:20" ht="14.1" customHeight="1" outlineLevel="3" x14ac:dyDescent="0.2">
      <c r="A404" t="str">
        <f t="shared" si="37"/>
        <v/>
      </c>
      <c r="E404" s="1"/>
      <c r="F404" s="1"/>
      <c r="G404" s="2"/>
      <c r="I404" s="2"/>
      <c r="P404" t="str">
        <f t="shared" si="38"/>
        <v/>
      </c>
      <c r="Q404" t="str">
        <f t="shared" si="39"/>
        <v/>
      </c>
      <c r="R404" t="str">
        <f t="shared" si="40"/>
        <v/>
      </c>
      <c r="T404">
        <f t="shared" si="41"/>
        <v>2985</v>
      </c>
    </row>
    <row r="405" spans="1:20" ht="14.1" customHeight="1" outlineLevel="3" x14ac:dyDescent="0.2">
      <c r="A405" t="str">
        <f t="shared" si="37"/>
        <v/>
      </c>
      <c r="E405" s="1"/>
      <c r="F405" s="1"/>
      <c r="G405" s="2"/>
      <c r="I405" s="2"/>
      <c r="P405" t="str">
        <f t="shared" si="38"/>
        <v/>
      </c>
      <c r="Q405" t="str">
        <f t="shared" si="39"/>
        <v/>
      </c>
      <c r="R405" t="str">
        <f t="shared" si="40"/>
        <v/>
      </c>
      <c r="T405">
        <f t="shared" si="41"/>
        <v>2985</v>
      </c>
    </row>
    <row r="406" spans="1:20" ht="14.1" customHeight="1" outlineLevel="3" x14ac:dyDescent="0.2">
      <c r="A406" t="str">
        <f t="shared" si="37"/>
        <v/>
      </c>
      <c r="E406" s="1"/>
      <c r="F406" s="1"/>
      <c r="G406" s="2"/>
      <c r="I406" s="2"/>
      <c r="P406" t="str">
        <f t="shared" si="38"/>
        <v/>
      </c>
      <c r="Q406" t="str">
        <f t="shared" si="39"/>
        <v/>
      </c>
      <c r="R406" t="str">
        <f t="shared" si="40"/>
        <v/>
      </c>
      <c r="T406">
        <f t="shared" si="41"/>
        <v>2985</v>
      </c>
    </row>
    <row r="407" spans="1:20" ht="14.1" customHeight="1" outlineLevel="3" x14ac:dyDescent="0.2">
      <c r="A407" t="str">
        <f t="shared" si="37"/>
        <v/>
      </c>
      <c r="E407" s="1"/>
      <c r="F407" s="1"/>
      <c r="G407" s="2"/>
      <c r="I407" s="2"/>
      <c r="P407" t="str">
        <f t="shared" si="38"/>
        <v/>
      </c>
      <c r="Q407" t="str">
        <f t="shared" si="39"/>
        <v/>
      </c>
      <c r="R407" t="str">
        <f t="shared" si="40"/>
        <v/>
      </c>
      <c r="T407">
        <f t="shared" si="41"/>
        <v>2985</v>
      </c>
    </row>
    <row r="408" spans="1:20" ht="14.1" customHeight="1" outlineLevel="3" x14ac:dyDescent="0.2">
      <c r="A408" t="str">
        <f t="shared" si="37"/>
        <v/>
      </c>
      <c r="E408" s="1"/>
      <c r="F408" s="1"/>
      <c r="G408" s="2"/>
      <c r="I408" s="2"/>
      <c r="P408" t="str">
        <f t="shared" si="38"/>
        <v/>
      </c>
      <c r="Q408" t="str">
        <f t="shared" si="39"/>
        <v/>
      </c>
      <c r="R408" t="str">
        <f t="shared" si="40"/>
        <v/>
      </c>
      <c r="T408">
        <f t="shared" si="41"/>
        <v>2985</v>
      </c>
    </row>
    <row r="409" spans="1:20" ht="14.1" customHeight="1" outlineLevel="3" x14ac:dyDescent="0.2">
      <c r="A409" t="str">
        <f t="shared" si="37"/>
        <v/>
      </c>
      <c r="E409" s="1"/>
      <c r="F409" s="1"/>
      <c r="G409" s="2"/>
      <c r="I409" s="2"/>
      <c r="P409" t="str">
        <f t="shared" si="38"/>
        <v/>
      </c>
      <c r="Q409" t="str">
        <f t="shared" si="39"/>
        <v/>
      </c>
      <c r="R409" t="str">
        <f t="shared" si="40"/>
        <v/>
      </c>
      <c r="T409">
        <f t="shared" si="41"/>
        <v>2985</v>
      </c>
    </row>
    <row r="410" spans="1:20" ht="14.1" customHeight="1" outlineLevel="3" x14ac:dyDescent="0.2">
      <c r="A410" t="str">
        <f t="shared" si="37"/>
        <v/>
      </c>
      <c r="E410" s="1"/>
      <c r="F410" s="1"/>
      <c r="G410" s="2"/>
      <c r="I410" s="2"/>
      <c r="P410" t="str">
        <f t="shared" si="38"/>
        <v/>
      </c>
      <c r="Q410" t="str">
        <f t="shared" si="39"/>
        <v/>
      </c>
      <c r="R410" t="str">
        <f t="shared" si="40"/>
        <v/>
      </c>
      <c r="T410">
        <f t="shared" si="41"/>
        <v>2985</v>
      </c>
    </row>
    <row r="411" spans="1:20" ht="14.1" customHeight="1" outlineLevel="3" x14ac:dyDescent="0.2">
      <c r="A411" t="str">
        <f t="shared" si="37"/>
        <v/>
      </c>
      <c r="E411" s="1"/>
      <c r="F411" s="1"/>
      <c r="G411" s="2"/>
      <c r="I411" s="2"/>
      <c r="P411" t="str">
        <f t="shared" si="38"/>
        <v/>
      </c>
      <c r="Q411" t="str">
        <f t="shared" si="39"/>
        <v/>
      </c>
      <c r="R411" t="str">
        <f t="shared" si="40"/>
        <v/>
      </c>
      <c r="T411">
        <f t="shared" si="41"/>
        <v>2985</v>
      </c>
    </row>
    <row r="412" spans="1:20" ht="14.1" customHeight="1" outlineLevel="3" x14ac:dyDescent="0.2">
      <c r="A412" t="str">
        <f t="shared" si="37"/>
        <v/>
      </c>
      <c r="E412" s="1"/>
      <c r="F412" s="1"/>
      <c r="G412" s="2"/>
      <c r="I412" s="2"/>
      <c r="P412" t="str">
        <f t="shared" si="38"/>
        <v/>
      </c>
      <c r="Q412" t="str">
        <f t="shared" si="39"/>
        <v/>
      </c>
      <c r="R412" t="str">
        <f t="shared" si="40"/>
        <v/>
      </c>
      <c r="T412">
        <f t="shared" si="41"/>
        <v>2985</v>
      </c>
    </row>
    <row r="413" spans="1:20" ht="14.1" customHeight="1" outlineLevel="3" x14ac:dyDescent="0.2">
      <c r="A413" t="str">
        <f t="shared" si="37"/>
        <v/>
      </c>
      <c r="E413" s="1"/>
      <c r="F413" s="1"/>
      <c r="G413" s="2"/>
      <c r="I413" s="2"/>
      <c r="P413" t="str">
        <f t="shared" si="38"/>
        <v/>
      </c>
      <c r="Q413" t="str">
        <f t="shared" si="39"/>
        <v/>
      </c>
      <c r="R413" t="str">
        <f t="shared" si="40"/>
        <v/>
      </c>
      <c r="T413">
        <f t="shared" si="41"/>
        <v>2985</v>
      </c>
    </row>
    <row r="414" spans="1:20" ht="14.1" customHeight="1" outlineLevel="3" x14ac:dyDescent="0.2">
      <c r="A414" t="str">
        <f t="shared" si="37"/>
        <v/>
      </c>
      <c r="E414" s="1"/>
      <c r="F414" s="1"/>
      <c r="G414" s="2"/>
      <c r="I414" s="2"/>
      <c r="P414" t="str">
        <f t="shared" si="38"/>
        <v/>
      </c>
      <c r="Q414" t="str">
        <f t="shared" si="39"/>
        <v/>
      </c>
      <c r="R414" t="str">
        <f t="shared" si="40"/>
        <v/>
      </c>
      <c r="T414">
        <f t="shared" si="41"/>
        <v>2985</v>
      </c>
    </row>
    <row r="415" spans="1:20" ht="14.1" customHeight="1" outlineLevel="3" x14ac:dyDescent="0.2">
      <c r="A415" t="str">
        <f t="shared" si="37"/>
        <v/>
      </c>
      <c r="E415" s="1"/>
      <c r="F415" s="1"/>
      <c r="G415" s="2"/>
      <c r="I415" s="2"/>
      <c r="P415" t="str">
        <f t="shared" si="38"/>
        <v/>
      </c>
      <c r="Q415" t="str">
        <f t="shared" si="39"/>
        <v/>
      </c>
      <c r="R415" t="str">
        <f t="shared" si="40"/>
        <v/>
      </c>
      <c r="T415">
        <f t="shared" si="41"/>
        <v>2985</v>
      </c>
    </row>
    <row r="416" spans="1:20" ht="14.1" customHeight="1" outlineLevel="3" x14ac:dyDescent="0.2">
      <c r="A416" t="str">
        <f t="shared" si="37"/>
        <v/>
      </c>
      <c r="E416" s="1"/>
      <c r="F416" s="1"/>
      <c r="G416" s="2"/>
      <c r="I416" s="2"/>
      <c r="P416" t="str">
        <f t="shared" si="38"/>
        <v/>
      </c>
      <c r="Q416" t="str">
        <f t="shared" si="39"/>
        <v/>
      </c>
      <c r="R416" t="str">
        <f t="shared" si="40"/>
        <v/>
      </c>
      <c r="T416">
        <f t="shared" si="41"/>
        <v>2985</v>
      </c>
    </row>
    <row r="417" spans="1:20" ht="14.1" customHeight="1" outlineLevel="3" x14ac:dyDescent="0.2">
      <c r="A417" t="str">
        <f t="shared" si="37"/>
        <v/>
      </c>
      <c r="E417" s="1"/>
      <c r="F417" s="1"/>
      <c r="G417" s="2"/>
      <c r="I417" s="2"/>
      <c r="P417" t="str">
        <f t="shared" si="38"/>
        <v/>
      </c>
      <c r="Q417" t="str">
        <f t="shared" si="39"/>
        <v/>
      </c>
      <c r="R417" t="str">
        <f t="shared" si="40"/>
        <v/>
      </c>
      <c r="T417">
        <f t="shared" si="41"/>
        <v>2985</v>
      </c>
    </row>
    <row r="418" spans="1:20" ht="14.1" customHeight="1" outlineLevel="3" x14ac:dyDescent="0.2">
      <c r="A418" t="str">
        <f t="shared" si="37"/>
        <v/>
      </c>
      <c r="E418" s="1"/>
      <c r="F418" s="1"/>
      <c r="G418" s="2"/>
      <c r="I418" s="2"/>
      <c r="P418" t="str">
        <f t="shared" si="38"/>
        <v/>
      </c>
      <c r="Q418" t="str">
        <f t="shared" si="39"/>
        <v/>
      </c>
      <c r="R418" t="str">
        <f t="shared" si="40"/>
        <v/>
      </c>
      <c r="T418">
        <f t="shared" si="41"/>
        <v>2985</v>
      </c>
    </row>
    <row r="419" spans="1:20" ht="14.1" customHeight="1" outlineLevel="3" x14ac:dyDescent="0.2">
      <c r="A419" t="str">
        <f t="shared" si="37"/>
        <v/>
      </c>
      <c r="E419" s="1"/>
      <c r="F419" s="1"/>
      <c r="G419" s="2"/>
      <c r="I419" s="2"/>
      <c r="P419" t="str">
        <f t="shared" si="38"/>
        <v/>
      </c>
      <c r="Q419" t="str">
        <f t="shared" si="39"/>
        <v/>
      </c>
      <c r="R419" t="str">
        <f t="shared" si="40"/>
        <v/>
      </c>
      <c r="T419">
        <f t="shared" si="41"/>
        <v>2985</v>
      </c>
    </row>
    <row r="420" spans="1:20" ht="14.1" customHeight="1" outlineLevel="3" x14ac:dyDescent="0.2">
      <c r="A420" t="str">
        <f t="shared" si="37"/>
        <v/>
      </c>
      <c r="E420" s="1"/>
      <c r="F420" s="1"/>
      <c r="G420" s="2"/>
      <c r="I420" s="2"/>
      <c r="P420" t="str">
        <f t="shared" si="38"/>
        <v/>
      </c>
      <c r="Q420" t="str">
        <f t="shared" si="39"/>
        <v/>
      </c>
      <c r="R420" t="str">
        <f t="shared" si="40"/>
        <v/>
      </c>
      <c r="T420">
        <f t="shared" si="41"/>
        <v>2985</v>
      </c>
    </row>
    <row r="421" spans="1:20" ht="14.1" customHeight="1" outlineLevel="3" x14ac:dyDescent="0.2">
      <c r="A421" t="str">
        <f t="shared" si="37"/>
        <v/>
      </c>
      <c r="E421" s="1"/>
      <c r="F421" s="1"/>
      <c r="G421" s="2"/>
      <c r="I421" s="2"/>
      <c r="P421" t="str">
        <f t="shared" si="38"/>
        <v/>
      </c>
      <c r="Q421" t="str">
        <f t="shared" si="39"/>
        <v/>
      </c>
      <c r="R421" t="str">
        <f t="shared" si="40"/>
        <v/>
      </c>
      <c r="T421">
        <f t="shared" si="41"/>
        <v>2985</v>
      </c>
    </row>
    <row r="422" spans="1:20" ht="14.1" customHeight="1" outlineLevel="3" x14ac:dyDescent="0.2">
      <c r="A422" t="str">
        <f t="shared" si="37"/>
        <v/>
      </c>
      <c r="E422" s="1"/>
      <c r="F422" s="1"/>
      <c r="G422" s="2"/>
      <c r="I422" s="2"/>
      <c r="P422" t="str">
        <f t="shared" si="38"/>
        <v/>
      </c>
      <c r="Q422" t="str">
        <f t="shared" si="39"/>
        <v/>
      </c>
      <c r="R422" t="str">
        <f t="shared" si="40"/>
        <v/>
      </c>
      <c r="T422">
        <f t="shared" si="41"/>
        <v>2985</v>
      </c>
    </row>
    <row r="423" spans="1:20" ht="14.1" customHeight="1" outlineLevel="3" x14ac:dyDescent="0.2">
      <c r="A423" t="str">
        <f t="shared" si="37"/>
        <v/>
      </c>
      <c r="E423" s="1"/>
      <c r="F423" s="1"/>
      <c r="G423" s="2"/>
      <c r="I423" s="2"/>
      <c r="P423" t="str">
        <f t="shared" si="38"/>
        <v/>
      </c>
      <c r="Q423" t="str">
        <f t="shared" si="39"/>
        <v/>
      </c>
      <c r="R423" t="str">
        <f t="shared" si="40"/>
        <v/>
      </c>
      <c r="T423">
        <f t="shared" si="41"/>
        <v>2985</v>
      </c>
    </row>
    <row r="424" spans="1:20" ht="14.1" customHeight="1" outlineLevel="3" x14ac:dyDescent="0.2">
      <c r="A424" t="str">
        <f t="shared" si="37"/>
        <v/>
      </c>
      <c r="E424" s="1"/>
      <c r="F424" s="1"/>
      <c r="G424" s="2"/>
      <c r="I424" s="2"/>
      <c r="P424" t="str">
        <f t="shared" si="38"/>
        <v/>
      </c>
      <c r="Q424" t="str">
        <f t="shared" si="39"/>
        <v/>
      </c>
      <c r="R424" t="str">
        <f t="shared" si="40"/>
        <v/>
      </c>
      <c r="T424">
        <f t="shared" si="41"/>
        <v>2985</v>
      </c>
    </row>
    <row r="425" spans="1:20" ht="14.1" customHeight="1" outlineLevel="3" x14ac:dyDescent="0.2">
      <c r="A425" t="str">
        <f t="shared" si="37"/>
        <v/>
      </c>
      <c r="E425" s="1"/>
      <c r="F425" s="1"/>
      <c r="G425" s="2"/>
      <c r="I425" s="2"/>
      <c r="P425" t="str">
        <f t="shared" si="38"/>
        <v/>
      </c>
      <c r="Q425" t="str">
        <f t="shared" si="39"/>
        <v/>
      </c>
      <c r="R425" t="str">
        <f t="shared" si="40"/>
        <v/>
      </c>
      <c r="T425">
        <f t="shared" si="41"/>
        <v>2985</v>
      </c>
    </row>
    <row r="426" spans="1:20" ht="14.1" customHeight="1" outlineLevel="3" x14ac:dyDescent="0.2">
      <c r="A426" t="str">
        <f t="shared" si="37"/>
        <v/>
      </c>
      <c r="E426" s="1"/>
      <c r="F426" s="1"/>
      <c r="G426" s="2"/>
      <c r="I426" s="2"/>
      <c r="P426" t="str">
        <f t="shared" si="38"/>
        <v/>
      </c>
      <c r="Q426" t="str">
        <f t="shared" si="39"/>
        <v/>
      </c>
      <c r="R426" t="str">
        <f t="shared" si="40"/>
        <v/>
      </c>
      <c r="T426">
        <f t="shared" si="41"/>
        <v>2985</v>
      </c>
    </row>
    <row r="427" spans="1:20" ht="14.1" customHeight="1" outlineLevel="3" x14ac:dyDescent="0.2">
      <c r="A427" t="str">
        <f t="shared" si="37"/>
        <v/>
      </c>
      <c r="E427" s="1"/>
      <c r="F427" s="1"/>
      <c r="G427" s="2"/>
      <c r="I427" s="2"/>
      <c r="P427" t="str">
        <f t="shared" si="38"/>
        <v/>
      </c>
      <c r="Q427" t="str">
        <f t="shared" si="39"/>
        <v/>
      </c>
      <c r="R427" t="str">
        <f t="shared" si="40"/>
        <v/>
      </c>
      <c r="T427">
        <f t="shared" si="41"/>
        <v>2985</v>
      </c>
    </row>
    <row r="428" spans="1:20" ht="14.1" customHeight="1" outlineLevel="3" x14ac:dyDescent="0.2">
      <c r="A428" t="str">
        <f t="shared" si="37"/>
        <v/>
      </c>
      <c r="E428" s="1"/>
      <c r="F428" s="1"/>
      <c r="G428" s="2"/>
      <c r="I428" s="2"/>
      <c r="P428" t="str">
        <f t="shared" si="38"/>
        <v/>
      </c>
      <c r="Q428" t="str">
        <f t="shared" si="39"/>
        <v/>
      </c>
      <c r="R428" t="str">
        <f t="shared" si="40"/>
        <v/>
      </c>
      <c r="T428">
        <f t="shared" si="41"/>
        <v>2985</v>
      </c>
    </row>
    <row r="429" spans="1:20" ht="14.1" customHeight="1" outlineLevel="3" x14ac:dyDescent="0.2">
      <c r="A429" t="str">
        <f t="shared" si="37"/>
        <v/>
      </c>
      <c r="E429" s="1"/>
      <c r="F429" s="1"/>
      <c r="G429" s="2"/>
      <c r="I429" s="2"/>
      <c r="P429" t="str">
        <f t="shared" si="38"/>
        <v/>
      </c>
      <c r="Q429" t="str">
        <f t="shared" si="39"/>
        <v/>
      </c>
      <c r="R429" t="str">
        <f t="shared" si="40"/>
        <v/>
      </c>
      <c r="T429">
        <f t="shared" si="41"/>
        <v>2985</v>
      </c>
    </row>
    <row r="430" spans="1:20" ht="14.1" customHeight="1" outlineLevel="3" x14ac:dyDescent="0.2">
      <c r="A430" t="str">
        <f t="shared" si="37"/>
        <v/>
      </c>
      <c r="E430" s="1"/>
      <c r="F430" s="1"/>
      <c r="G430" s="2"/>
      <c r="I430" s="2"/>
      <c r="P430" t="str">
        <f t="shared" si="38"/>
        <v/>
      </c>
      <c r="Q430" t="str">
        <f t="shared" si="39"/>
        <v/>
      </c>
      <c r="R430" t="str">
        <f t="shared" si="40"/>
        <v/>
      </c>
      <c r="T430">
        <f t="shared" si="41"/>
        <v>2985</v>
      </c>
    </row>
    <row r="431" spans="1:20" ht="14.1" customHeight="1" outlineLevel="3" x14ac:dyDescent="0.2">
      <c r="A431" t="str">
        <f t="shared" si="37"/>
        <v/>
      </c>
      <c r="E431" s="1"/>
      <c r="F431" s="1"/>
      <c r="G431" s="2"/>
      <c r="I431" s="2"/>
      <c r="P431" t="str">
        <f t="shared" si="38"/>
        <v/>
      </c>
      <c r="Q431" t="str">
        <f t="shared" si="39"/>
        <v/>
      </c>
      <c r="R431" t="str">
        <f t="shared" si="40"/>
        <v/>
      </c>
      <c r="T431">
        <f t="shared" si="41"/>
        <v>2985</v>
      </c>
    </row>
    <row r="432" spans="1:20" ht="14.1" customHeight="1" outlineLevel="3" x14ac:dyDescent="0.2">
      <c r="A432" t="str">
        <f t="shared" si="37"/>
        <v/>
      </c>
      <c r="E432" s="1"/>
      <c r="F432" s="1"/>
      <c r="G432" s="2"/>
      <c r="I432" s="2"/>
      <c r="P432" t="str">
        <f t="shared" si="38"/>
        <v/>
      </c>
      <c r="Q432" t="str">
        <f t="shared" si="39"/>
        <v/>
      </c>
      <c r="R432" t="str">
        <f t="shared" si="40"/>
        <v/>
      </c>
      <c r="T432">
        <f t="shared" si="41"/>
        <v>2985</v>
      </c>
    </row>
    <row r="433" spans="1:20" ht="14.1" customHeight="1" outlineLevel="3" x14ac:dyDescent="0.2">
      <c r="A433" t="str">
        <f t="shared" si="37"/>
        <v/>
      </c>
      <c r="E433" s="1"/>
      <c r="F433" s="1"/>
      <c r="G433" s="2"/>
      <c r="I433" s="2"/>
      <c r="P433" t="str">
        <f t="shared" si="38"/>
        <v/>
      </c>
      <c r="Q433" t="str">
        <f t="shared" si="39"/>
        <v/>
      </c>
      <c r="R433" t="str">
        <f t="shared" si="40"/>
        <v/>
      </c>
      <c r="T433">
        <f t="shared" si="41"/>
        <v>2985</v>
      </c>
    </row>
    <row r="434" spans="1:20" ht="14.1" customHeight="1" outlineLevel="3" x14ac:dyDescent="0.2">
      <c r="A434" t="str">
        <f t="shared" si="37"/>
        <v/>
      </c>
      <c r="E434" s="1"/>
      <c r="F434" s="1"/>
      <c r="G434" s="2"/>
      <c r="I434" s="2"/>
      <c r="P434" t="str">
        <f t="shared" si="38"/>
        <v/>
      </c>
      <c r="Q434" t="str">
        <f t="shared" si="39"/>
        <v/>
      </c>
      <c r="R434" t="str">
        <f t="shared" si="40"/>
        <v/>
      </c>
      <c r="T434">
        <f t="shared" si="41"/>
        <v>2985</v>
      </c>
    </row>
    <row r="435" spans="1:20" ht="14.1" customHeight="1" outlineLevel="3" x14ac:dyDescent="0.2">
      <c r="A435" t="str">
        <f t="shared" si="37"/>
        <v/>
      </c>
      <c r="E435" s="1"/>
      <c r="F435" s="1"/>
      <c r="G435" s="2"/>
      <c r="I435" s="2"/>
      <c r="P435" t="str">
        <f t="shared" si="38"/>
        <v/>
      </c>
      <c r="Q435" t="str">
        <f t="shared" si="39"/>
        <v/>
      </c>
      <c r="R435" t="str">
        <f t="shared" si="40"/>
        <v/>
      </c>
      <c r="T435">
        <f t="shared" si="41"/>
        <v>2985</v>
      </c>
    </row>
    <row r="436" spans="1:20" ht="14.1" customHeight="1" outlineLevel="3" x14ac:dyDescent="0.2">
      <c r="A436" t="str">
        <f t="shared" si="37"/>
        <v/>
      </c>
      <c r="E436" s="1"/>
      <c r="F436" s="1"/>
      <c r="G436" s="2"/>
      <c r="I436" s="2"/>
      <c r="P436" t="str">
        <f t="shared" si="38"/>
        <v/>
      </c>
      <c r="Q436" t="str">
        <f t="shared" si="39"/>
        <v/>
      </c>
      <c r="R436" t="str">
        <f t="shared" si="40"/>
        <v/>
      </c>
      <c r="T436">
        <f t="shared" si="41"/>
        <v>2985</v>
      </c>
    </row>
    <row r="437" spans="1:20" ht="14.1" customHeight="1" outlineLevel="3" x14ac:dyDescent="0.2">
      <c r="A437" t="str">
        <f t="shared" si="37"/>
        <v/>
      </c>
      <c r="E437" s="1"/>
      <c r="F437" s="1"/>
      <c r="G437" s="2"/>
      <c r="I437" s="2"/>
      <c r="P437" t="str">
        <f t="shared" si="38"/>
        <v/>
      </c>
      <c r="Q437" t="str">
        <f t="shared" si="39"/>
        <v/>
      </c>
      <c r="R437" t="str">
        <f t="shared" si="40"/>
        <v/>
      </c>
      <c r="T437">
        <f t="shared" si="41"/>
        <v>2985</v>
      </c>
    </row>
    <row r="438" spans="1:20" ht="14.1" customHeight="1" outlineLevel="3" x14ac:dyDescent="0.2">
      <c r="A438" t="str">
        <f t="shared" si="37"/>
        <v/>
      </c>
      <c r="E438" s="1"/>
      <c r="F438" s="1"/>
      <c r="G438" s="2"/>
      <c r="I438" s="2"/>
      <c r="P438" t="str">
        <f t="shared" si="38"/>
        <v/>
      </c>
      <c r="Q438" t="str">
        <f t="shared" si="39"/>
        <v/>
      </c>
      <c r="R438" t="str">
        <f t="shared" si="40"/>
        <v/>
      </c>
      <c r="T438">
        <f t="shared" si="41"/>
        <v>2985</v>
      </c>
    </row>
    <row r="439" spans="1:20" ht="14.1" customHeight="1" outlineLevel="3" x14ac:dyDescent="0.2">
      <c r="A439" t="str">
        <f t="shared" si="37"/>
        <v/>
      </c>
      <c r="E439" s="1"/>
      <c r="F439" s="1"/>
      <c r="G439" s="2"/>
      <c r="I439" s="2"/>
      <c r="P439" t="str">
        <f t="shared" si="38"/>
        <v/>
      </c>
      <c r="Q439" t="str">
        <f t="shared" si="39"/>
        <v/>
      </c>
      <c r="R439" t="str">
        <f t="shared" si="40"/>
        <v/>
      </c>
      <c r="T439">
        <f t="shared" si="41"/>
        <v>2985</v>
      </c>
    </row>
    <row r="440" spans="1:20" ht="14.1" customHeight="1" outlineLevel="3" x14ac:dyDescent="0.2">
      <c r="A440" t="str">
        <f t="shared" si="37"/>
        <v/>
      </c>
      <c r="E440" s="1"/>
      <c r="F440" s="1"/>
      <c r="G440" s="2"/>
      <c r="I440" s="2"/>
      <c r="P440" t="str">
        <f t="shared" si="38"/>
        <v/>
      </c>
      <c r="Q440" t="str">
        <f t="shared" si="39"/>
        <v/>
      </c>
      <c r="R440" t="str">
        <f t="shared" si="40"/>
        <v/>
      </c>
      <c r="T440">
        <f t="shared" si="41"/>
        <v>2985</v>
      </c>
    </row>
    <row r="441" spans="1:20" ht="14.1" customHeight="1" outlineLevel="3" x14ac:dyDescent="0.2">
      <c r="A441" t="str">
        <f t="shared" si="37"/>
        <v/>
      </c>
      <c r="E441" s="1"/>
      <c r="F441" s="1"/>
      <c r="G441" s="2"/>
      <c r="I441" s="2"/>
      <c r="P441" t="str">
        <f t="shared" si="38"/>
        <v/>
      </c>
      <c r="Q441" t="str">
        <f t="shared" si="39"/>
        <v/>
      </c>
      <c r="R441" t="str">
        <f t="shared" si="40"/>
        <v/>
      </c>
      <c r="T441">
        <f t="shared" si="41"/>
        <v>2985</v>
      </c>
    </row>
    <row r="442" spans="1:20" ht="14.1" customHeight="1" outlineLevel="3" x14ac:dyDescent="0.2">
      <c r="A442" t="str">
        <f t="shared" si="37"/>
        <v/>
      </c>
      <c r="E442" s="1"/>
      <c r="F442" s="1"/>
      <c r="G442" s="2"/>
      <c r="I442" s="2"/>
      <c r="P442" t="str">
        <f t="shared" si="38"/>
        <v/>
      </c>
      <c r="Q442" t="str">
        <f t="shared" si="39"/>
        <v/>
      </c>
      <c r="R442" t="str">
        <f t="shared" si="40"/>
        <v/>
      </c>
      <c r="T442">
        <f t="shared" si="41"/>
        <v>2985</v>
      </c>
    </row>
    <row r="443" spans="1:20" ht="14.1" customHeight="1" outlineLevel="3" x14ac:dyDescent="0.2">
      <c r="A443" t="str">
        <f t="shared" si="37"/>
        <v/>
      </c>
      <c r="E443" s="1"/>
      <c r="F443" s="1"/>
      <c r="G443" s="2"/>
      <c r="I443" s="2"/>
      <c r="P443" t="str">
        <f t="shared" si="38"/>
        <v/>
      </c>
      <c r="Q443" t="str">
        <f t="shared" si="39"/>
        <v/>
      </c>
      <c r="R443" t="str">
        <f t="shared" si="40"/>
        <v/>
      </c>
      <c r="T443">
        <f t="shared" si="41"/>
        <v>2985</v>
      </c>
    </row>
    <row r="444" spans="1:20" ht="14.1" customHeight="1" outlineLevel="3" x14ac:dyDescent="0.2">
      <c r="A444" t="str">
        <f t="shared" si="37"/>
        <v/>
      </c>
      <c r="E444" s="1"/>
      <c r="F444" s="1"/>
      <c r="G444" s="2"/>
      <c r="I444" s="2"/>
      <c r="P444" t="str">
        <f t="shared" si="38"/>
        <v/>
      </c>
      <c r="Q444" t="str">
        <f t="shared" si="39"/>
        <v/>
      </c>
      <c r="R444" t="str">
        <f t="shared" si="40"/>
        <v/>
      </c>
      <c r="T444">
        <f t="shared" si="41"/>
        <v>2985</v>
      </c>
    </row>
    <row r="445" spans="1:20" ht="14.1" customHeight="1" outlineLevel="3" x14ac:dyDescent="0.2">
      <c r="A445" t="str">
        <f t="shared" si="37"/>
        <v/>
      </c>
      <c r="E445" s="1"/>
      <c r="F445" s="1"/>
      <c r="G445" s="2"/>
      <c r="I445" s="2"/>
      <c r="P445" t="str">
        <f t="shared" si="38"/>
        <v/>
      </c>
      <c r="Q445" t="str">
        <f t="shared" si="39"/>
        <v/>
      </c>
      <c r="R445" t="str">
        <f t="shared" si="40"/>
        <v/>
      </c>
      <c r="T445">
        <f t="shared" si="41"/>
        <v>2985</v>
      </c>
    </row>
    <row r="446" spans="1:20" ht="14.1" customHeight="1" outlineLevel="3" x14ac:dyDescent="0.2">
      <c r="A446" t="str">
        <f t="shared" si="37"/>
        <v/>
      </c>
      <c r="E446" s="1"/>
      <c r="F446" s="1"/>
      <c r="G446" s="2"/>
      <c r="I446" s="2"/>
      <c r="P446" t="str">
        <f t="shared" si="38"/>
        <v/>
      </c>
      <c r="Q446" t="str">
        <f t="shared" si="39"/>
        <v/>
      </c>
      <c r="R446" t="str">
        <f t="shared" si="40"/>
        <v/>
      </c>
      <c r="T446">
        <f t="shared" si="41"/>
        <v>2985</v>
      </c>
    </row>
    <row r="447" spans="1:20" ht="14.1" customHeight="1" outlineLevel="3" x14ac:dyDescent="0.2">
      <c r="A447" t="str">
        <f t="shared" si="37"/>
        <v/>
      </c>
      <c r="E447" s="1"/>
      <c r="F447" s="1"/>
      <c r="G447" s="2"/>
      <c r="I447" s="2"/>
      <c r="P447" t="str">
        <f t="shared" si="38"/>
        <v/>
      </c>
      <c r="Q447" t="str">
        <f t="shared" si="39"/>
        <v/>
      </c>
      <c r="R447" t="str">
        <f t="shared" si="40"/>
        <v/>
      </c>
      <c r="T447">
        <f t="shared" si="41"/>
        <v>2985</v>
      </c>
    </row>
    <row r="448" spans="1:20" ht="14.1" customHeight="1" outlineLevel="3" x14ac:dyDescent="0.2">
      <c r="A448" t="str">
        <f t="shared" si="37"/>
        <v/>
      </c>
      <c r="E448" s="1"/>
      <c r="F448" s="1"/>
      <c r="G448" s="2"/>
      <c r="I448" s="2"/>
      <c r="P448" t="str">
        <f t="shared" si="38"/>
        <v/>
      </c>
      <c r="Q448" t="str">
        <f t="shared" si="39"/>
        <v/>
      </c>
      <c r="R448" t="str">
        <f t="shared" si="40"/>
        <v/>
      </c>
      <c r="T448">
        <f t="shared" si="41"/>
        <v>2985</v>
      </c>
    </row>
    <row r="449" spans="1:20" ht="14.1" customHeight="1" outlineLevel="3" x14ac:dyDescent="0.2">
      <c r="A449" t="str">
        <f t="shared" si="37"/>
        <v/>
      </c>
      <c r="E449" s="1"/>
      <c r="F449" s="1"/>
      <c r="G449" s="2"/>
      <c r="I449" s="2"/>
      <c r="P449" t="str">
        <f t="shared" si="38"/>
        <v/>
      </c>
      <c r="Q449" t="str">
        <f t="shared" si="39"/>
        <v/>
      </c>
      <c r="R449" t="str">
        <f t="shared" si="40"/>
        <v/>
      </c>
      <c r="T449">
        <f t="shared" si="41"/>
        <v>2985</v>
      </c>
    </row>
    <row r="450" spans="1:20" ht="14.1" customHeight="1" outlineLevel="3" x14ac:dyDescent="0.2">
      <c r="A450" t="str">
        <f t="shared" si="37"/>
        <v/>
      </c>
      <c r="E450" s="1"/>
      <c r="F450" s="1"/>
      <c r="G450" s="2"/>
      <c r="I450" s="2"/>
      <c r="P450" t="str">
        <f t="shared" si="38"/>
        <v/>
      </c>
      <c r="Q450" t="str">
        <f t="shared" si="39"/>
        <v/>
      </c>
      <c r="R450" t="str">
        <f t="shared" si="40"/>
        <v/>
      </c>
      <c r="T450">
        <f t="shared" si="41"/>
        <v>2985</v>
      </c>
    </row>
    <row r="451" spans="1:20" ht="14.1" customHeight="1" outlineLevel="3" x14ac:dyDescent="0.2">
      <c r="A451" t="str">
        <f t="shared" ref="A451:A514" si="42">IFERROR(IF(OR(K451="",I451=0),"",D451&amp;K451&amp;I451),"")</f>
        <v/>
      </c>
      <c r="E451" s="1"/>
      <c r="F451" s="1"/>
      <c r="G451" s="2"/>
      <c r="I451" s="2"/>
      <c r="P451" t="str">
        <f t="shared" ref="P451:P514" si="43">IF(OR(K451="",K451=0),"",D451&amp;N451&amp;K451&amp;M451&amp;F451)</f>
        <v/>
      </c>
      <c r="Q451" t="str">
        <f t="shared" ref="Q451:Q514" si="44">IF(P451="","",COUNTIF($P$2:$P$1448,$P451))</f>
        <v/>
      </c>
      <c r="R451" t="str">
        <f t="shared" ref="R451:R514" si="45">G451&amp;K451&amp;N451</f>
        <v/>
      </c>
      <c r="T451">
        <f t="shared" ref="T451:T514" si="46">COUNTIF($R$2:$R$2986,$R451)</f>
        <v>2985</v>
      </c>
    </row>
    <row r="452" spans="1:20" ht="14.1" customHeight="1" outlineLevel="3" x14ac:dyDescent="0.2">
      <c r="A452" t="str">
        <f t="shared" si="42"/>
        <v/>
      </c>
      <c r="E452" s="1"/>
      <c r="F452" s="1"/>
      <c r="G452" s="2"/>
      <c r="I452" s="2"/>
      <c r="P452" t="str">
        <f t="shared" si="43"/>
        <v/>
      </c>
      <c r="Q452" t="str">
        <f t="shared" si="44"/>
        <v/>
      </c>
      <c r="R452" t="str">
        <f t="shared" si="45"/>
        <v/>
      </c>
      <c r="T452">
        <f t="shared" si="46"/>
        <v>2985</v>
      </c>
    </row>
    <row r="453" spans="1:20" ht="14.1" customHeight="1" outlineLevel="3" x14ac:dyDescent="0.2">
      <c r="A453" t="str">
        <f t="shared" si="42"/>
        <v/>
      </c>
      <c r="E453" s="1"/>
      <c r="F453" s="1"/>
      <c r="G453" s="2"/>
      <c r="I453" s="2"/>
      <c r="P453" t="str">
        <f t="shared" si="43"/>
        <v/>
      </c>
      <c r="Q453" t="str">
        <f t="shared" si="44"/>
        <v/>
      </c>
      <c r="R453" t="str">
        <f t="shared" si="45"/>
        <v/>
      </c>
      <c r="T453">
        <f t="shared" si="46"/>
        <v>2985</v>
      </c>
    </row>
    <row r="454" spans="1:20" ht="14.1" customHeight="1" outlineLevel="3" x14ac:dyDescent="0.2">
      <c r="A454" t="str">
        <f t="shared" si="42"/>
        <v/>
      </c>
      <c r="E454" s="1"/>
      <c r="F454" s="1"/>
      <c r="G454" s="2"/>
      <c r="I454" s="2"/>
      <c r="P454" t="str">
        <f t="shared" si="43"/>
        <v/>
      </c>
      <c r="Q454" t="str">
        <f t="shared" si="44"/>
        <v/>
      </c>
      <c r="R454" t="str">
        <f t="shared" si="45"/>
        <v/>
      </c>
      <c r="T454">
        <f t="shared" si="46"/>
        <v>2985</v>
      </c>
    </row>
    <row r="455" spans="1:20" ht="14.1" customHeight="1" outlineLevel="3" x14ac:dyDescent="0.2">
      <c r="A455" t="str">
        <f t="shared" si="42"/>
        <v/>
      </c>
      <c r="E455" s="1"/>
      <c r="F455" s="1"/>
      <c r="G455" s="2"/>
      <c r="I455" s="2"/>
      <c r="P455" t="str">
        <f t="shared" si="43"/>
        <v/>
      </c>
      <c r="Q455" t="str">
        <f t="shared" si="44"/>
        <v/>
      </c>
      <c r="R455" t="str">
        <f t="shared" si="45"/>
        <v/>
      </c>
      <c r="T455">
        <f t="shared" si="46"/>
        <v>2985</v>
      </c>
    </row>
    <row r="456" spans="1:20" ht="14.1" customHeight="1" outlineLevel="3" x14ac:dyDescent="0.2">
      <c r="A456" t="str">
        <f t="shared" si="42"/>
        <v/>
      </c>
      <c r="E456" s="1"/>
      <c r="F456" s="1"/>
      <c r="G456" s="2"/>
      <c r="I456" s="2"/>
      <c r="P456" t="str">
        <f t="shared" si="43"/>
        <v/>
      </c>
      <c r="Q456" t="str">
        <f t="shared" si="44"/>
        <v/>
      </c>
      <c r="R456" t="str">
        <f t="shared" si="45"/>
        <v/>
      </c>
      <c r="T456">
        <f t="shared" si="46"/>
        <v>2985</v>
      </c>
    </row>
    <row r="457" spans="1:20" ht="14.1" customHeight="1" outlineLevel="3" x14ac:dyDescent="0.2">
      <c r="A457" t="str">
        <f t="shared" si="42"/>
        <v/>
      </c>
      <c r="E457" s="1"/>
      <c r="F457" s="1"/>
      <c r="G457" s="2"/>
      <c r="I457" s="2"/>
      <c r="P457" t="str">
        <f t="shared" si="43"/>
        <v/>
      </c>
      <c r="Q457" t="str">
        <f t="shared" si="44"/>
        <v/>
      </c>
      <c r="R457" t="str">
        <f t="shared" si="45"/>
        <v/>
      </c>
      <c r="T457">
        <f t="shared" si="46"/>
        <v>2985</v>
      </c>
    </row>
    <row r="458" spans="1:20" ht="14.1" customHeight="1" outlineLevel="3" x14ac:dyDescent="0.2">
      <c r="A458" t="str">
        <f t="shared" si="42"/>
        <v/>
      </c>
      <c r="E458" s="1"/>
      <c r="F458" s="1"/>
      <c r="G458" s="2"/>
      <c r="I458" s="2"/>
      <c r="P458" t="str">
        <f t="shared" si="43"/>
        <v/>
      </c>
      <c r="Q458" t="str">
        <f t="shared" si="44"/>
        <v/>
      </c>
      <c r="R458" t="str">
        <f t="shared" si="45"/>
        <v/>
      </c>
      <c r="T458">
        <f t="shared" si="46"/>
        <v>2985</v>
      </c>
    </row>
    <row r="459" spans="1:20" ht="14.1" customHeight="1" outlineLevel="3" x14ac:dyDescent="0.2">
      <c r="A459" t="str">
        <f t="shared" si="42"/>
        <v/>
      </c>
      <c r="E459" s="1"/>
      <c r="F459" s="1"/>
      <c r="G459" s="2"/>
      <c r="I459" s="2"/>
      <c r="P459" t="str">
        <f t="shared" si="43"/>
        <v/>
      </c>
      <c r="Q459" t="str">
        <f t="shared" si="44"/>
        <v/>
      </c>
      <c r="R459" t="str">
        <f t="shared" si="45"/>
        <v/>
      </c>
      <c r="T459">
        <f t="shared" si="46"/>
        <v>2985</v>
      </c>
    </row>
    <row r="460" spans="1:20" ht="14.1" customHeight="1" outlineLevel="3" x14ac:dyDescent="0.2">
      <c r="A460" t="str">
        <f t="shared" si="42"/>
        <v/>
      </c>
      <c r="E460" s="1"/>
      <c r="F460" s="1"/>
      <c r="G460" s="2"/>
      <c r="I460" s="2"/>
      <c r="P460" t="str">
        <f t="shared" si="43"/>
        <v/>
      </c>
      <c r="Q460" t="str">
        <f t="shared" si="44"/>
        <v/>
      </c>
      <c r="R460" t="str">
        <f t="shared" si="45"/>
        <v/>
      </c>
      <c r="T460">
        <f t="shared" si="46"/>
        <v>2985</v>
      </c>
    </row>
    <row r="461" spans="1:20" ht="14.1" customHeight="1" outlineLevel="3" x14ac:dyDescent="0.2">
      <c r="A461" t="str">
        <f t="shared" si="42"/>
        <v/>
      </c>
      <c r="E461" s="1"/>
      <c r="F461" s="1"/>
      <c r="G461" s="2"/>
      <c r="I461" s="2"/>
      <c r="P461" t="str">
        <f t="shared" si="43"/>
        <v/>
      </c>
      <c r="Q461" t="str">
        <f t="shared" si="44"/>
        <v/>
      </c>
      <c r="R461" t="str">
        <f t="shared" si="45"/>
        <v/>
      </c>
      <c r="T461">
        <f t="shared" si="46"/>
        <v>2985</v>
      </c>
    </row>
    <row r="462" spans="1:20" ht="14.1" customHeight="1" outlineLevel="3" x14ac:dyDescent="0.2">
      <c r="A462" t="str">
        <f t="shared" si="42"/>
        <v/>
      </c>
      <c r="E462" s="1"/>
      <c r="F462" s="1"/>
      <c r="G462" s="2"/>
      <c r="I462" s="2"/>
      <c r="P462" t="str">
        <f t="shared" si="43"/>
        <v/>
      </c>
      <c r="Q462" t="str">
        <f t="shared" si="44"/>
        <v/>
      </c>
      <c r="R462" t="str">
        <f t="shared" si="45"/>
        <v/>
      </c>
      <c r="T462">
        <f t="shared" si="46"/>
        <v>2985</v>
      </c>
    </row>
    <row r="463" spans="1:20" ht="14.1" customHeight="1" outlineLevel="3" x14ac:dyDescent="0.2">
      <c r="A463" t="str">
        <f t="shared" si="42"/>
        <v/>
      </c>
      <c r="E463" s="1"/>
      <c r="F463" s="1"/>
      <c r="G463" s="2"/>
      <c r="I463" s="2"/>
      <c r="P463" t="str">
        <f t="shared" ref="P463:P464" si="47">IF(OR(K463="",K463=0),"",D463&amp;N463&amp;K463&amp;M463&amp;F463&amp;G463)</f>
        <v/>
      </c>
      <c r="Q463" t="str">
        <f t="shared" si="44"/>
        <v/>
      </c>
      <c r="R463" t="str">
        <f t="shared" si="45"/>
        <v/>
      </c>
      <c r="T463">
        <f t="shared" si="46"/>
        <v>2985</v>
      </c>
    </row>
    <row r="464" spans="1:20" ht="14.1" customHeight="1" outlineLevel="3" x14ac:dyDescent="0.2">
      <c r="A464" t="str">
        <f t="shared" si="42"/>
        <v/>
      </c>
      <c r="E464" s="1"/>
      <c r="F464" s="1"/>
      <c r="G464" s="2"/>
      <c r="I464" s="2"/>
      <c r="P464" t="str">
        <f t="shared" si="47"/>
        <v/>
      </c>
      <c r="Q464" t="str">
        <f t="shared" si="44"/>
        <v/>
      </c>
      <c r="R464" t="str">
        <f t="shared" si="45"/>
        <v/>
      </c>
      <c r="T464">
        <f t="shared" si="46"/>
        <v>2985</v>
      </c>
    </row>
    <row r="465" spans="1:20" ht="14.1" customHeight="1" outlineLevel="3" x14ac:dyDescent="0.2">
      <c r="A465" t="str">
        <f t="shared" si="42"/>
        <v/>
      </c>
      <c r="E465" s="1"/>
      <c r="F465" s="1"/>
      <c r="G465" s="2"/>
      <c r="I465" s="2"/>
      <c r="P465" t="str">
        <f t="shared" si="43"/>
        <v/>
      </c>
      <c r="Q465" t="str">
        <f t="shared" si="44"/>
        <v/>
      </c>
      <c r="R465" t="str">
        <f t="shared" si="45"/>
        <v/>
      </c>
      <c r="T465">
        <f t="shared" si="46"/>
        <v>2985</v>
      </c>
    </row>
    <row r="466" spans="1:20" ht="14.1" customHeight="1" outlineLevel="3" x14ac:dyDescent="0.2">
      <c r="A466" t="str">
        <f t="shared" si="42"/>
        <v/>
      </c>
      <c r="E466" s="1"/>
      <c r="F466" s="1"/>
      <c r="G466" s="2"/>
      <c r="I466" s="2"/>
      <c r="P466" t="str">
        <f t="shared" si="43"/>
        <v/>
      </c>
      <c r="Q466" t="str">
        <f t="shared" si="44"/>
        <v/>
      </c>
      <c r="R466" t="str">
        <f t="shared" si="45"/>
        <v/>
      </c>
      <c r="T466">
        <f t="shared" si="46"/>
        <v>2985</v>
      </c>
    </row>
    <row r="467" spans="1:20" ht="14.1" customHeight="1" outlineLevel="3" x14ac:dyDescent="0.2">
      <c r="A467" t="str">
        <f t="shared" si="42"/>
        <v/>
      </c>
      <c r="E467" s="1"/>
      <c r="F467" s="1"/>
      <c r="G467" s="2"/>
      <c r="I467" s="2"/>
      <c r="P467" t="str">
        <f t="shared" si="43"/>
        <v/>
      </c>
      <c r="Q467" t="str">
        <f t="shared" si="44"/>
        <v/>
      </c>
      <c r="R467" t="str">
        <f t="shared" si="45"/>
        <v/>
      </c>
      <c r="T467">
        <f t="shared" si="46"/>
        <v>2985</v>
      </c>
    </row>
    <row r="468" spans="1:20" ht="14.1" customHeight="1" outlineLevel="3" x14ac:dyDescent="0.2">
      <c r="A468" t="str">
        <f t="shared" si="42"/>
        <v/>
      </c>
      <c r="E468" s="1"/>
      <c r="F468" s="1"/>
      <c r="G468" s="2"/>
      <c r="I468" s="2"/>
      <c r="P468" t="str">
        <f t="shared" si="43"/>
        <v/>
      </c>
      <c r="Q468" t="str">
        <f t="shared" si="44"/>
        <v/>
      </c>
      <c r="R468" t="str">
        <f t="shared" si="45"/>
        <v/>
      </c>
      <c r="T468">
        <f t="shared" si="46"/>
        <v>2985</v>
      </c>
    </row>
    <row r="469" spans="1:20" ht="14.1" customHeight="1" outlineLevel="3" x14ac:dyDescent="0.2">
      <c r="A469" t="str">
        <f t="shared" si="42"/>
        <v/>
      </c>
      <c r="E469" s="1"/>
      <c r="F469" s="1"/>
      <c r="G469" s="2"/>
      <c r="I469" s="2"/>
      <c r="P469" t="str">
        <f t="shared" si="43"/>
        <v/>
      </c>
      <c r="Q469" t="str">
        <f t="shared" si="44"/>
        <v/>
      </c>
      <c r="R469" t="str">
        <f t="shared" si="45"/>
        <v/>
      </c>
      <c r="T469">
        <f t="shared" si="46"/>
        <v>2985</v>
      </c>
    </row>
    <row r="470" spans="1:20" ht="14.1" customHeight="1" outlineLevel="3" x14ac:dyDescent="0.2">
      <c r="A470" t="str">
        <f t="shared" si="42"/>
        <v/>
      </c>
      <c r="E470" s="1"/>
      <c r="F470" s="1"/>
      <c r="G470" s="2"/>
      <c r="I470" s="2"/>
      <c r="P470" t="str">
        <f t="shared" si="43"/>
        <v/>
      </c>
      <c r="Q470" t="str">
        <f t="shared" si="44"/>
        <v/>
      </c>
      <c r="R470" t="str">
        <f t="shared" si="45"/>
        <v/>
      </c>
      <c r="T470">
        <f t="shared" si="46"/>
        <v>2985</v>
      </c>
    </row>
    <row r="471" spans="1:20" ht="14.1" customHeight="1" outlineLevel="3" x14ac:dyDescent="0.2">
      <c r="A471" t="str">
        <f t="shared" si="42"/>
        <v/>
      </c>
      <c r="E471" s="1"/>
      <c r="F471" s="1"/>
      <c r="G471" s="2"/>
      <c r="I471" s="2"/>
      <c r="P471" t="str">
        <f t="shared" si="43"/>
        <v/>
      </c>
      <c r="Q471" t="str">
        <f t="shared" si="44"/>
        <v/>
      </c>
      <c r="R471" t="str">
        <f t="shared" si="45"/>
        <v/>
      </c>
      <c r="T471">
        <f t="shared" si="46"/>
        <v>2985</v>
      </c>
    </row>
    <row r="472" spans="1:20" ht="14.1" customHeight="1" outlineLevel="3" x14ac:dyDescent="0.2">
      <c r="A472" t="str">
        <f t="shared" si="42"/>
        <v/>
      </c>
      <c r="E472" s="1"/>
      <c r="F472" s="1"/>
      <c r="G472" s="2"/>
      <c r="I472" s="2"/>
      <c r="P472" t="str">
        <f t="shared" si="43"/>
        <v/>
      </c>
      <c r="Q472" t="str">
        <f t="shared" si="44"/>
        <v/>
      </c>
      <c r="R472" t="str">
        <f t="shared" si="45"/>
        <v/>
      </c>
      <c r="T472">
        <f t="shared" si="46"/>
        <v>2985</v>
      </c>
    </row>
    <row r="473" spans="1:20" ht="14.1" customHeight="1" outlineLevel="3" x14ac:dyDescent="0.2">
      <c r="A473" t="str">
        <f t="shared" si="42"/>
        <v/>
      </c>
      <c r="E473" s="1"/>
      <c r="F473" s="1"/>
      <c r="G473" s="2"/>
      <c r="I473" s="2"/>
      <c r="P473" t="str">
        <f t="shared" si="43"/>
        <v/>
      </c>
      <c r="Q473" t="str">
        <f t="shared" si="44"/>
        <v/>
      </c>
      <c r="R473" t="str">
        <f t="shared" si="45"/>
        <v/>
      </c>
      <c r="T473">
        <f t="shared" si="46"/>
        <v>2985</v>
      </c>
    </row>
    <row r="474" spans="1:20" ht="14.1" customHeight="1" outlineLevel="3" x14ac:dyDescent="0.2">
      <c r="A474" t="str">
        <f t="shared" si="42"/>
        <v/>
      </c>
      <c r="E474" s="1"/>
      <c r="F474" s="1"/>
      <c r="G474" s="2"/>
      <c r="I474" s="2"/>
      <c r="P474" t="str">
        <f t="shared" si="43"/>
        <v/>
      </c>
      <c r="Q474" t="str">
        <f t="shared" si="44"/>
        <v/>
      </c>
      <c r="R474" t="str">
        <f t="shared" si="45"/>
        <v/>
      </c>
      <c r="T474">
        <f t="shared" si="46"/>
        <v>2985</v>
      </c>
    </row>
    <row r="475" spans="1:20" ht="14.1" customHeight="1" outlineLevel="3" x14ac:dyDescent="0.2">
      <c r="A475" t="str">
        <f t="shared" si="42"/>
        <v/>
      </c>
      <c r="E475" s="1"/>
      <c r="F475" s="1"/>
      <c r="G475" s="2"/>
      <c r="I475" s="2"/>
      <c r="P475" t="str">
        <f t="shared" si="43"/>
        <v/>
      </c>
      <c r="Q475" t="str">
        <f t="shared" si="44"/>
        <v/>
      </c>
      <c r="R475" t="str">
        <f t="shared" si="45"/>
        <v/>
      </c>
      <c r="T475">
        <f t="shared" si="46"/>
        <v>2985</v>
      </c>
    </row>
    <row r="476" spans="1:20" ht="14.1" customHeight="1" outlineLevel="3" x14ac:dyDescent="0.2">
      <c r="A476" t="str">
        <f t="shared" si="42"/>
        <v/>
      </c>
      <c r="E476" s="1"/>
      <c r="F476" s="1"/>
      <c r="G476" s="2"/>
      <c r="I476" s="2"/>
      <c r="P476" t="str">
        <f t="shared" si="43"/>
        <v/>
      </c>
      <c r="Q476" t="str">
        <f t="shared" si="44"/>
        <v/>
      </c>
      <c r="R476" t="str">
        <f t="shared" si="45"/>
        <v/>
      </c>
      <c r="T476">
        <f t="shared" si="46"/>
        <v>2985</v>
      </c>
    </row>
    <row r="477" spans="1:20" ht="14.1" customHeight="1" outlineLevel="3" x14ac:dyDescent="0.2">
      <c r="A477" t="str">
        <f t="shared" si="42"/>
        <v/>
      </c>
      <c r="E477" s="1"/>
      <c r="F477" s="1"/>
      <c r="G477" s="2"/>
      <c r="I477" s="2"/>
      <c r="P477" t="str">
        <f t="shared" si="43"/>
        <v/>
      </c>
      <c r="Q477" t="str">
        <f t="shared" si="44"/>
        <v/>
      </c>
      <c r="R477" t="str">
        <f t="shared" si="45"/>
        <v/>
      </c>
      <c r="T477">
        <f t="shared" si="46"/>
        <v>2985</v>
      </c>
    </row>
    <row r="478" spans="1:20" ht="14.1" customHeight="1" outlineLevel="3" x14ac:dyDescent="0.2">
      <c r="A478" t="str">
        <f t="shared" si="42"/>
        <v/>
      </c>
      <c r="E478" s="1"/>
      <c r="F478" s="1"/>
      <c r="G478" s="2"/>
      <c r="I478" s="2"/>
      <c r="P478" t="str">
        <f t="shared" si="43"/>
        <v/>
      </c>
      <c r="Q478" t="str">
        <f t="shared" si="44"/>
        <v/>
      </c>
      <c r="R478" t="str">
        <f t="shared" si="45"/>
        <v/>
      </c>
      <c r="T478">
        <f t="shared" si="46"/>
        <v>2985</v>
      </c>
    </row>
    <row r="479" spans="1:20" ht="14.1" customHeight="1" outlineLevel="3" x14ac:dyDescent="0.2">
      <c r="A479" t="str">
        <f t="shared" si="42"/>
        <v/>
      </c>
      <c r="E479" s="1"/>
      <c r="F479" s="1"/>
      <c r="G479" s="2"/>
      <c r="I479" s="2"/>
      <c r="P479" t="str">
        <f t="shared" si="43"/>
        <v/>
      </c>
      <c r="Q479" t="str">
        <f t="shared" si="44"/>
        <v/>
      </c>
      <c r="R479" t="str">
        <f t="shared" si="45"/>
        <v/>
      </c>
      <c r="T479">
        <f t="shared" si="46"/>
        <v>2985</v>
      </c>
    </row>
    <row r="480" spans="1:20" ht="14.1" customHeight="1" outlineLevel="3" x14ac:dyDescent="0.2">
      <c r="A480" t="str">
        <f t="shared" si="42"/>
        <v/>
      </c>
      <c r="E480" s="1"/>
      <c r="F480" s="1"/>
      <c r="G480" s="2"/>
      <c r="I480" s="2"/>
      <c r="P480" t="str">
        <f t="shared" si="43"/>
        <v/>
      </c>
      <c r="Q480" t="str">
        <f t="shared" si="44"/>
        <v/>
      </c>
      <c r="R480" t="str">
        <f t="shared" si="45"/>
        <v/>
      </c>
      <c r="T480">
        <f t="shared" si="46"/>
        <v>2985</v>
      </c>
    </row>
    <row r="481" spans="1:20" ht="14.1" customHeight="1" outlineLevel="3" x14ac:dyDescent="0.2">
      <c r="A481" t="str">
        <f t="shared" si="42"/>
        <v/>
      </c>
      <c r="E481" s="1"/>
      <c r="F481" s="1"/>
      <c r="G481" s="2"/>
      <c r="I481" s="2"/>
      <c r="P481" t="str">
        <f t="shared" si="43"/>
        <v/>
      </c>
      <c r="Q481" t="str">
        <f t="shared" si="44"/>
        <v/>
      </c>
      <c r="R481" t="str">
        <f t="shared" si="45"/>
        <v/>
      </c>
      <c r="T481">
        <f t="shared" si="46"/>
        <v>2985</v>
      </c>
    </row>
    <row r="482" spans="1:20" ht="14.1" customHeight="1" outlineLevel="3" x14ac:dyDescent="0.2">
      <c r="A482" t="str">
        <f t="shared" si="42"/>
        <v/>
      </c>
      <c r="E482" s="1"/>
      <c r="F482" s="1"/>
      <c r="G482" s="2"/>
      <c r="I482" s="2"/>
      <c r="P482" t="str">
        <f t="shared" si="43"/>
        <v/>
      </c>
      <c r="Q482" t="str">
        <f t="shared" si="44"/>
        <v/>
      </c>
      <c r="R482" t="str">
        <f t="shared" si="45"/>
        <v/>
      </c>
      <c r="T482">
        <f t="shared" si="46"/>
        <v>2985</v>
      </c>
    </row>
    <row r="483" spans="1:20" ht="14.1" customHeight="1" outlineLevel="3" x14ac:dyDescent="0.2">
      <c r="A483" t="str">
        <f t="shared" si="42"/>
        <v/>
      </c>
      <c r="E483" s="1"/>
      <c r="F483" s="1"/>
      <c r="G483" s="2"/>
      <c r="I483" s="2"/>
      <c r="P483" t="str">
        <f t="shared" si="43"/>
        <v/>
      </c>
      <c r="Q483" t="str">
        <f t="shared" si="44"/>
        <v/>
      </c>
      <c r="R483" t="str">
        <f t="shared" si="45"/>
        <v/>
      </c>
      <c r="T483">
        <f t="shared" si="46"/>
        <v>2985</v>
      </c>
    </row>
    <row r="484" spans="1:20" ht="14.1" customHeight="1" outlineLevel="3" x14ac:dyDescent="0.2">
      <c r="A484" t="str">
        <f t="shared" si="42"/>
        <v/>
      </c>
      <c r="E484" s="1"/>
      <c r="F484" s="1"/>
      <c r="G484" s="2"/>
      <c r="I484" s="2"/>
      <c r="P484" t="str">
        <f t="shared" si="43"/>
        <v/>
      </c>
      <c r="Q484" t="str">
        <f t="shared" si="44"/>
        <v/>
      </c>
      <c r="R484" t="str">
        <f t="shared" si="45"/>
        <v/>
      </c>
      <c r="T484">
        <f t="shared" si="46"/>
        <v>2985</v>
      </c>
    </row>
    <row r="485" spans="1:20" ht="14.1" customHeight="1" outlineLevel="3" x14ac:dyDescent="0.2">
      <c r="A485" t="str">
        <f t="shared" si="42"/>
        <v/>
      </c>
      <c r="E485" s="1"/>
      <c r="F485" s="1"/>
      <c r="G485" s="2"/>
      <c r="I485" s="2"/>
      <c r="P485" t="str">
        <f t="shared" si="43"/>
        <v/>
      </c>
      <c r="Q485" t="str">
        <f t="shared" si="44"/>
        <v/>
      </c>
      <c r="R485" t="str">
        <f t="shared" si="45"/>
        <v/>
      </c>
      <c r="T485">
        <f t="shared" si="46"/>
        <v>2985</v>
      </c>
    </row>
    <row r="486" spans="1:20" ht="14.1" customHeight="1" outlineLevel="3" x14ac:dyDescent="0.2">
      <c r="A486" t="str">
        <f t="shared" si="42"/>
        <v/>
      </c>
      <c r="E486" s="1"/>
      <c r="F486" s="1"/>
      <c r="G486" s="2"/>
      <c r="I486" s="2"/>
      <c r="P486" t="str">
        <f t="shared" si="43"/>
        <v/>
      </c>
      <c r="Q486" t="str">
        <f t="shared" si="44"/>
        <v/>
      </c>
      <c r="R486" t="str">
        <f t="shared" si="45"/>
        <v/>
      </c>
      <c r="T486">
        <f t="shared" si="46"/>
        <v>2985</v>
      </c>
    </row>
    <row r="487" spans="1:20" ht="14.1" customHeight="1" outlineLevel="3" x14ac:dyDescent="0.2">
      <c r="A487" t="str">
        <f t="shared" si="42"/>
        <v/>
      </c>
      <c r="E487" s="1"/>
      <c r="F487" s="1"/>
      <c r="G487" s="2"/>
      <c r="I487" s="2"/>
      <c r="P487" t="str">
        <f t="shared" si="43"/>
        <v/>
      </c>
      <c r="Q487" t="str">
        <f t="shared" si="44"/>
        <v/>
      </c>
      <c r="R487" t="str">
        <f t="shared" si="45"/>
        <v/>
      </c>
      <c r="T487">
        <f t="shared" si="46"/>
        <v>2985</v>
      </c>
    </row>
    <row r="488" spans="1:20" ht="14.1" customHeight="1" outlineLevel="3" x14ac:dyDescent="0.2">
      <c r="A488" t="str">
        <f t="shared" si="42"/>
        <v/>
      </c>
      <c r="E488" s="1"/>
      <c r="F488" s="1"/>
      <c r="G488" s="2"/>
      <c r="I488" s="2"/>
      <c r="P488" t="str">
        <f t="shared" si="43"/>
        <v/>
      </c>
      <c r="Q488" t="str">
        <f t="shared" si="44"/>
        <v/>
      </c>
      <c r="R488" t="str">
        <f t="shared" si="45"/>
        <v/>
      </c>
      <c r="T488">
        <f t="shared" si="46"/>
        <v>2985</v>
      </c>
    </row>
    <row r="489" spans="1:20" ht="14.1" customHeight="1" outlineLevel="3" x14ac:dyDescent="0.2">
      <c r="A489" t="str">
        <f t="shared" si="42"/>
        <v/>
      </c>
      <c r="E489" s="1"/>
      <c r="F489" s="1"/>
      <c r="G489" s="2"/>
      <c r="I489" s="2"/>
      <c r="P489" t="str">
        <f t="shared" si="43"/>
        <v/>
      </c>
      <c r="Q489" t="str">
        <f t="shared" si="44"/>
        <v/>
      </c>
      <c r="R489" t="str">
        <f t="shared" si="45"/>
        <v/>
      </c>
      <c r="T489">
        <f t="shared" si="46"/>
        <v>2985</v>
      </c>
    </row>
    <row r="490" spans="1:20" ht="14.1" customHeight="1" outlineLevel="3" x14ac:dyDescent="0.2">
      <c r="A490" t="str">
        <f t="shared" si="42"/>
        <v/>
      </c>
      <c r="E490" s="1"/>
      <c r="F490" s="1"/>
      <c r="G490" s="2"/>
      <c r="I490" s="2"/>
      <c r="P490" t="str">
        <f t="shared" si="43"/>
        <v/>
      </c>
      <c r="Q490" t="str">
        <f t="shared" si="44"/>
        <v/>
      </c>
      <c r="R490" t="str">
        <f t="shared" si="45"/>
        <v/>
      </c>
      <c r="T490">
        <f t="shared" si="46"/>
        <v>2985</v>
      </c>
    </row>
    <row r="491" spans="1:20" ht="14.1" customHeight="1" outlineLevel="3" x14ac:dyDescent="0.2">
      <c r="A491" t="str">
        <f t="shared" si="42"/>
        <v/>
      </c>
      <c r="E491" s="1"/>
      <c r="F491" s="1"/>
      <c r="G491" s="2"/>
      <c r="I491" s="2"/>
      <c r="P491" t="str">
        <f t="shared" si="43"/>
        <v/>
      </c>
      <c r="Q491" t="str">
        <f t="shared" si="44"/>
        <v/>
      </c>
      <c r="R491" t="str">
        <f t="shared" si="45"/>
        <v/>
      </c>
      <c r="T491">
        <f t="shared" si="46"/>
        <v>2985</v>
      </c>
    </row>
    <row r="492" spans="1:20" ht="14.1" customHeight="1" outlineLevel="3" x14ac:dyDescent="0.2">
      <c r="A492" t="str">
        <f t="shared" si="42"/>
        <v/>
      </c>
      <c r="E492" s="1"/>
      <c r="F492" s="1"/>
      <c r="G492" s="2"/>
      <c r="I492" s="2"/>
      <c r="P492" t="str">
        <f t="shared" si="43"/>
        <v/>
      </c>
      <c r="Q492" t="str">
        <f t="shared" si="44"/>
        <v/>
      </c>
      <c r="R492" t="str">
        <f t="shared" si="45"/>
        <v/>
      </c>
      <c r="T492">
        <f t="shared" si="46"/>
        <v>2985</v>
      </c>
    </row>
    <row r="493" spans="1:20" ht="14.1" customHeight="1" outlineLevel="3" x14ac:dyDescent="0.2">
      <c r="A493" t="str">
        <f t="shared" si="42"/>
        <v/>
      </c>
      <c r="E493" s="1"/>
      <c r="F493" s="1"/>
      <c r="G493" s="2"/>
      <c r="I493" s="2"/>
      <c r="P493" t="str">
        <f t="shared" si="43"/>
        <v/>
      </c>
      <c r="Q493" t="str">
        <f t="shared" si="44"/>
        <v/>
      </c>
      <c r="R493" t="str">
        <f t="shared" si="45"/>
        <v/>
      </c>
      <c r="T493">
        <f t="shared" si="46"/>
        <v>2985</v>
      </c>
    </row>
    <row r="494" spans="1:20" ht="14.1" customHeight="1" outlineLevel="3" x14ac:dyDescent="0.2">
      <c r="A494" t="str">
        <f t="shared" si="42"/>
        <v/>
      </c>
      <c r="E494" s="1"/>
      <c r="F494" s="1"/>
      <c r="G494" s="2"/>
      <c r="I494" s="2"/>
      <c r="P494" t="str">
        <f t="shared" ref="P494:P495" si="48">IF(OR(K494="",K494=0),"",D494&amp;N494&amp;K494&amp;M494&amp;F494&amp;G494)</f>
        <v/>
      </c>
      <c r="Q494" t="str">
        <f t="shared" si="44"/>
        <v/>
      </c>
      <c r="R494" t="str">
        <f t="shared" si="45"/>
        <v/>
      </c>
      <c r="T494">
        <f t="shared" si="46"/>
        <v>2985</v>
      </c>
    </row>
    <row r="495" spans="1:20" ht="14.1" customHeight="1" outlineLevel="3" x14ac:dyDescent="0.2">
      <c r="A495" t="str">
        <f t="shared" si="42"/>
        <v/>
      </c>
      <c r="E495" s="1"/>
      <c r="F495" s="1"/>
      <c r="G495" s="2"/>
      <c r="I495" s="2"/>
      <c r="P495" t="str">
        <f t="shared" si="48"/>
        <v/>
      </c>
      <c r="Q495" t="str">
        <f t="shared" si="44"/>
        <v/>
      </c>
      <c r="R495" t="str">
        <f t="shared" si="45"/>
        <v/>
      </c>
      <c r="T495">
        <f t="shared" si="46"/>
        <v>2985</v>
      </c>
    </row>
    <row r="496" spans="1:20" ht="14.1" customHeight="1" outlineLevel="3" x14ac:dyDescent="0.2">
      <c r="A496" t="str">
        <f t="shared" si="42"/>
        <v/>
      </c>
      <c r="E496" s="1"/>
      <c r="F496" s="1"/>
      <c r="G496" s="2"/>
      <c r="I496" s="2"/>
      <c r="P496" t="str">
        <f t="shared" si="43"/>
        <v/>
      </c>
      <c r="Q496" t="str">
        <f t="shared" si="44"/>
        <v/>
      </c>
      <c r="R496" t="str">
        <f t="shared" si="45"/>
        <v/>
      </c>
      <c r="T496">
        <f t="shared" si="46"/>
        <v>2985</v>
      </c>
    </row>
    <row r="497" spans="1:20" ht="14.1" customHeight="1" outlineLevel="3" x14ac:dyDescent="0.2">
      <c r="A497" t="str">
        <f t="shared" si="42"/>
        <v/>
      </c>
      <c r="E497" s="1"/>
      <c r="F497" s="1"/>
      <c r="G497" s="2"/>
      <c r="I497" s="2"/>
      <c r="P497" t="str">
        <f t="shared" si="43"/>
        <v/>
      </c>
      <c r="Q497" t="str">
        <f t="shared" si="44"/>
        <v/>
      </c>
      <c r="R497" t="str">
        <f t="shared" si="45"/>
        <v/>
      </c>
      <c r="T497">
        <f t="shared" si="46"/>
        <v>2985</v>
      </c>
    </row>
    <row r="498" spans="1:20" ht="14.1" customHeight="1" outlineLevel="3" x14ac:dyDescent="0.2">
      <c r="A498" t="str">
        <f t="shared" si="42"/>
        <v/>
      </c>
      <c r="E498" s="1"/>
      <c r="F498" s="1"/>
      <c r="G498" s="2"/>
      <c r="I498" s="2"/>
      <c r="P498" t="str">
        <f t="shared" si="43"/>
        <v/>
      </c>
      <c r="Q498" t="str">
        <f t="shared" si="44"/>
        <v/>
      </c>
      <c r="R498" t="str">
        <f t="shared" si="45"/>
        <v/>
      </c>
      <c r="T498">
        <f t="shared" si="46"/>
        <v>2985</v>
      </c>
    </row>
    <row r="499" spans="1:20" ht="14.1" customHeight="1" outlineLevel="3" x14ac:dyDescent="0.2">
      <c r="A499" t="str">
        <f t="shared" si="42"/>
        <v/>
      </c>
      <c r="E499" s="1"/>
      <c r="F499" s="1"/>
      <c r="G499" s="2"/>
      <c r="I499" s="2"/>
      <c r="P499" t="str">
        <f t="shared" si="43"/>
        <v/>
      </c>
      <c r="Q499" t="str">
        <f t="shared" si="44"/>
        <v/>
      </c>
      <c r="R499" t="str">
        <f t="shared" si="45"/>
        <v/>
      </c>
      <c r="T499">
        <f t="shared" si="46"/>
        <v>2985</v>
      </c>
    </row>
    <row r="500" spans="1:20" ht="14.1" customHeight="1" outlineLevel="3" x14ac:dyDescent="0.2">
      <c r="A500" t="str">
        <f t="shared" si="42"/>
        <v/>
      </c>
      <c r="E500" s="1"/>
      <c r="F500" s="1"/>
      <c r="G500" s="2"/>
      <c r="I500" s="2"/>
      <c r="P500" t="str">
        <f t="shared" si="43"/>
        <v/>
      </c>
      <c r="Q500" t="str">
        <f t="shared" si="44"/>
        <v/>
      </c>
      <c r="R500" t="str">
        <f t="shared" si="45"/>
        <v/>
      </c>
      <c r="T500">
        <f t="shared" si="46"/>
        <v>2985</v>
      </c>
    </row>
    <row r="501" spans="1:20" ht="14.1" customHeight="1" outlineLevel="3" x14ac:dyDescent="0.2">
      <c r="A501" t="str">
        <f t="shared" si="42"/>
        <v/>
      </c>
      <c r="E501" s="1"/>
      <c r="F501" s="1"/>
      <c r="G501" s="2"/>
      <c r="I501" s="2"/>
      <c r="P501" t="str">
        <f t="shared" si="43"/>
        <v/>
      </c>
      <c r="Q501" t="str">
        <f t="shared" si="44"/>
        <v/>
      </c>
      <c r="R501" t="str">
        <f t="shared" si="45"/>
        <v/>
      </c>
      <c r="T501">
        <f t="shared" si="46"/>
        <v>2985</v>
      </c>
    </row>
    <row r="502" spans="1:20" ht="14.1" customHeight="1" outlineLevel="3" x14ac:dyDescent="0.2">
      <c r="A502" t="str">
        <f t="shared" si="42"/>
        <v/>
      </c>
      <c r="E502" s="1"/>
      <c r="F502" s="1"/>
      <c r="G502" s="2"/>
      <c r="I502" s="2"/>
      <c r="P502" t="str">
        <f t="shared" si="43"/>
        <v/>
      </c>
      <c r="Q502" t="str">
        <f t="shared" si="44"/>
        <v/>
      </c>
      <c r="R502" t="str">
        <f t="shared" si="45"/>
        <v/>
      </c>
      <c r="T502">
        <f t="shared" si="46"/>
        <v>2985</v>
      </c>
    </row>
    <row r="503" spans="1:20" ht="14.1" customHeight="1" outlineLevel="3" x14ac:dyDescent="0.2">
      <c r="A503" t="str">
        <f t="shared" si="42"/>
        <v/>
      </c>
      <c r="E503" s="1"/>
      <c r="F503" s="1"/>
      <c r="G503" s="2"/>
      <c r="I503" s="2"/>
      <c r="P503" t="str">
        <f t="shared" si="43"/>
        <v/>
      </c>
      <c r="Q503" t="str">
        <f t="shared" si="44"/>
        <v/>
      </c>
      <c r="R503" t="str">
        <f t="shared" si="45"/>
        <v/>
      </c>
      <c r="T503">
        <f t="shared" si="46"/>
        <v>2985</v>
      </c>
    </row>
    <row r="504" spans="1:20" ht="14.1" customHeight="1" outlineLevel="3" x14ac:dyDescent="0.2">
      <c r="A504" t="str">
        <f t="shared" si="42"/>
        <v/>
      </c>
      <c r="E504" s="1"/>
      <c r="F504" s="1"/>
      <c r="G504" s="2"/>
      <c r="I504" s="2"/>
      <c r="P504" t="str">
        <f t="shared" si="43"/>
        <v/>
      </c>
      <c r="Q504" t="str">
        <f t="shared" si="44"/>
        <v/>
      </c>
      <c r="R504" t="str">
        <f t="shared" si="45"/>
        <v/>
      </c>
      <c r="T504">
        <f t="shared" si="46"/>
        <v>2985</v>
      </c>
    </row>
    <row r="505" spans="1:20" ht="14.1" customHeight="1" outlineLevel="3" x14ac:dyDescent="0.2">
      <c r="A505" t="str">
        <f t="shared" si="42"/>
        <v/>
      </c>
      <c r="E505" s="1"/>
      <c r="F505" s="1"/>
      <c r="G505" s="2"/>
      <c r="I505" s="2"/>
      <c r="P505" t="str">
        <f t="shared" si="43"/>
        <v/>
      </c>
      <c r="Q505" t="str">
        <f t="shared" si="44"/>
        <v/>
      </c>
      <c r="R505" t="str">
        <f t="shared" si="45"/>
        <v/>
      </c>
      <c r="T505">
        <f t="shared" si="46"/>
        <v>2985</v>
      </c>
    </row>
    <row r="506" spans="1:20" ht="14.1" customHeight="1" outlineLevel="3" x14ac:dyDescent="0.2">
      <c r="A506" t="str">
        <f t="shared" si="42"/>
        <v/>
      </c>
      <c r="E506" s="1"/>
      <c r="F506" s="1"/>
      <c r="G506" s="2"/>
      <c r="I506" s="2"/>
      <c r="P506" t="str">
        <f t="shared" si="43"/>
        <v/>
      </c>
      <c r="Q506" t="str">
        <f t="shared" si="44"/>
        <v/>
      </c>
      <c r="R506" t="str">
        <f t="shared" si="45"/>
        <v/>
      </c>
      <c r="T506">
        <f t="shared" si="46"/>
        <v>2985</v>
      </c>
    </row>
    <row r="507" spans="1:20" ht="14.1" customHeight="1" outlineLevel="3" x14ac:dyDescent="0.2">
      <c r="A507" t="str">
        <f t="shared" si="42"/>
        <v/>
      </c>
      <c r="E507" s="1"/>
      <c r="F507" s="1"/>
      <c r="G507" s="2"/>
      <c r="I507" s="2"/>
      <c r="P507" t="str">
        <f t="shared" si="43"/>
        <v/>
      </c>
      <c r="Q507" t="str">
        <f t="shared" si="44"/>
        <v/>
      </c>
      <c r="R507" t="str">
        <f t="shared" si="45"/>
        <v/>
      </c>
      <c r="T507">
        <f t="shared" si="46"/>
        <v>2985</v>
      </c>
    </row>
    <row r="508" spans="1:20" ht="14.1" customHeight="1" outlineLevel="3" x14ac:dyDescent="0.2">
      <c r="A508" t="str">
        <f t="shared" si="42"/>
        <v/>
      </c>
      <c r="E508" s="1"/>
      <c r="F508" s="1"/>
      <c r="G508" s="2"/>
      <c r="I508" s="2"/>
      <c r="P508" t="str">
        <f t="shared" si="43"/>
        <v/>
      </c>
      <c r="Q508" t="str">
        <f t="shared" si="44"/>
        <v/>
      </c>
      <c r="R508" t="str">
        <f t="shared" si="45"/>
        <v/>
      </c>
      <c r="T508">
        <f t="shared" si="46"/>
        <v>2985</v>
      </c>
    </row>
    <row r="509" spans="1:20" ht="14.1" customHeight="1" outlineLevel="3" x14ac:dyDescent="0.2">
      <c r="A509" t="str">
        <f t="shared" si="42"/>
        <v/>
      </c>
      <c r="E509" s="1"/>
      <c r="F509" s="1"/>
      <c r="G509" s="2"/>
      <c r="I509" s="2"/>
      <c r="P509" t="str">
        <f t="shared" si="43"/>
        <v/>
      </c>
      <c r="Q509" t="str">
        <f t="shared" si="44"/>
        <v/>
      </c>
      <c r="R509" t="str">
        <f t="shared" si="45"/>
        <v/>
      </c>
      <c r="T509">
        <f t="shared" si="46"/>
        <v>2985</v>
      </c>
    </row>
    <row r="510" spans="1:20" ht="14.1" customHeight="1" outlineLevel="3" x14ac:dyDescent="0.2">
      <c r="A510" t="str">
        <f t="shared" si="42"/>
        <v/>
      </c>
      <c r="E510" s="1"/>
      <c r="F510" s="1"/>
      <c r="G510" s="2"/>
      <c r="I510" s="2"/>
      <c r="P510" t="str">
        <f t="shared" ref="P510:P511" si="49">IF(OR(K510="",K510=0),"",D510&amp;N510&amp;K510&amp;M510&amp;F510&amp;G510)</f>
        <v/>
      </c>
      <c r="Q510" t="str">
        <f t="shared" si="44"/>
        <v/>
      </c>
      <c r="R510" t="str">
        <f t="shared" si="45"/>
        <v/>
      </c>
      <c r="T510">
        <f t="shared" si="46"/>
        <v>2985</v>
      </c>
    </row>
    <row r="511" spans="1:20" ht="14.1" customHeight="1" outlineLevel="3" x14ac:dyDescent="0.2">
      <c r="A511" t="str">
        <f t="shared" si="42"/>
        <v/>
      </c>
      <c r="E511" s="1"/>
      <c r="F511" s="1"/>
      <c r="G511" s="2"/>
      <c r="I511" s="2"/>
      <c r="P511" t="str">
        <f t="shared" si="49"/>
        <v/>
      </c>
      <c r="Q511" t="str">
        <f t="shared" si="44"/>
        <v/>
      </c>
      <c r="R511" t="str">
        <f t="shared" si="45"/>
        <v/>
      </c>
      <c r="T511">
        <f t="shared" si="46"/>
        <v>2985</v>
      </c>
    </row>
    <row r="512" spans="1:20" ht="14.1" customHeight="1" outlineLevel="3" x14ac:dyDescent="0.2">
      <c r="A512" t="str">
        <f t="shared" si="42"/>
        <v/>
      </c>
      <c r="E512" s="1"/>
      <c r="F512" s="1"/>
      <c r="G512" s="2"/>
      <c r="I512" s="2"/>
      <c r="P512" t="str">
        <f t="shared" si="43"/>
        <v/>
      </c>
      <c r="Q512" t="str">
        <f t="shared" si="44"/>
        <v/>
      </c>
      <c r="R512" t="str">
        <f t="shared" si="45"/>
        <v/>
      </c>
      <c r="T512">
        <f t="shared" si="46"/>
        <v>2985</v>
      </c>
    </row>
    <row r="513" spans="1:20" ht="14.1" customHeight="1" outlineLevel="3" x14ac:dyDescent="0.2">
      <c r="A513" t="str">
        <f t="shared" si="42"/>
        <v/>
      </c>
      <c r="E513" s="1"/>
      <c r="F513" s="1"/>
      <c r="G513" s="2"/>
      <c r="I513" s="2"/>
      <c r="P513" t="str">
        <f t="shared" si="43"/>
        <v/>
      </c>
      <c r="Q513" t="str">
        <f t="shared" si="44"/>
        <v/>
      </c>
      <c r="R513" t="str">
        <f t="shared" si="45"/>
        <v/>
      </c>
      <c r="T513">
        <f t="shared" si="46"/>
        <v>2985</v>
      </c>
    </row>
    <row r="514" spans="1:20" ht="14.1" customHeight="1" outlineLevel="3" x14ac:dyDescent="0.2">
      <c r="A514" t="str">
        <f t="shared" si="42"/>
        <v/>
      </c>
      <c r="E514" s="1"/>
      <c r="F514" s="1"/>
      <c r="G514" s="2"/>
      <c r="I514" s="2"/>
      <c r="P514" t="str">
        <f t="shared" si="43"/>
        <v/>
      </c>
      <c r="Q514" t="str">
        <f t="shared" si="44"/>
        <v/>
      </c>
      <c r="R514" t="str">
        <f t="shared" si="45"/>
        <v/>
      </c>
      <c r="T514">
        <f t="shared" si="46"/>
        <v>2985</v>
      </c>
    </row>
    <row r="515" spans="1:20" ht="14.1" customHeight="1" outlineLevel="3" x14ac:dyDescent="0.2">
      <c r="A515" t="str">
        <f t="shared" ref="A515:A578" si="50">IFERROR(IF(OR(K515="",I515=0),"",D515&amp;K515&amp;I515),"")</f>
        <v/>
      </c>
      <c r="E515" s="1"/>
      <c r="F515" s="1"/>
      <c r="G515" s="2"/>
      <c r="I515" s="2"/>
      <c r="P515" t="str">
        <f t="shared" ref="P515:P516" si="51">IF(OR(K515="",K515=0),"",D515&amp;N515&amp;K515&amp;M515&amp;F515&amp;G515)</f>
        <v/>
      </c>
      <c r="Q515" t="str">
        <f t="shared" ref="Q515:Q578" si="52">IF(P515="","",COUNTIF($P$2:$P$1448,$P515))</f>
        <v/>
      </c>
      <c r="R515" t="str">
        <f t="shared" ref="R515:R578" si="53">G515&amp;K515&amp;N515</f>
        <v/>
      </c>
      <c r="T515">
        <f t="shared" ref="T515:T578" si="54">COUNTIF($R$2:$R$2986,$R515)</f>
        <v>2985</v>
      </c>
    </row>
    <row r="516" spans="1:20" ht="14.1" customHeight="1" outlineLevel="3" x14ac:dyDescent="0.2">
      <c r="A516" t="str">
        <f t="shared" si="50"/>
        <v/>
      </c>
      <c r="E516" s="1"/>
      <c r="F516" s="1"/>
      <c r="G516" s="2"/>
      <c r="I516" s="2"/>
      <c r="P516" t="str">
        <f t="shared" si="51"/>
        <v/>
      </c>
      <c r="Q516" t="str">
        <f t="shared" si="52"/>
        <v/>
      </c>
      <c r="R516" t="str">
        <f t="shared" si="53"/>
        <v/>
      </c>
      <c r="T516">
        <f t="shared" si="54"/>
        <v>2985</v>
      </c>
    </row>
    <row r="517" spans="1:20" ht="14.1" customHeight="1" outlineLevel="3" x14ac:dyDescent="0.2">
      <c r="A517" t="str">
        <f t="shared" si="50"/>
        <v/>
      </c>
      <c r="E517" s="1"/>
      <c r="F517" s="1"/>
      <c r="G517" s="2"/>
      <c r="I517" s="2"/>
      <c r="P517" t="str">
        <f t="shared" ref="P517:P569" si="55">IF(OR(K517="",K517=0),"",D517&amp;N517&amp;K517&amp;M517&amp;F517)</f>
        <v/>
      </c>
      <c r="Q517" t="str">
        <f t="shared" si="52"/>
        <v/>
      </c>
      <c r="R517" t="str">
        <f t="shared" si="53"/>
        <v/>
      </c>
      <c r="T517">
        <f t="shared" si="54"/>
        <v>2985</v>
      </c>
    </row>
    <row r="518" spans="1:20" ht="14.1" customHeight="1" outlineLevel="3" x14ac:dyDescent="0.2">
      <c r="A518" t="str">
        <f t="shared" si="50"/>
        <v/>
      </c>
      <c r="E518" s="1"/>
      <c r="F518" s="1"/>
      <c r="G518" s="2"/>
      <c r="I518" s="2"/>
      <c r="P518" t="str">
        <f t="shared" si="55"/>
        <v/>
      </c>
      <c r="Q518" t="str">
        <f t="shared" si="52"/>
        <v/>
      </c>
      <c r="R518" t="str">
        <f t="shared" si="53"/>
        <v/>
      </c>
      <c r="T518">
        <f t="shared" si="54"/>
        <v>2985</v>
      </c>
    </row>
    <row r="519" spans="1:20" ht="14.1" customHeight="1" outlineLevel="3" x14ac:dyDescent="0.2">
      <c r="A519" t="str">
        <f t="shared" si="50"/>
        <v/>
      </c>
      <c r="E519" s="1"/>
      <c r="F519" s="1"/>
      <c r="G519" s="2"/>
      <c r="I519" s="2"/>
      <c r="P519" t="str">
        <f t="shared" si="55"/>
        <v/>
      </c>
      <c r="Q519" t="str">
        <f t="shared" si="52"/>
        <v/>
      </c>
      <c r="R519" t="str">
        <f t="shared" si="53"/>
        <v/>
      </c>
      <c r="T519">
        <f t="shared" si="54"/>
        <v>2985</v>
      </c>
    </row>
    <row r="520" spans="1:20" ht="14.1" customHeight="1" outlineLevel="3" x14ac:dyDescent="0.2">
      <c r="A520" t="str">
        <f t="shared" si="50"/>
        <v/>
      </c>
      <c r="E520" s="1"/>
      <c r="F520" s="1"/>
      <c r="G520" s="2"/>
      <c r="I520" s="2"/>
      <c r="P520" t="str">
        <f t="shared" ref="P520:P521" si="56">IF(OR(K520="",K520=0),"",D520&amp;N520&amp;K520&amp;M520&amp;F520&amp;G520)</f>
        <v/>
      </c>
      <c r="Q520" t="str">
        <f t="shared" si="52"/>
        <v/>
      </c>
      <c r="R520" t="str">
        <f t="shared" si="53"/>
        <v/>
      </c>
      <c r="T520">
        <f t="shared" si="54"/>
        <v>2985</v>
      </c>
    </row>
    <row r="521" spans="1:20" ht="14.1" customHeight="1" outlineLevel="3" x14ac:dyDescent="0.2">
      <c r="A521" t="str">
        <f t="shared" si="50"/>
        <v/>
      </c>
      <c r="E521" s="1"/>
      <c r="F521" s="1"/>
      <c r="G521" s="2"/>
      <c r="I521" s="2"/>
      <c r="P521" t="str">
        <f t="shared" si="56"/>
        <v/>
      </c>
      <c r="Q521" t="str">
        <f t="shared" si="52"/>
        <v/>
      </c>
      <c r="R521" t="str">
        <f t="shared" si="53"/>
        <v/>
      </c>
      <c r="T521">
        <f t="shared" si="54"/>
        <v>2985</v>
      </c>
    </row>
    <row r="522" spans="1:20" ht="14.1" customHeight="1" outlineLevel="3" x14ac:dyDescent="0.2">
      <c r="A522" t="str">
        <f t="shared" si="50"/>
        <v/>
      </c>
      <c r="E522" s="1"/>
      <c r="F522" s="1"/>
      <c r="G522" s="2"/>
      <c r="I522" s="2"/>
      <c r="P522" t="str">
        <f t="shared" si="55"/>
        <v/>
      </c>
      <c r="Q522" t="str">
        <f t="shared" si="52"/>
        <v/>
      </c>
      <c r="R522" t="str">
        <f t="shared" si="53"/>
        <v/>
      </c>
      <c r="T522">
        <f t="shared" si="54"/>
        <v>2985</v>
      </c>
    </row>
    <row r="523" spans="1:20" ht="14.1" customHeight="1" outlineLevel="3" x14ac:dyDescent="0.2">
      <c r="A523" t="str">
        <f t="shared" si="50"/>
        <v/>
      </c>
      <c r="E523" s="1"/>
      <c r="F523" s="1"/>
      <c r="G523" s="2"/>
      <c r="I523" s="2"/>
      <c r="P523" t="str">
        <f t="shared" si="55"/>
        <v/>
      </c>
      <c r="Q523" t="str">
        <f t="shared" si="52"/>
        <v/>
      </c>
      <c r="R523" t="str">
        <f t="shared" si="53"/>
        <v/>
      </c>
      <c r="T523">
        <f t="shared" si="54"/>
        <v>2985</v>
      </c>
    </row>
    <row r="524" spans="1:20" ht="14.1" customHeight="1" outlineLevel="3" x14ac:dyDescent="0.2">
      <c r="A524" t="str">
        <f t="shared" si="50"/>
        <v/>
      </c>
      <c r="E524" s="1"/>
      <c r="F524" s="1"/>
      <c r="G524" s="2"/>
      <c r="I524" s="2"/>
      <c r="P524" t="str">
        <f t="shared" si="55"/>
        <v/>
      </c>
      <c r="Q524" t="str">
        <f t="shared" si="52"/>
        <v/>
      </c>
      <c r="R524" t="str">
        <f t="shared" si="53"/>
        <v/>
      </c>
      <c r="T524">
        <f t="shared" si="54"/>
        <v>2985</v>
      </c>
    </row>
    <row r="525" spans="1:20" ht="14.1" customHeight="1" outlineLevel="3" x14ac:dyDescent="0.2">
      <c r="A525" t="str">
        <f t="shared" si="50"/>
        <v/>
      </c>
      <c r="E525" s="1"/>
      <c r="F525" s="1"/>
      <c r="G525" s="2"/>
      <c r="I525" s="2"/>
      <c r="P525" t="str">
        <f t="shared" ref="P525:P526" si="57">IF(OR(K525="",K525=0),"",D525&amp;N525&amp;K525&amp;M525&amp;F525&amp;G525)</f>
        <v/>
      </c>
      <c r="Q525" t="str">
        <f t="shared" si="52"/>
        <v/>
      </c>
      <c r="R525" t="str">
        <f t="shared" si="53"/>
        <v/>
      </c>
      <c r="T525">
        <f t="shared" si="54"/>
        <v>2985</v>
      </c>
    </row>
    <row r="526" spans="1:20" ht="14.1" customHeight="1" outlineLevel="3" x14ac:dyDescent="0.2">
      <c r="A526" t="str">
        <f t="shared" si="50"/>
        <v/>
      </c>
      <c r="E526" s="1"/>
      <c r="F526" s="1"/>
      <c r="G526" s="2"/>
      <c r="I526" s="2"/>
      <c r="P526" t="str">
        <f t="shared" si="57"/>
        <v/>
      </c>
      <c r="Q526" t="str">
        <f t="shared" si="52"/>
        <v/>
      </c>
      <c r="R526" t="str">
        <f t="shared" si="53"/>
        <v/>
      </c>
      <c r="T526">
        <f t="shared" si="54"/>
        <v>2985</v>
      </c>
    </row>
    <row r="527" spans="1:20" ht="14.1" customHeight="1" outlineLevel="3" x14ac:dyDescent="0.2">
      <c r="A527" t="str">
        <f t="shared" si="50"/>
        <v/>
      </c>
      <c r="E527" s="1"/>
      <c r="F527" s="1"/>
      <c r="G527" s="2"/>
      <c r="I527" s="2"/>
      <c r="P527" t="str">
        <f t="shared" si="55"/>
        <v/>
      </c>
      <c r="Q527" t="str">
        <f t="shared" si="52"/>
        <v/>
      </c>
      <c r="R527" t="str">
        <f t="shared" si="53"/>
        <v/>
      </c>
      <c r="T527">
        <f t="shared" si="54"/>
        <v>2985</v>
      </c>
    </row>
    <row r="528" spans="1:20" ht="14.1" customHeight="1" outlineLevel="3" x14ac:dyDescent="0.2">
      <c r="A528" t="str">
        <f t="shared" si="50"/>
        <v/>
      </c>
      <c r="E528" s="1"/>
      <c r="F528" s="1"/>
      <c r="G528" s="2"/>
      <c r="I528" s="2"/>
      <c r="P528" t="str">
        <f t="shared" si="55"/>
        <v/>
      </c>
      <c r="Q528" t="str">
        <f t="shared" si="52"/>
        <v/>
      </c>
      <c r="R528" t="str">
        <f t="shared" si="53"/>
        <v/>
      </c>
      <c r="T528">
        <f t="shared" si="54"/>
        <v>2985</v>
      </c>
    </row>
    <row r="529" spans="1:20" ht="14.1" customHeight="1" outlineLevel="3" x14ac:dyDescent="0.2">
      <c r="A529" t="str">
        <f t="shared" si="50"/>
        <v/>
      </c>
      <c r="E529" s="1"/>
      <c r="F529" s="1"/>
      <c r="G529" s="2"/>
      <c r="I529" s="2"/>
      <c r="P529" t="str">
        <f t="shared" si="55"/>
        <v/>
      </c>
      <c r="Q529" t="str">
        <f t="shared" si="52"/>
        <v/>
      </c>
      <c r="R529" t="str">
        <f t="shared" si="53"/>
        <v/>
      </c>
      <c r="T529">
        <f t="shared" si="54"/>
        <v>2985</v>
      </c>
    </row>
    <row r="530" spans="1:20" ht="14.1" customHeight="1" outlineLevel="3" x14ac:dyDescent="0.2">
      <c r="A530" t="str">
        <f t="shared" si="50"/>
        <v/>
      </c>
      <c r="E530" s="1"/>
      <c r="F530" s="1"/>
      <c r="G530" s="2"/>
      <c r="I530" s="2"/>
      <c r="P530" t="str">
        <f t="shared" si="55"/>
        <v/>
      </c>
      <c r="Q530" t="str">
        <f t="shared" si="52"/>
        <v/>
      </c>
      <c r="R530" t="str">
        <f t="shared" si="53"/>
        <v/>
      </c>
      <c r="T530">
        <f t="shared" si="54"/>
        <v>2985</v>
      </c>
    </row>
    <row r="531" spans="1:20" ht="14.1" customHeight="1" outlineLevel="3" x14ac:dyDescent="0.2">
      <c r="A531" t="str">
        <f t="shared" si="50"/>
        <v/>
      </c>
      <c r="E531" s="1"/>
      <c r="F531" s="1"/>
      <c r="G531" s="2"/>
      <c r="I531" s="2"/>
      <c r="P531" t="str">
        <f t="shared" si="55"/>
        <v/>
      </c>
      <c r="Q531" t="str">
        <f t="shared" si="52"/>
        <v/>
      </c>
      <c r="R531" t="str">
        <f t="shared" si="53"/>
        <v/>
      </c>
      <c r="T531">
        <f t="shared" si="54"/>
        <v>2985</v>
      </c>
    </row>
    <row r="532" spans="1:20" ht="14.1" customHeight="1" outlineLevel="3" x14ac:dyDescent="0.2">
      <c r="A532" t="str">
        <f t="shared" si="50"/>
        <v/>
      </c>
      <c r="E532" s="1"/>
      <c r="F532" s="1"/>
      <c r="G532" s="2"/>
      <c r="I532" s="2"/>
      <c r="P532" t="str">
        <f t="shared" si="55"/>
        <v/>
      </c>
      <c r="Q532" t="str">
        <f t="shared" si="52"/>
        <v/>
      </c>
      <c r="R532" t="str">
        <f t="shared" si="53"/>
        <v/>
      </c>
      <c r="T532">
        <f t="shared" si="54"/>
        <v>2985</v>
      </c>
    </row>
    <row r="533" spans="1:20" ht="14.1" customHeight="1" outlineLevel="3" x14ac:dyDescent="0.2">
      <c r="A533" t="str">
        <f t="shared" si="50"/>
        <v/>
      </c>
      <c r="E533" s="1"/>
      <c r="F533" s="1"/>
      <c r="G533" s="2"/>
      <c r="I533" s="2"/>
      <c r="P533" t="str">
        <f t="shared" si="55"/>
        <v/>
      </c>
      <c r="Q533" t="str">
        <f t="shared" si="52"/>
        <v/>
      </c>
      <c r="R533" t="str">
        <f t="shared" si="53"/>
        <v/>
      </c>
      <c r="T533">
        <f t="shared" si="54"/>
        <v>2985</v>
      </c>
    </row>
    <row r="534" spans="1:20" ht="14.1" customHeight="1" outlineLevel="3" x14ac:dyDescent="0.2">
      <c r="A534" t="str">
        <f t="shared" si="50"/>
        <v/>
      </c>
      <c r="E534" s="1"/>
      <c r="F534" s="1"/>
      <c r="G534" s="2"/>
      <c r="I534" s="2"/>
      <c r="P534" t="str">
        <f t="shared" si="55"/>
        <v/>
      </c>
      <c r="Q534" t="str">
        <f t="shared" si="52"/>
        <v/>
      </c>
      <c r="R534" t="str">
        <f t="shared" si="53"/>
        <v/>
      </c>
      <c r="T534">
        <f t="shared" si="54"/>
        <v>2985</v>
      </c>
    </row>
    <row r="535" spans="1:20" ht="14.1" customHeight="1" outlineLevel="3" x14ac:dyDescent="0.2">
      <c r="A535" t="str">
        <f t="shared" si="50"/>
        <v/>
      </c>
      <c r="E535" s="1"/>
      <c r="F535" s="1"/>
      <c r="G535" s="2"/>
      <c r="I535" s="2"/>
      <c r="P535" t="str">
        <f t="shared" si="55"/>
        <v/>
      </c>
      <c r="Q535" t="str">
        <f t="shared" si="52"/>
        <v/>
      </c>
      <c r="R535" t="str">
        <f t="shared" si="53"/>
        <v/>
      </c>
      <c r="T535">
        <f t="shared" si="54"/>
        <v>2985</v>
      </c>
    </row>
    <row r="536" spans="1:20" ht="14.1" customHeight="1" outlineLevel="3" x14ac:dyDescent="0.2">
      <c r="A536" t="str">
        <f t="shared" si="50"/>
        <v/>
      </c>
      <c r="E536" s="1"/>
      <c r="F536" s="1"/>
      <c r="G536" s="2"/>
      <c r="I536" s="2"/>
      <c r="P536" t="str">
        <f t="shared" si="55"/>
        <v/>
      </c>
      <c r="Q536" t="str">
        <f t="shared" si="52"/>
        <v/>
      </c>
      <c r="R536" t="str">
        <f t="shared" si="53"/>
        <v/>
      </c>
      <c r="T536">
        <f t="shared" si="54"/>
        <v>2985</v>
      </c>
    </row>
    <row r="537" spans="1:20" ht="14.1" customHeight="1" outlineLevel="3" x14ac:dyDescent="0.2">
      <c r="A537" t="str">
        <f t="shared" si="50"/>
        <v/>
      </c>
      <c r="E537" s="1"/>
      <c r="F537" s="1"/>
      <c r="G537" s="2"/>
      <c r="I537" s="2"/>
      <c r="P537" t="str">
        <f t="shared" si="55"/>
        <v/>
      </c>
      <c r="Q537" t="str">
        <f t="shared" si="52"/>
        <v/>
      </c>
      <c r="R537" t="str">
        <f t="shared" si="53"/>
        <v/>
      </c>
      <c r="T537">
        <f t="shared" si="54"/>
        <v>2985</v>
      </c>
    </row>
    <row r="538" spans="1:20" ht="14.1" customHeight="1" outlineLevel="3" x14ac:dyDescent="0.2">
      <c r="A538" t="str">
        <f t="shared" si="50"/>
        <v/>
      </c>
      <c r="E538" s="1"/>
      <c r="F538" s="1"/>
      <c r="G538" s="2"/>
      <c r="I538" s="2"/>
      <c r="P538" t="str">
        <f t="shared" si="55"/>
        <v/>
      </c>
      <c r="Q538" t="str">
        <f t="shared" si="52"/>
        <v/>
      </c>
      <c r="R538" t="str">
        <f t="shared" si="53"/>
        <v/>
      </c>
      <c r="T538">
        <f t="shared" si="54"/>
        <v>2985</v>
      </c>
    </row>
    <row r="539" spans="1:20" ht="14.1" customHeight="1" outlineLevel="3" x14ac:dyDescent="0.2">
      <c r="A539" t="str">
        <f t="shared" si="50"/>
        <v/>
      </c>
      <c r="E539" s="1"/>
      <c r="F539" s="1"/>
      <c r="G539" s="2"/>
      <c r="I539" s="2"/>
      <c r="P539" t="str">
        <f t="shared" si="55"/>
        <v/>
      </c>
      <c r="Q539" t="str">
        <f t="shared" si="52"/>
        <v/>
      </c>
      <c r="R539" t="str">
        <f t="shared" si="53"/>
        <v/>
      </c>
      <c r="T539">
        <f t="shared" si="54"/>
        <v>2985</v>
      </c>
    </row>
    <row r="540" spans="1:20" ht="14.1" customHeight="1" outlineLevel="3" x14ac:dyDescent="0.2">
      <c r="A540" t="str">
        <f t="shared" si="50"/>
        <v/>
      </c>
      <c r="E540" s="1"/>
      <c r="F540" s="1"/>
      <c r="G540" s="2"/>
      <c r="I540" s="2"/>
      <c r="P540" t="str">
        <f t="shared" si="55"/>
        <v/>
      </c>
      <c r="Q540" t="str">
        <f t="shared" si="52"/>
        <v/>
      </c>
      <c r="R540" t="str">
        <f t="shared" si="53"/>
        <v/>
      </c>
      <c r="T540">
        <f t="shared" si="54"/>
        <v>2985</v>
      </c>
    </row>
    <row r="541" spans="1:20" ht="14.1" customHeight="1" outlineLevel="3" x14ac:dyDescent="0.2">
      <c r="A541" t="str">
        <f t="shared" si="50"/>
        <v/>
      </c>
      <c r="E541" s="1"/>
      <c r="F541" s="1"/>
      <c r="G541" s="2"/>
      <c r="I541" s="2"/>
      <c r="P541" t="str">
        <f t="shared" si="55"/>
        <v/>
      </c>
      <c r="Q541" t="str">
        <f t="shared" si="52"/>
        <v/>
      </c>
      <c r="R541" t="str">
        <f t="shared" si="53"/>
        <v/>
      </c>
      <c r="T541">
        <f t="shared" si="54"/>
        <v>2985</v>
      </c>
    </row>
    <row r="542" spans="1:20" ht="14.1" customHeight="1" outlineLevel="3" x14ac:dyDescent="0.2">
      <c r="A542" t="str">
        <f t="shared" si="50"/>
        <v/>
      </c>
      <c r="E542" s="1"/>
      <c r="F542" s="1"/>
      <c r="G542" s="2"/>
      <c r="I542" s="2"/>
      <c r="P542" t="str">
        <f t="shared" si="55"/>
        <v/>
      </c>
      <c r="Q542" t="str">
        <f t="shared" si="52"/>
        <v/>
      </c>
      <c r="R542" t="str">
        <f t="shared" si="53"/>
        <v/>
      </c>
      <c r="T542">
        <f t="shared" si="54"/>
        <v>2985</v>
      </c>
    </row>
    <row r="543" spans="1:20" ht="14.1" customHeight="1" outlineLevel="3" x14ac:dyDescent="0.2">
      <c r="A543" t="str">
        <f t="shared" si="50"/>
        <v/>
      </c>
      <c r="E543" s="1"/>
      <c r="F543" s="1"/>
      <c r="G543" s="2"/>
      <c r="I543" s="2"/>
      <c r="P543" t="str">
        <f t="shared" ref="P543:P544" si="58">IF(OR(K543="",K543=0),"",D543&amp;N543&amp;K543&amp;M543&amp;F543&amp;G543)</f>
        <v/>
      </c>
      <c r="Q543" t="str">
        <f t="shared" si="52"/>
        <v/>
      </c>
      <c r="R543" t="str">
        <f t="shared" si="53"/>
        <v/>
      </c>
      <c r="T543">
        <f t="shared" si="54"/>
        <v>2985</v>
      </c>
    </row>
    <row r="544" spans="1:20" ht="14.1" customHeight="1" outlineLevel="3" x14ac:dyDescent="0.2">
      <c r="A544" t="str">
        <f t="shared" si="50"/>
        <v/>
      </c>
      <c r="E544" s="1"/>
      <c r="F544" s="1"/>
      <c r="G544" s="2"/>
      <c r="I544" s="2"/>
      <c r="P544" t="str">
        <f t="shared" si="58"/>
        <v/>
      </c>
      <c r="Q544" t="str">
        <f t="shared" si="52"/>
        <v/>
      </c>
      <c r="R544" t="str">
        <f t="shared" si="53"/>
        <v/>
      </c>
      <c r="T544">
        <f t="shared" si="54"/>
        <v>2985</v>
      </c>
    </row>
    <row r="545" spans="1:20" ht="14.1" customHeight="1" outlineLevel="3" x14ac:dyDescent="0.2">
      <c r="A545" t="str">
        <f t="shared" si="50"/>
        <v/>
      </c>
      <c r="E545" s="1"/>
      <c r="F545" s="1"/>
      <c r="G545" s="2"/>
      <c r="I545" s="2"/>
      <c r="P545" t="str">
        <f t="shared" si="55"/>
        <v/>
      </c>
      <c r="Q545" t="str">
        <f t="shared" si="52"/>
        <v/>
      </c>
      <c r="R545" t="str">
        <f t="shared" si="53"/>
        <v/>
      </c>
      <c r="T545">
        <f t="shared" si="54"/>
        <v>2985</v>
      </c>
    </row>
    <row r="546" spans="1:20" ht="14.1" customHeight="1" outlineLevel="3" x14ac:dyDescent="0.2">
      <c r="A546" t="str">
        <f t="shared" si="50"/>
        <v/>
      </c>
      <c r="E546" s="1"/>
      <c r="F546" s="1"/>
      <c r="G546" s="2"/>
      <c r="I546" s="2"/>
      <c r="P546" t="str">
        <f t="shared" si="55"/>
        <v/>
      </c>
      <c r="Q546" t="str">
        <f t="shared" si="52"/>
        <v/>
      </c>
      <c r="R546" t="str">
        <f t="shared" si="53"/>
        <v/>
      </c>
      <c r="T546">
        <f t="shared" si="54"/>
        <v>2985</v>
      </c>
    </row>
    <row r="547" spans="1:20" ht="14.1" customHeight="1" outlineLevel="3" x14ac:dyDescent="0.2">
      <c r="A547" t="str">
        <f t="shared" si="50"/>
        <v/>
      </c>
      <c r="E547" s="1"/>
      <c r="F547" s="1"/>
      <c r="G547" s="2"/>
      <c r="I547" s="2"/>
      <c r="P547" t="str">
        <f t="shared" si="55"/>
        <v/>
      </c>
      <c r="Q547" t="str">
        <f t="shared" si="52"/>
        <v/>
      </c>
      <c r="R547" t="str">
        <f t="shared" si="53"/>
        <v/>
      </c>
      <c r="T547">
        <f t="shared" si="54"/>
        <v>2985</v>
      </c>
    </row>
    <row r="548" spans="1:20" ht="14.1" customHeight="1" outlineLevel="3" x14ac:dyDescent="0.2">
      <c r="A548" t="str">
        <f t="shared" si="50"/>
        <v/>
      </c>
      <c r="E548" s="1"/>
      <c r="F548" s="1"/>
      <c r="G548" s="2"/>
      <c r="I548" s="2"/>
      <c r="P548" t="str">
        <f t="shared" ref="P548:P549" si="59">IF(OR(K548="",K548=0),"",D548&amp;N548&amp;K548&amp;M548&amp;F548&amp;G548)</f>
        <v/>
      </c>
      <c r="Q548" t="str">
        <f t="shared" si="52"/>
        <v/>
      </c>
      <c r="R548" t="str">
        <f t="shared" si="53"/>
        <v/>
      </c>
      <c r="T548">
        <f t="shared" si="54"/>
        <v>2985</v>
      </c>
    </row>
    <row r="549" spans="1:20" ht="14.1" customHeight="1" outlineLevel="3" x14ac:dyDescent="0.2">
      <c r="A549" t="str">
        <f t="shared" si="50"/>
        <v/>
      </c>
      <c r="E549" s="1"/>
      <c r="F549" s="1"/>
      <c r="G549" s="2"/>
      <c r="I549" s="2"/>
      <c r="P549" t="str">
        <f t="shared" si="59"/>
        <v/>
      </c>
      <c r="Q549" t="str">
        <f t="shared" si="52"/>
        <v/>
      </c>
      <c r="R549" t="str">
        <f t="shared" si="53"/>
        <v/>
      </c>
      <c r="T549">
        <f t="shared" si="54"/>
        <v>2985</v>
      </c>
    </row>
    <row r="550" spans="1:20" ht="14.1" customHeight="1" outlineLevel="3" x14ac:dyDescent="0.2">
      <c r="A550" t="str">
        <f t="shared" si="50"/>
        <v/>
      </c>
      <c r="E550" s="1"/>
      <c r="F550" s="1"/>
      <c r="G550" s="2"/>
      <c r="I550" s="2"/>
      <c r="P550" t="str">
        <f t="shared" si="55"/>
        <v/>
      </c>
      <c r="Q550" t="str">
        <f t="shared" si="52"/>
        <v/>
      </c>
      <c r="R550" t="str">
        <f t="shared" si="53"/>
        <v/>
      </c>
      <c r="T550">
        <f t="shared" si="54"/>
        <v>2985</v>
      </c>
    </row>
    <row r="551" spans="1:20" ht="14.1" customHeight="1" outlineLevel="3" x14ac:dyDescent="0.2">
      <c r="A551" t="str">
        <f t="shared" si="50"/>
        <v/>
      </c>
      <c r="E551" s="1"/>
      <c r="F551" s="1"/>
      <c r="G551" s="2"/>
      <c r="I551" s="2"/>
      <c r="P551" t="str">
        <f t="shared" si="55"/>
        <v/>
      </c>
      <c r="Q551" t="str">
        <f t="shared" si="52"/>
        <v/>
      </c>
      <c r="R551" t="str">
        <f t="shared" si="53"/>
        <v/>
      </c>
      <c r="T551">
        <f t="shared" si="54"/>
        <v>2985</v>
      </c>
    </row>
    <row r="552" spans="1:20" ht="14.1" customHeight="1" outlineLevel="3" x14ac:dyDescent="0.2">
      <c r="A552" t="str">
        <f t="shared" si="50"/>
        <v/>
      </c>
      <c r="E552" s="1"/>
      <c r="F552" s="1"/>
      <c r="G552" s="2"/>
      <c r="I552" s="2"/>
      <c r="P552" t="str">
        <f t="shared" si="55"/>
        <v/>
      </c>
      <c r="Q552" t="str">
        <f t="shared" si="52"/>
        <v/>
      </c>
      <c r="R552" t="str">
        <f t="shared" si="53"/>
        <v/>
      </c>
      <c r="T552">
        <f t="shared" si="54"/>
        <v>2985</v>
      </c>
    </row>
    <row r="553" spans="1:20" ht="14.1" customHeight="1" outlineLevel="3" x14ac:dyDescent="0.2">
      <c r="A553" t="str">
        <f t="shared" si="50"/>
        <v/>
      </c>
      <c r="E553" s="1"/>
      <c r="F553" s="1"/>
      <c r="G553" s="2"/>
      <c r="I553" s="2"/>
      <c r="P553" t="str">
        <f t="shared" ref="P553:P554" si="60">IF(OR(K553="",K553=0),"",D553&amp;N553&amp;K553&amp;M553&amp;F553&amp;G553)</f>
        <v/>
      </c>
      <c r="Q553" t="str">
        <f t="shared" si="52"/>
        <v/>
      </c>
      <c r="R553" t="str">
        <f t="shared" si="53"/>
        <v/>
      </c>
      <c r="T553">
        <f t="shared" si="54"/>
        <v>2985</v>
      </c>
    </row>
    <row r="554" spans="1:20" ht="14.1" customHeight="1" outlineLevel="3" x14ac:dyDescent="0.2">
      <c r="A554" t="str">
        <f t="shared" si="50"/>
        <v/>
      </c>
      <c r="E554" s="1"/>
      <c r="F554" s="1"/>
      <c r="G554" s="2"/>
      <c r="I554" s="2"/>
      <c r="P554" t="str">
        <f t="shared" si="60"/>
        <v/>
      </c>
      <c r="Q554" t="str">
        <f t="shared" si="52"/>
        <v/>
      </c>
      <c r="R554" t="str">
        <f t="shared" si="53"/>
        <v/>
      </c>
      <c r="T554">
        <f t="shared" si="54"/>
        <v>2985</v>
      </c>
    </row>
    <row r="555" spans="1:20" ht="14.1" customHeight="1" outlineLevel="3" x14ac:dyDescent="0.2">
      <c r="A555" t="str">
        <f t="shared" si="50"/>
        <v/>
      </c>
      <c r="E555" s="1"/>
      <c r="F555" s="1"/>
      <c r="G555" s="2"/>
      <c r="I555" s="2"/>
      <c r="P555" t="str">
        <f t="shared" si="55"/>
        <v/>
      </c>
      <c r="Q555" t="str">
        <f t="shared" si="52"/>
        <v/>
      </c>
      <c r="R555" t="str">
        <f t="shared" si="53"/>
        <v/>
      </c>
      <c r="T555">
        <f t="shared" si="54"/>
        <v>2985</v>
      </c>
    </row>
    <row r="556" spans="1:20" ht="14.1" customHeight="1" outlineLevel="3" x14ac:dyDescent="0.2">
      <c r="A556" t="str">
        <f t="shared" si="50"/>
        <v/>
      </c>
      <c r="E556" s="1"/>
      <c r="F556" s="1"/>
      <c r="G556" s="2"/>
      <c r="I556" s="2"/>
      <c r="P556" t="str">
        <f t="shared" si="55"/>
        <v/>
      </c>
      <c r="Q556" t="str">
        <f t="shared" si="52"/>
        <v/>
      </c>
      <c r="R556" t="str">
        <f t="shared" si="53"/>
        <v/>
      </c>
      <c r="T556">
        <f t="shared" si="54"/>
        <v>2985</v>
      </c>
    </row>
    <row r="557" spans="1:20" ht="14.1" customHeight="1" outlineLevel="3" x14ac:dyDescent="0.2">
      <c r="A557" t="str">
        <f t="shared" si="50"/>
        <v/>
      </c>
      <c r="E557" s="1"/>
      <c r="F557" s="1"/>
      <c r="G557" s="2"/>
      <c r="I557" s="2"/>
      <c r="P557" t="str">
        <f t="shared" si="55"/>
        <v/>
      </c>
      <c r="Q557" t="str">
        <f t="shared" si="52"/>
        <v/>
      </c>
      <c r="R557" t="str">
        <f t="shared" si="53"/>
        <v/>
      </c>
      <c r="T557">
        <f t="shared" si="54"/>
        <v>2985</v>
      </c>
    </row>
    <row r="558" spans="1:20" ht="14.1" customHeight="1" outlineLevel="3" x14ac:dyDescent="0.2">
      <c r="A558" t="str">
        <f t="shared" si="50"/>
        <v/>
      </c>
      <c r="E558" s="1"/>
      <c r="F558" s="1"/>
      <c r="G558" s="2"/>
      <c r="I558" s="2"/>
      <c r="P558" t="str">
        <f t="shared" ref="P558:P559" si="61">IF(OR(K558="",K558=0),"",D558&amp;N558&amp;K558&amp;M558&amp;F558&amp;G558)</f>
        <v/>
      </c>
      <c r="Q558" t="str">
        <f t="shared" si="52"/>
        <v/>
      </c>
      <c r="R558" t="str">
        <f t="shared" si="53"/>
        <v/>
      </c>
      <c r="T558">
        <f t="shared" si="54"/>
        <v>2985</v>
      </c>
    </row>
    <row r="559" spans="1:20" ht="14.1" customHeight="1" outlineLevel="3" x14ac:dyDescent="0.2">
      <c r="A559" t="str">
        <f t="shared" si="50"/>
        <v/>
      </c>
      <c r="E559" s="1"/>
      <c r="F559" s="1"/>
      <c r="G559" s="2"/>
      <c r="I559" s="2"/>
      <c r="P559" t="str">
        <f t="shared" si="61"/>
        <v/>
      </c>
      <c r="Q559" t="str">
        <f t="shared" si="52"/>
        <v/>
      </c>
      <c r="R559" t="str">
        <f t="shared" si="53"/>
        <v/>
      </c>
      <c r="T559">
        <f t="shared" si="54"/>
        <v>2985</v>
      </c>
    </row>
    <row r="560" spans="1:20" ht="14.1" customHeight="1" outlineLevel="3" x14ac:dyDescent="0.2">
      <c r="A560" t="str">
        <f t="shared" si="50"/>
        <v/>
      </c>
      <c r="E560" s="1"/>
      <c r="F560" s="1"/>
      <c r="G560" s="2"/>
      <c r="I560" s="2"/>
      <c r="P560" t="str">
        <f t="shared" si="55"/>
        <v/>
      </c>
      <c r="Q560" t="str">
        <f t="shared" si="52"/>
        <v/>
      </c>
      <c r="R560" t="str">
        <f t="shared" si="53"/>
        <v/>
      </c>
      <c r="T560">
        <f t="shared" si="54"/>
        <v>2985</v>
      </c>
    </row>
    <row r="561" spans="1:20" ht="14.1" customHeight="1" outlineLevel="3" x14ac:dyDescent="0.2">
      <c r="A561" t="str">
        <f t="shared" si="50"/>
        <v/>
      </c>
      <c r="E561" s="1"/>
      <c r="F561" s="1"/>
      <c r="G561" s="2"/>
      <c r="I561" s="2"/>
      <c r="P561" t="str">
        <f t="shared" si="55"/>
        <v/>
      </c>
      <c r="Q561" t="str">
        <f t="shared" si="52"/>
        <v/>
      </c>
      <c r="R561" t="str">
        <f t="shared" si="53"/>
        <v/>
      </c>
      <c r="T561">
        <f t="shared" si="54"/>
        <v>2985</v>
      </c>
    </row>
    <row r="562" spans="1:20" ht="14.1" customHeight="1" outlineLevel="3" x14ac:dyDescent="0.2">
      <c r="A562" t="str">
        <f t="shared" si="50"/>
        <v/>
      </c>
      <c r="E562" s="1"/>
      <c r="F562" s="1"/>
      <c r="G562" s="2"/>
      <c r="I562" s="2"/>
      <c r="P562" t="str">
        <f t="shared" si="55"/>
        <v/>
      </c>
      <c r="Q562" t="str">
        <f t="shared" si="52"/>
        <v/>
      </c>
      <c r="R562" t="str">
        <f t="shared" si="53"/>
        <v/>
      </c>
      <c r="T562">
        <f t="shared" si="54"/>
        <v>2985</v>
      </c>
    </row>
    <row r="563" spans="1:20" ht="14.1" customHeight="1" outlineLevel="3" x14ac:dyDescent="0.2">
      <c r="A563" t="str">
        <f t="shared" si="50"/>
        <v/>
      </c>
      <c r="E563" s="1"/>
      <c r="F563" s="1"/>
      <c r="G563" s="2"/>
      <c r="I563" s="2"/>
      <c r="P563" t="str">
        <f t="shared" si="55"/>
        <v/>
      </c>
      <c r="Q563" t="str">
        <f t="shared" si="52"/>
        <v/>
      </c>
      <c r="R563" t="str">
        <f t="shared" si="53"/>
        <v/>
      </c>
      <c r="T563">
        <f t="shared" si="54"/>
        <v>2985</v>
      </c>
    </row>
    <row r="564" spans="1:20" ht="14.1" customHeight="1" outlineLevel="3" x14ac:dyDescent="0.2">
      <c r="A564" t="str">
        <f t="shared" si="50"/>
        <v/>
      </c>
      <c r="E564" s="1"/>
      <c r="F564" s="1"/>
      <c r="G564" s="2"/>
      <c r="I564" s="2"/>
      <c r="P564" t="str">
        <f t="shared" ref="P564:P565" si="62">IF(OR(K564="",K564=0),"",D564&amp;N564&amp;K564&amp;M564&amp;F564&amp;G564)</f>
        <v/>
      </c>
      <c r="Q564" t="str">
        <f t="shared" si="52"/>
        <v/>
      </c>
      <c r="R564" t="str">
        <f t="shared" si="53"/>
        <v/>
      </c>
      <c r="T564">
        <f t="shared" si="54"/>
        <v>2985</v>
      </c>
    </row>
    <row r="565" spans="1:20" ht="14.1" customHeight="1" outlineLevel="3" x14ac:dyDescent="0.2">
      <c r="A565" t="str">
        <f t="shared" si="50"/>
        <v/>
      </c>
      <c r="E565" s="1"/>
      <c r="F565" s="1"/>
      <c r="G565" s="2"/>
      <c r="I565" s="2"/>
      <c r="P565" t="str">
        <f t="shared" si="62"/>
        <v/>
      </c>
      <c r="Q565" t="str">
        <f t="shared" si="52"/>
        <v/>
      </c>
      <c r="R565" t="str">
        <f t="shared" si="53"/>
        <v/>
      </c>
      <c r="T565">
        <f t="shared" si="54"/>
        <v>2985</v>
      </c>
    </row>
    <row r="566" spans="1:20" ht="14.1" customHeight="1" outlineLevel="3" x14ac:dyDescent="0.2">
      <c r="A566" t="str">
        <f t="shared" si="50"/>
        <v/>
      </c>
      <c r="E566" s="1"/>
      <c r="F566" s="1"/>
      <c r="G566" s="2"/>
      <c r="I566" s="2"/>
      <c r="P566" t="str">
        <f t="shared" si="55"/>
        <v/>
      </c>
      <c r="Q566" t="str">
        <f t="shared" si="52"/>
        <v/>
      </c>
      <c r="R566" t="str">
        <f t="shared" si="53"/>
        <v/>
      </c>
      <c r="T566">
        <f t="shared" si="54"/>
        <v>2985</v>
      </c>
    </row>
    <row r="567" spans="1:20" ht="14.1" customHeight="1" outlineLevel="3" x14ac:dyDescent="0.2">
      <c r="A567" t="str">
        <f t="shared" si="50"/>
        <v/>
      </c>
      <c r="E567" s="1"/>
      <c r="F567" s="1"/>
      <c r="G567" s="2"/>
      <c r="I567" s="2"/>
      <c r="P567" t="str">
        <f t="shared" ref="P567:P568" si="63">IF(OR(K567="",K567=0),"",D567&amp;N567&amp;K567&amp;M567&amp;F567&amp;G567)</f>
        <v/>
      </c>
      <c r="Q567" t="str">
        <f t="shared" si="52"/>
        <v/>
      </c>
      <c r="R567" t="str">
        <f t="shared" si="53"/>
        <v/>
      </c>
      <c r="T567">
        <f t="shared" si="54"/>
        <v>2985</v>
      </c>
    </row>
    <row r="568" spans="1:20" ht="14.1" customHeight="1" outlineLevel="3" x14ac:dyDescent="0.2">
      <c r="A568" t="str">
        <f t="shared" si="50"/>
        <v/>
      </c>
      <c r="E568" s="1"/>
      <c r="F568" s="1"/>
      <c r="G568" s="2"/>
      <c r="I568" s="2"/>
      <c r="P568" t="str">
        <f t="shared" si="63"/>
        <v/>
      </c>
      <c r="Q568" t="str">
        <f t="shared" si="52"/>
        <v/>
      </c>
      <c r="R568" t="str">
        <f t="shared" si="53"/>
        <v/>
      </c>
      <c r="T568">
        <f t="shared" si="54"/>
        <v>2985</v>
      </c>
    </row>
    <row r="569" spans="1:20" ht="14.1" customHeight="1" outlineLevel="3" x14ac:dyDescent="0.2">
      <c r="A569" t="str">
        <f t="shared" si="50"/>
        <v/>
      </c>
      <c r="E569" s="1"/>
      <c r="F569" s="1"/>
      <c r="G569" s="2"/>
      <c r="I569" s="2"/>
      <c r="P569" t="str">
        <f t="shared" si="55"/>
        <v/>
      </c>
      <c r="Q569" t="str">
        <f t="shared" si="52"/>
        <v/>
      </c>
      <c r="R569" t="str">
        <f t="shared" si="53"/>
        <v/>
      </c>
      <c r="T569">
        <f t="shared" si="54"/>
        <v>2985</v>
      </c>
    </row>
    <row r="570" spans="1:20" ht="14.1" customHeight="1" outlineLevel="3" x14ac:dyDescent="0.2">
      <c r="A570" t="str">
        <f t="shared" si="50"/>
        <v/>
      </c>
      <c r="E570" s="1"/>
      <c r="F570" s="1"/>
      <c r="G570" s="2"/>
      <c r="I570" s="2"/>
      <c r="P570" t="str">
        <f t="shared" ref="P570:P593" si="64">IF(OR(K570="",K570=0),"",D570&amp;N570&amp;K570&amp;M570&amp;F570&amp;G570)</f>
        <v/>
      </c>
      <c r="Q570" t="str">
        <f t="shared" si="52"/>
        <v/>
      </c>
      <c r="R570" t="str">
        <f t="shared" si="53"/>
        <v/>
      </c>
      <c r="T570">
        <f t="shared" si="54"/>
        <v>2985</v>
      </c>
    </row>
    <row r="571" spans="1:20" ht="14.1" customHeight="1" outlineLevel="3" x14ac:dyDescent="0.2">
      <c r="A571" t="str">
        <f t="shared" si="50"/>
        <v/>
      </c>
      <c r="E571" s="1"/>
      <c r="F571" s="1"/>
      <c r="G571" s="2"/>
      <c r="I571" s="2"/>
      <c r="P571" t="str">
        <f t="shared" si="64"/>
        <v/>
      </c>
      <c r="Q571" t="str">
        <f t="shared" si="52"/>
        <v/>
      </c>
      <c r="R571" t="str">
        <f t="shared" si="53"/>
        <v/>
      </c>
      <c r="T571">
        <f t="shared" si="54"/>
        <v>2985</v>
      </c>
    </row>
    <row r="572" spans="1:20" ht="14.1" customHeight="1" outlineLevel="3" x14ac:dyDescent="0.2">
      <c r="A572" t="str">
        <f t="shared" si="50"/>
        <v/>
      </c>
      <c r="E572" s="1"/>
      <c r="F572" s="1"/>
      <c r="G572" s="2"/>
      <c r="I572" s="2"/>
      <c r="P572" t="str">
        <f t="shared" si="64"/>
        <v/>
      </c>
      <c r="Q572" t="str">
        <f t="shared" si="52"/>
        <v/>
      </c>
      <c r="R572" t="str">
        <f t="shared" si="53"/>
        <v/>
      </c>
      <c r="T572">
        <f t="shared" si="54"/>
        <v>2985</v>
      </c>
    </row>
    <row r="573" spans="1:20" ht="14.1" customHeight="1" outlineLevel="3" x14ac:dyDescent="0.2">
      <c r="A573" t="str">
        <f t="shared" si="50"/>
        <v/>
      </c>
      <c r="E573" s="1"/>
      <c r="F573" s="1"/>
      <c r="G573" s="2"/>
      <c r="I573" s="2"/>
      <c r="P573" t="str">
        <f t="shared" si="64"/>
        <v/>
      </c>
      <c r="Q573" t="str">
        <f t="shared" si="52"/>
        <v/>
      </c>
      <c r="R573" t="str">
        <f t="shared" si="53"/>
        <v/>
      </c>
      <c r="T573">
        <f t="shared" si="54"/>
        <v>2985</v>
      </c>
    </row>
    <row r="574" spans="1:20" ht="14.1" customHeight="1" outlineLevel="3" x14ac:dyDescent="0.2">
      <c r="A574" t="str">
        <f t="shared" si="50"/>
        <v/>
      </c>
      <c r="E574" s="1"/>
      <c r="F574" s="1"/>
      <c r="G574" s="2"/>
      <c r="I574" s="2"/>
      <c r="P574" t="str">
        <f t="shared" si="64"/>
        <v/>
      </c>
      <c r="Q574" t="str">
        <f t="shared" si="52"/>
        <v/>
      </c>
      <c r="R574" t="str">
        <f t="shared" si="53"/>
        <v/>
      </c>
      <c r="T574">
        <f t="shared" si="54"/>
        <v>2985</v>
      </c>
    </row>
    <row r="575" spans="1:20" ht="14.1" customHeight="1" outlineLevel="3" x14ac:dyDescent="0.2">
      <c r="A575" t="str">
        <f t="shared" si="50"/>
        <v/>
      </c>
      <c r="E575" s="1"/>
      <c r="F575" s="1"/>
      <c r="G575" s="2"/>
      <c r="I575" s="2"/>
      <c r="P575" t="str">
        <f t="shared" si="64"/>
        <v/>
      </c>
      <c r="Q575" t="str">
        <f t="shared" si="52"/>
        <v/>
      </c>
      <c r="R575" t="str">
        <f t="shared" si="53"/>
        <v/>
      </c>
      <c r="T575">
        <f t="shared" si="54"/>
        <v>2985</v>
      </c>
    </row>
    <row r="576" spans="1:20" ht="14.1" customHeight="1" outlineLevel="3" x14ac:dyDescent="0.2">
      <c r="A576" t="str">
        <f t="shared" si="50"/>
        <v/>
      </c>
      <c r="E576" s="1"/>
      <c r="F576" s="1"/>
      <c r="G576" s="2"/>
      <c r="I576" s="2"/>
      <c r="P576" t="str">
        <f t="shared" si="64"/>
        <v/>
      </c>
      <c r="Q576" t="str">
        <f t="shared" si="52"/>
        <v/>
      </c>
      <c r="R576" t="str">
        <f t="shared" si="53"/>
        <v/>
      </c>
      <c r="T576">
        <f t="shared" si="54"/>
        <v>2985</v>
      </c>
    </row>
    <row r="577" spans="1:20" ht="14.1" customHeight="1" outlineLevel="3" x14ac:dyDescent="0.2">
      <c r="A577" t="str">
        <f t="shared" si="50"/>
        <v/>
      </c>
      <c r="E577" s="1"/>
      <c r="F577" s="1"/>
      <c r="G577" s="2"/>
      <c r="I577" s="2"/>
      <c r="P577" t="str">
        <f t="shared" si="64"/>
        <v/>
      </c>
      <c r="Q577" t="str">
        <f t="shared" si="52"/>
        <v/>
      </c>
      <c r="R577" t="str">
        <f t="shared" si="53"/>
        <v/>
      </c>
      <c r="T577">
        <f t="shared" si="54"/>
        <v>2985</v>
      </c>
    </row>
    <row r="578" spans="1:20" ht="14.1" customHeight="1" outlineLevel="3" x14ac:dyDescent="0.2">
      <c r="A578" t="str">
        <f t="shared" si="50"/>
        <v/>
      </c>
      <c r="E578" s="1"/>
      <c r="F578" s="1"/>
      <c r="G578" s="2"/>
      <c r="I578" s="2"/>
      <c r="P578" t="str">
        <f t="shared" si="64"/>
        <v/>
      </c>
      <c r="Q578" t="str">
        <f t="shared" si="52"/>
        <v/>
      </c>
      <c r="R578" t="str">
        <f t="shared" si="53"/>
        <v/>
      </c>
      <c r="T578">
        <f t="shared" si="54"/>
        <v>2985</v>
      </c>
    </row>
    <row r="579" spans="1:20" ht="14.1" customHeight="1" outlineLevel="3" x14ac:dyDescent="0.2">
      <c r="A579" t="str">
        <f t="shared" ref="A579:A642" si="65">IFERROR(IF(OR(K579="",I579=0),"",D579&amp;K579&amp;I579),"")</f>
        <v/>
      </c>
      <c r="E579" s="1"/>
      <c r="F579" s="1"/>
      <c r="G579" s="2"/>
      <c r="I579" s="2"/>
      <c r="P579" t="str">
        <f t="shared" si="64"/>
        <v/>
      </c>
      <c r="Q579" t="str">
        <f t="shared" ref="Q579:Q642" si="66">IF(P579="","",COUNTIF($P$2:$P$1448,$P579))</f>
        <v/>
      </c>
      <c r="R579" t="str">
        <f t="shared" ref="R579:R642" si="67">G579&amp;K579&amp;N579</f>
        <v/>
      </c>
      <c r="T579">
        <f t="shared" ref="T579:T642" si="68">COUNTIF($R$2:$R$2986,$R579)</f>
        <v>2985</v>
      </c>
    </row>
    <row r="580" spans="1:20" ht="14.1" customHeight="1" outlineLevel="3" x14ac:dyDescent="0.2">
      <c r="A580" t="str">
        <f t="shared" si="65"/>
        <v/>
      </c>
      <c r="E580" s="1"/>
      <c r="F580" s="1"/>
      <c r="G580" s="2"/>
      <c r="I580" s="2"/>
      <c r="P580" t="str">
        <f t="shared" si="64"/>
        <v/>
      </c>
      <c r="Q580" t="str">
        <f t="shared" si="66"/>
        <v/>
      </c>
      <c r="R580" t="str">
        <f t="shared" si="67"/>
        <v/>
      </c>
      <c r="T580">
        <f t="shared" si="68"/>
        <v>2985</v>
      </c>
    </row>
    <row r="581" spans="1:20" ht="14.1" customHeight="1" outlineLevel="3" x14ac:dyDescent="0.2">
      <c r="A581" t="str">
        <f t="shared" si="65"/>
        <v/>
      </c>
      <c r="E581" s="1"/>
      <c r="F581" s="1"/>
      <c r="G581" s="2"/>
      <c r="I581" s="2"/>
      <c r="P581" t="str">
        <f t="shared" si="64"/>
        <v/>
      </c>
      <c r="Q581" t="str">
        <f t="shared" si="66"/>
        <v/>
      </c>
      <c r="R581" t="str">
        <f t="shared" si="67"/>
        <v/>
      </c>
      <c r="T581">
        <f t="shared" si="68"/>
        <v>2985</v>
      </c>
    </row>
    <row r="582" spans="1:20" ht="14.1" customHeight="1" outlineLevel="3" x14ac:dyDescent="0.2">
      <c r="A582" t="str">
        <f t="shared" si="65"/>
        <v/>
      </c>
      <c r="E582" s="1"/>
      <c r="F582" s="1"/>
      <c r="G582" s="2"/>
      <c r="I582" s="2"/>
      <c r="P582" t="str">
        <f t="shared" si="64"/>
        <v/>
      </c>
      <c r="Q582" t="str">
        <f t="shared" si="66"/>
        <v/>
      </c>
      <c r="R582" t="str">
        <f t="shared" si="67"/>
        <v/>
      </c>
      <c r="T582">
        <f t="shared" si="68"/>
        <v>2985</v>
      </c>
    </row>
    <row r="583" spans="1:20" ht="14.1" customHeight="1" outlineLevel="3" x14ac:dyDescent="0.2">
      <c r="A583" t="str">
        <f t="shared" si="65"/>
        <v/>
      </c>
      <c r="E583" s="1"/>
      <c r="F583" s="1"/>
      <c r="G583" s="2"/>
      <c r="I583" s="2"/>
      <c r="P583" t="str">
        <f t="shared" si="64"/>
        <v/>
      </c>
      <c r="Q583" t="str">
        <f t="shared" si="66"/>
        <v/>
      </c>
      <c r="R583" t="str">
        <f t="shared" si="67"/>
        <v/>
      </c>
      <c r="T583">
        <f t="shared" si="68"/>
        <v>2985</v>
      </c>
    </row>
    <row r="584" spans="1:20" ht="14.1" customHeight="1" outlineLevel="3" x14ac:dyDescent="0.2">
      <c r="A584" t="str">
        <f t="shared" si="65"/>
        <v/>
      </c>
      <c r="E584" s="1"/>
      <c r="F584" s="1"/>
      <c r="G584" s="2"/>
      <c r="I584" s="2"/>
      <c r="P584" t="str">
        <f t="shared" si="64"/>
        <v/>
      </c>
      <c r="Q584" t="str">
        <f t="shared" si="66"/>
        <v/>
      </c>
      <c r="R584" t="str">
        <f t="shared" si="67"/>
        <v/>
      </c>
      <c r="T584">
        <f t="shared" si="68"/>
        <v>2985</v>
      </c>
    </row>
    <row r="585" spans="1:20" ht="14.1" customHeight="1" outlineLevel="3" x14ac:dyDescent="0.2">
      <c r="A585" t="str">
        <f t="shared" si="65"/>
        <v/>
      </c>
      <c r="E585" s="1"/>
      <c r="F585" s="1"/>
      <c r="G585" s="2"/>
      <c r="I585" s="2"/>
      <c r="P585" t="str">
        <f t="shared" si="64"/>
        <v/>
      </c>
      <c r="Q585" t="str">
        <f t="shared" si="66"/>
        <v/>
      </c>
      <c r="R585" t="str">
        <f t="shared" si="67"/>
        <v/>
      </c>
      <c r="T585">
        <f t="shared" si="68"/>
        <v>2985</v>
      </c>
    </row>
    <row r="586" spans="1:20" ht="14.1" customHeight="1" outlineLevel="3" x14ac:dyDescent="0.2">
      <c r="A586" t="str">
        <f t="shared" si="65"/>
        <v/>
      </c>
      <c r="E586" s="1"/>
      <c r="F586" s="1"/>
      <c r="G586" s="2"/>
      <c r="I586" s="2"/>
      <c r="P586" t="str">
        <f t="shared" si="64"/>
        <v/>
      </c>
      <c r="Q586" t="str">
        <f t="shared" si="66"/>
        <v/>
      </c>
      <c r="R586" t="str">
        <f t="shared" si="67"/>
        <v/>
      </c>
      <c r="T586">
        <f t="shared" si="68"/>
        <v>2985</v>
      </c>
    </row>
    <row r="587" spans="1:20" ht="14.1" customHeight="1" outlineLevel="3" x14ac:dyDescent="0.2">
      <c r="A587" t="str">
        <f t="shared" si="65"/>
        <v/>
      </c>
      <c r="E587" s="1"/>
      <c r="F587" s="1"/>
      <c r="G587" s="2"/>
      <c r="I587" s="2"/>
      <c r="P587" t="str">
        <f t="shared" si="64"/>
        <v/>
      </c>
      <c r="Q587" t="str">
        <f t="shared" si="66"/>
        <v/>
      </c>
      <c r="R587" t="str">
        <f t="shared" si="67"/>
        <v/>
      </c>
      <c r="T587">
        <f t="shared" si="68"/>
        <v>2985</v>
      </c>
    </row>
    <row r="588" spans="1:20" ht="14.1" customHeight="1" outlineLevel="3" x14ac:dyDescent="0.2">
      <c r="A588" t="str">
        <f t="shared" si="65"/>
        <v/>
      </c>
      <c r="E588" s="1"/>
      <c r="F588" s="1"/>
      <c r="G588" s="2"/>
      <c r="I588" s="2"/>
      <c r="P588" t="str">
        <f t="shared" si="64"/>
        <v/>
      </c>
      <c r="Q588" t="str">
        <f t="shared" si="66"/>
        <v/>
      </c>
      <c r="R588" t="str">
        <f t="shared" si="67"/>
        <v/>
      </c>
      <c r="T588">
        <f t="shared" si="68"/>
        <v>2985</v>
      </c>
    </row>
    <row r="589" spans="1:20" ht="14.1" customHeight="1" outlineLevel="3" x14ac:dyDescent="0.2">
      <c r="A589" t="str">
        <f t="shared" si="65"/>
        <v/>
      </c>
      <c r="E589" s="1"/>
      <c r="F589" s="1"/>
      <c r="G589" s="2"/>
      <c r="I589" s="2"/>
      <c r="P589" t="str">
        <f t="shared" si="64"/>
        <v/>
      </c>
      <c r="Q589" t="str">
        <f t="shared" si="66"/>
        <v/>
      </c>
      <c r="R589" t="str">
        <f t="shared" si="67"/>
        <v/>
      </c>
      <c r="T589">
        <f t="shared" si="68"/>
        <v>2985</v>
      </c>
    </row>
    <row r="590" spans="1:20" ht="14.1" customHeight="1" outlineLevel="3" x14ac:dyDescent="0.2">
      <c r="A590" t="str">
        <f t="shared" si="65"/>
        <v/>
      </c>
      <c r="E590" s="1"/>
      <c r="F590" s="1"/>
      <c r="G590" s="2"/>
      <c r="I590" s="2"/>
      <c r="P590" t="str">
        <f t="shared" si="64"/>
        <v/>
      </c>
      <c r="Q590" t="str">
        <f t="shared" si="66"/>
        <v/>
      </c>
      <c r="R590" t="str">
        <f t="shared" si="67"/>
        <v/>
      </c>
      <c r="T590">
        <f t="shared" si="68"/>
        <v>2985</v>
      </c>
    </row>
    <row r="591" spans="1:20" ht="14.1" customHeight="1" outlineLevel="3" x14ac:dyDescent="0.2">
      <c r="A591" t="str">
        <f t="shared" si="65"/>
        <v/>
      </c>
      <c r="E591" s="1"/>
      <c r="F591" s="1"/>
      <c r="G591" s="2"/>
      <c r="I591" s="2"/>
      <c r="P591" t="str">
        <f t="shared" si="64"/>
        <v/>
      </c>
      <c r="Q591" t="str">
        <f t="shared" si="66"/>
        <v/>
      </c>
      <c r="R591" t="str">
        <f t="shared" si="67"/>
        <v/>
      </c>
      <c r="T591">
        <f t="shared" si="68"/>
        <v>2985</v>
      </c>
    </row>
    <row r="592" spans="1:20" ht="14.1" customHeight="1" outlineLevel="3" x14ac:dyDescent="0.2">
      <c r="A592" t="str">
        <f t="shared" si="65"/>
        <v/>
      </c>
      <c r="E592" s="1"/>
      <c r="F592" s="1"/>
      <c r="G592" s="2"/>
      <c r="I592" s="2"/>
      <c r="P592" t="str">
        <f t="shared" si="64"/>
        <v/>
      </c>
      <c r="Q592" t="str">
        <f t="shared" si="66"/>
        <v/>
      </c>
      <c r="R592" t="str">
        <f t="shared" si="67"/>
        <v/>
      </c>
      <c r="T592">
        <f t="shared" si="68"/>
        <v>2985</v>
      </c>
    </row>
    <row r="593" spans="1:20" ht="14.1" customHeight="1" outlineLevel="3" x14ac:dyDescent="0.2">
      <c r="A593" t="str">
        <f t="shared" si="65"/>
        <v/>
      </c>
      <c r="E593" s="1"/>
      <c r="F593" s="1"/>
      <c r="G593" s="2"/>
      <c r="I593" s="2"/>
      <c r="P593" t="str">
        <f t="shared" si="64"/>
        <v/>
      </c>
      <c r="Q593" t="str">
        <f t="shared" si="66"/>
        <v/>
      </c>
      <c r="R593" t="str">
        <f t="shared" si="67"/>
        <v/>
      </c>
      <c r="T593">
        <f t="shared" si="68"/>
        <v>2985</v>
      </c>
    </row>
    <row r="594" spans="1:20" ht="14.1" customHeight="1" outlineLevel="3" x14ac:dyDescent="0.2">
      <c r="A594" t="str">
        <f t="shared" si="65"/>
        <v/>
      </c>
      <c r="E594" s="1"/>
      <c r="F594" s="1"/>
      <c r="G594" s="2"/>
      <c r="I594" s="2"/>
      <c r="P594" t="str">
        <f t="shared" ref="P594:P642" si="69">IF(OR(K594="",K594=0),"",D594&amp;N594&amp;K594&amp;M594&amp;F594)</f>
        <v/>
      </c>
      <c r="Q594" t="str">
        <f t="shared" si="66"/>
        <v/>
      </c>
      <c r="R594" t="str">
        <f t="shared" si="67"/>
        <v/>
      </c>
      <c r="T594">
        <f t="shared" si="68"/>
        <v>2985</v>
      </c>
    </row>
    <row r="595" spans="1:20" ht="14.1" customHeight="1" outlineLevel="3" x14ac:dyDescent="0.2">
      <c r="A595" t="str">
        <f t="shared" si="65"/>
        <v/>
      </c>
      <c r="E595" s="1"/>
      <c r="F595" s="1"/>
      <c r="G595" s="2"/>
      <c r="I595" s="2"/>
      <c r="P595" t="str">
        <f t="shared" si="69"/>
        <v/>
      </c>
      <c r="Q595" t="str">
        <f t="shared" si="66"/>
        <v/>
      </c>
      <c r="R595" t="str">
        <f t="shared" si="67"/>
        <v/>
      </c>
      <c r="T595">
        <f t="shared" si="68"/>
        <v>2985</v>
      </c>
    </row>
    <row r="596" spans="1:20" ht="14.1" customHeight="1" outlineLevel="3" x14ac:dyDescent="0.2">
      <c r="A596" t="str">
        <f t="shared" si="65"/>
        <v/>
      </c>
      <c r="E596" s="1"/>
      <c r="F596" s="1"/>
      <c r="G596" s="2"/>
      <c r="I596" s="2"/>
      <c r="P596" t="str">
        <f t="shared" si="69"/>
        <v/>
      </c>
      <c r="Q596" t="str">
        <f t="shared" si="66"/>
        <v/>
      </c>
      <c r="R596" t="str">
        <f t="shared" si="67"/>
        <v/>
      </c>
      <c r="T596">
        <f t="shared" si="68"/>
        <v>2985</v>
      </c>
    </row>
    <row r="597" spans="1:20" ht="14.1" customHeight="1" outlineLevel="3" x14ac:dyDescent="0.2">
      <c r="A597" t="str">
        <f t="shared" si="65"/>
        <v/>
      </c>
      <c r="E597" s="1"/>
      <c r="F597" s="1"/>
      <c r="G597" s="2"/>
      <c r="I597" s="2"/>
      <c r="P597" t="str">
        <f t="shared" si="69"/>
        <v/>
      </c>
      <c r="Q597" t="str">
        <f t="shared" si="66"/>
        <v/>
      </c>
      <c r="R597" t="str">
        <f t="shared" si="67"/>
        <v/>
      </c>
      <c r="T597">
        <f t="shared" si="68"/>
        <v>2985</v>
      </c>
    </row>
    <row r="598" spans="1:20" ht="14.1" customHeight="1" outlineLevel="3" x14ac:dyDescent="0.2">
      <c r="A598" t="str">
        <f t="shared" si="65"/>
        <v/>
      </c>
      <c r="E598" s="1"/>
      <c r="F598" s="1"/>
      <c r="G598" s="2"/>
      <c r="I598" s="2"/>
      <c r="P598" t="str">
        <f t="shared" si="69"/>
        <v/>
      </c>
      <c r="Q598" t="str">
        <f t="shared" si="66"/>
        <v/>
      </c>
      <c r="R598" t="str">
        <f t="shared" si="67"/>
        <v/>
      </c>
      <c r="T598">
        <f t="shared" si="68"/>
        <v>2985</v>
      </c>
    </row>
    <row r="599" spans="1:20" ht="14.1" customHeight="1" outlineLevel="3" x14ac:dyDescent="0.2">
      <c r="A599" t="str">
        <f t="shared" si="65"/>
        <v/>
      </c>
      <c r="E599" s="1"/>
      <c r="F599" s="1"/>
      <c r="G599" s="2"/>
      <c r="I599" s="2"/>
      <c r="P599" t="str">
        <f t="shared" si="69"/>
        <v/>
      </c>
      <c r="Q599" t="str">
        <f t="shared" si="66"/>
        <v/>
      </c>
      <c r="R599" t="str">
        <f t="shared" si="67"/>
        <v/>
      </c>
      <c r="T599">
        <f t="shared" si="68"/>
        <v>2985</v>
      </c>
    </row>
    <row r="600" spans="1:20" ht="14.1" customHeight="1" outlineLevel="3" x14ac:dyDescent="0.2">
      <c r="A600" t="str">
        <f t="shared" si="65"/>
        <v/>
      </c>
      <c r="E600" s="1"/>
      <c r="F600" s="1"/>
      <c r="G600" s="2"/>
      <c r="I600" s="2"/>
      <c r="P600" t="str">
        <f t="shared" si="69"/>
        <v/>
      </c>
      <c r="Q600" t="str">
        <f t="shared" si="66"/>
        <v/>
      </c>
      <c r="R600" t="str">
        <f t="shared" si="67"/>
        <v/>
      </c>
      <c r="T600">
        <f t="shared" si="68"/>
        <v>2985</v>
      </c>
    </row>
    <row r="601" spans="1:20" ht="14.1" customHeight="1" outlineLevel="3" x14ac:dyDescent="0.2">
      <c r="A601" t="str">
        <f t="shared" si="65"/>
        <v/>
      </c>
      <c r="E601" s="1"/>
      <c r="F601" s="1"/>
      <c r="G601" s="2"/>
      <c r="I601" s="2"/>
      <c r="P601" t="str">
        <f t="shared" si="69"/>
        <v/>
      </c>
      <c r="Q601" t="str">
        <f t="shared" si="66"/>
        <v/>
      </c>
      <c r="R601" t="str">
        <f t="shared" si="67"/>
        <v/>
      </c>
      <c r="T601">
        <f t="shared" si="68"/>
        <v>2985</v>
      </c>
    </row>
    <row r="602" spans="1:20" ht="14.1" customHeight="1" outlineLevel="3" x14ac:dyDescent="0.2">
      <c r="A602" t="str">
        <f t="shared" si="65"/>
        <v/>
      </c>
      <c r="E602" s="1"/>
      <c r="F602" s="1"/>
      <c r="G602" s="2"/>
      <c r="I602" s="2"/>
      <c r="P602" t="str">
        <f t="shared" si="69"/>
        <v/>
      </c>
      <c r="Q602" t="str">
        <f t="shared" si="66"/>
        <v/>
      </c>
      <c r="R602" t="str">
        <f t="shared" si="67"/>
        <v/>
      </c>
      <c r="T602">
        <f t="shared" si="68"/>
        <v>2985</v>
      </c>
    </row>
    <row r="603" spans="1:20" ht="14.1" customHeight="1" outlineLevel="3" x14ac:dyDescent="0.2">
      <c r="A603" t="str">
        <f t="shared" si="65"/>
        <v/>
      </c>
      <c r="E603" s="1"/>
      <c r="F603" s="1"/>
      <c r="G603" s="2"/>
      <c r="I603" s="2"/>
      <c r="P603" t="str">
        <f t="shared" si="69"/>
        <v/>
      </c>
      <c r="Q603" t="str">
        <f t="shared" si="66"/>
        <v/>
      </c>
      <c r="R603" t="str">
        <f t="shared" si="67"/>
        <v/>
      </c>
      <c r="T603">
        <f t="shared" si="68"/>
        <v>2985</v>
      </c>
    </row>
    <row r="604" spans="1:20" ht="14.1" customHeight="1" outlineLevel="3" x14ac:dyDescent="0.2">
      <c r="A604" t="str">
        <f t="shared" si="65"/>
        <v/>
      </c>
      <c r="E604" s="1"/>
      <c r="F604" s="1"/>
      <c r="G604" s="2"/>
      <c r="I604" s="2"/>
      <c r="P604" t="str">
        <f t="shared" si="69"/>
        <v/>
      </c>
      <c r="Q604" t="str">
        <f t="shared" si="66"/>
        <v/>
      </c>
      <c r="R604" t="str">
        <f t="shared" si="67"/>
        <v/>
      </c>
      <c r="T604">
        <f t="shared" si="68"/>
        <v>2985</v>
      </c>
    </row>
    <row r="605" spans="1:20" ht="14.1" customHeight="1" outlineLevel="3" x14ac:dyDescent="0.2">
      <c r="A605" t="str">
        <f t="shared" si="65"/>
        <v/>
      </c>
      <c r="E605" s="1"/>
      <c r="F605" s="1"/>
      <c r="G605" s="2"/>
      <c r="I605" s="2"/>
      <c r="P605" t="str">
        <f t="shared" si="69"/>
        <v/>
      </c>
      <c r="Q605" t="str">
        <f t="shared" si="66"/>
        <v/>
      </c>
      <c r="R605" t="str">
        <f t="shared" si="67"/>
        <v/>
      </c>
      <c r="T605">
        <f t="shared" si="68"/>
        <v>2985</v>
      </c>
    </row>
    <row r="606" spans="1:20" ht="14.1" customHeight="1" outlineLevel="3" x14ac:dyDescent="0.2">
      <c r="A606" t="str">
        <f t="shared" si="65"/>
        <v/>
      </c>
      <c r="E606" s="1"/>
      <c r="F606" s="1"/>
      <c r="G606" s="2"/>
      <c r="I606" s="2"/>
      <c r="P606" t="str">
        <f t="shared" si="69"/>
        <v/>
      </c>
      <c r="Q606" t="str">
        <f t="shared" si="66"/>
        <v/>
      </c>
      <c r="R606" t="str">
        <f t="shared" si="67"/>
        <v/>
      </c>
      <c r="T606">
        <f t="shared" si="68"/>
        <v>2985</v>
      </c>
    </row>
    <row r="607" spans="1:20" ht="14.1" customHeight="1" outlineLevel="3" x14ac:dyDescent="0.2">
      <c r="A607" t="str">
        <f t="shared" si="65"/>
        <v/>
      </c>
      <c r="E607" s="1"/>
      <c r="F607" s="1"/>
      <c r="G607" s="2"/>
      <c r="I607" s="2"/>
      <c r="P607" t="str">
        <f t="shared" ref="P607:P608" si="70">IF(OR(K607="",K607=0),"",D607&amp;N607&amp;K607&amp;M607&amp;F607&amp;G607)</f>
        <v/>
      </c>
      <c r="Q607" t="str">
        <f t="shared" si="66"/>
        <v/>
      </c>
      <c r="R607" t="str">
        <f t="shared" si="67"/>
        <v/>
      </c>
      <c r="T607">
        <f t="shared" si="68"/>
        <v>2985</v>
      </c>
    </row>
    <row r="608" spans="1:20" ht="14.1" customHeight="1" outlineLevel="3" x14ac:dyDescent="0.2">
      <c r="A608" t="str">
        <f t="shared" si="65"/>
        <v/>
      </c>
      <c r="E608" s="1"/>
      <c r="F608" s="1"/>
      <c r="G608" s="2"/>
      <c r="I608" s="2"/>
      <c r="P608" t="str">
        <f t="shared" si="70"/>
        <v/>
      </c>
      <c r="Q608" t="str">
        <f t="shared" si="66"/>
        <v/>
      </c>
      <c r="R608" t="str">
        <f t="shared" si="67"/>
        <v/>
      </c>
      <c r="T608">
        <f t="shared" si="68"/>
        <v>2985</v>
      </c>
    </row>
    <row r="609" spans="1:20" ht="14.1" customHeight="1" outlineLevel="3" x14ac:dyDescent="0.2">
      <c r="A609" t="str">
        <f t="shared" si="65"/>
        <v/>
      </c>
      <c r="E609" s="1"/>
      <c r="F609" s="1"/>
      <c r="G609" s="2"/>
      <c r="I609" s="2"/>
      <c r="P609" t="str">
        <f t="shared" si="69"/>
        <v/>
      </c>
      <c r="Q609" t="str">
        <f t="shared" si="66"/>
        <v/>
      </c>
      <c r="R609" t="str">
        <f t="shared" si="67"/>
        <v/>
      </c>
      <c r="T609">
        <f t="shared" si="68"/>
        <v>2985</v>
      </c>
    </row>
    <row r="610" spans="1:20" ht="14.1" customHeight="1" outlineLevel="3" x14ac:dyDescent="0.2">
      <c r="A610" t="str">
        <f t="shared" si="65"/>
        <v/>
      </c>
      <c r="E610" s="1"/>
      <c r="F610" s="1"/>
      <c r="G610" s="2"/>
      <c r="I610" s="2"/>
      <c r="P610" t="str">
        <f t="shared" si="69"/>
        <v/>
      </c>
      <c r="Q610" t="str">
        <f t="shared" si="66"/>
        <v/>
      </c>
      <c r="R610" t="str">
        <f t="shared" si="67"/>
        <v/>
      </c>
      <c r="T610">
        <f t="shared" si="68"/>
        <v>2985</v>
      </c>
    </row>
    <row r="611" spans="1:20" ht="14.1" customHeight="1" outlineLevel="3" x14ac:dyDescent="0.2">
      <c r="A611" t="str">
        <f t="shared" si="65"/>
        <v/>
      </c>
      <c r="E611" s="1"/>
      <c r="F611" s="1"/>
      <c r="G611" s="2"/>
      <c r="I611" s="2"/>
      <c r="P611" t="str">
        <f t="shared" si="69"/>
        <v/>
      </c>
      <c r="Q611" t="str">
        <f t="shared" si="66"/>
        <v/>
      </c>
      <c r="R611" t="str">
        <f t="shared" si="67"/>
        <v/>
      </c>
      <c r="T611">
        <f t="shared" si="68"/>
        <v>2985</v>
      </c>
    </row>
    <row r="612" spans="1:20" ht="14.1" customHeight="1" outlineLevel="3" x14ac:dyDescent="0.2">
      <c r="A612" t="str">
        <f t="shared" si="65"/>
        <v/>
      </c>
      <c r="E612" s="1"/>
      <c r="F612" s="1"/>
      <c r="G612" s="2"/>
      <c r="I612" s="2"/>
      <c r="P612" t="str">
        <f t="shared" si="69"/>
        <v/>
      </c>
      <c r="Q612" t="str">
        <f t="shared" si="66"/>
        <v/>
      </c>
      <c r="R612" t="str">
        <f t="shared" si="67"/>
        <v/>
      </c>
      <c r="T612">
        <f t="shared" si="68"/>
        <v>2985</v>
      </c>
    </row>
    <row r="613" spans="1:20" ht="14.1" customHeight="1" outlineLevel="3" x14ac:dyDescent="0.2">
      <c r="A613" t="str">
        <f t="shared" si="65"/>
        <v/>
      </c>
      <c r="E613" s="1"/>
      <c r="F613" s="1"/>
      <c r="G613" s="2"/>
      <c r="I613" s="2"/>
      <c r="P613" t="str">
        <f t="shared" si="69"/>
        <v/>
      </c>
      <c r="Q613" t="str">
        <f t="shared" si="66"/>
        <v/>
      </c>
      <c r="R613" t="str">
        <f t="shared" si="67"/>
        <v/>
      </c>
      <c r="T613">
        <f t="shared" si="68"/>
        <v>2985</v>
      </c>
    </row>
    <row r="614" spans="1:20" ht="14.1" customHeight="1" outlineLevel="3" x14ac:dyDescent="0.2">
      <c r="A614" t="str">
        <f t="shared" si="65"/>
        <v/>
      </c>
      <c r="E614" s="1"/>
      <c r="F614" s="1"/>
      <c r="G614" s="2"/>
      <c r="I614" s="2"/>
      <c r="P614" t="str">
        <f t="shared" si="69"/>
        <v/>
      </c>
      <c r="Q614" t="str">
        <f t="shared" si="66"/>
        <v/>
      </c>
      <c r="R614" t="str">
        <f t="shared" si="67"/>
        <v/>
      </c>
      <c r="T614">
        <f t="shared" si="68"/>
        <v>2985</v>
      </c>
    </row>
    <row r="615" spans="1:20" ht="14.1" customHeight="1" outlineLevel="3" x14ac:dyDescent="0.2">
      <c r="A615" t="str">
        <f t="shared" si="65"/>
        <v/>
      </c>
      <c r="E615" s="1"/>
      <c r="F615" s="1"/>
      <c r="G615" s="2"/>
      <c r="I615" s="2"/>
      <c r="P615" t="str">
        <f t="shared" si="69"/>
        <v/>
      </c>
      <c r="Q615" t="str">
        <f t="shared" si="66"/>
        <v/>
      </c>
      <c r="R615" t="str">
        <f t="shared" si="67"/>
        <v/>
      </c>
      <c r="T615">
        <f t="shared" si="68"/>
        <v>2985</v>
      </c>
    </row>
    <row r="616" spans="1:20" ht="14.1" customHeight="1" outlineLevel="3" x14ac:dyDescent="0.2">
      <c r="A616" t="str">
        <f t="shared" si="65"/>
        <v/>
      </c>
      <c r="E616" s="1"/>
      <c r="F616" s="1"/>
      <c r="G616" s="2"/>
      <c r="I616" s="2"/>
      <c r="P616" t="str">
        <f t="shared" si="69"/>
        <v/>
      </c>
      <c r="Q616" t="str">
        <f t="shared" si="66"/>
        <v/>
      </c>
      <c r="R616" t="str">
        <f t="shared" si="67"/>
        <v/>
      </c>
      <c r="T616">
        <f t="shared" si="68"/>
        <v>2985</v>
      </c>
    </row>
    <row r="617" spans="1:20" ht="14.1" customHeight="1" outlineLevel="3" x14ac:dyDescent="0.2">
      <c r="A617" t="str">
        <f t="shared" si="65"/>
        <v/>
      </c>
      <c r="E617" s="1"/>
      <c r="F617" s="1"/>
      <c r="G617" s="2"/>
      <c r="I617" s="2"/>
      <c r="P617" t="str">
        <f t="shared" si="69"/>
        <v/>
      </c>
      <c r="Q617" t="str">
        <f t="shared" si="66"/>
        <v/>
      </c>
      <c r="R617" t="str">
        <f t="shared" si="67"/>
        <v/>
      </c>
      <c r="T617">
        <f t="shared" si="68"/>
        <v>2985</v>
      </c>
    </row>
    <row r="618" spans="1:20" ht="14.1" customHeight="1" outlineLevel="3" x14ac:dyDescent="0.2">
      <c r="A618" t="str">
        <f t="shared" si="65"/>
        <v/>
      </c>
      <c r="E618" s="1"/>
      <c r="F618" s="1"/>
      <c r="G618" s="2"/>
      <c r="I618" s="2"/>
      <c r="P618" t="str">
        <f t="shared" si="69"/>
        <v/>
      </c>
      <c r="Q618" t="str">
        <f t="shared" si="66"/>
        <v/>
      </c>
      <c r="R618" t="str">
        <f t="shared" si="67"/>
        <v/>
      </c>
      <c r="T618">
        <f t="shared" si="68"/>
        <v>2985</v>
      </c>
    </row>
    <row r="619" spans="1:20" ht="14.1" customHeight="1" outlineLevel="3" x14ac:dyDescent="0.2">
      <c r="A619" t="str">
        <f t="shared" si="65"/>
        <v/>
      </c>
      <c r="E619" s="1"/>
      <c r="F619" s="1"/>
      <c r="G619" s="2"/>
      <c r="I619" s="2"/>
      <c r="P619" t="str">
        <f t="shared" si="69"/>
        <v/>
      </c>
      <c r="Q619" t="str">
        <f t="shared" si="66"/>
        <v/>
      </c>
      <c r="R619" t="str">
        <f t="shared" si="67"/>
        <v/>
      </c>
      <c r="T619">
        <f t="shared" si="68"/>
        <v>2985</v>
      </c>
    </row>
    <row r="620" spans="1:20" ht="14.1" customHeight="1" outlineLevel="3" x14ac:dyDescent="0.2">
      <c r="A620" t="str">
        <f t="shared" si="65"/>
        <v/>
      </c>
      <c r="E620" s="1"/>
      <c r="F620" s="1"/>
      <c r="G620" s="2"/>
      <c r="I620" s="2"/>
      <c r="P620" t="str">
        <f t="shared" si="69"/>
        <v/>
      </c>
      <c r="Q620" t="str">
        <f t="shared" si="66"/>
        <v/>
      </c>
      <c r="R620" t="str">
        <f t="shared" si="67"/>
        <v/>
      </c>
      <c r="T620">
        <f t="shared" si="68"/>
        <v>2985</v>
      </c>
    </row>
    <row r="621" spans="1:20" ht="14.1" customHeight="1" outlineLevel="3" x14ac:dyDescent="0.2">
      <c r="A621" t="str">
        <f t="shared" si="65"/>
        <v/>
      </c>
      <c r="E621" s="1"/>
      <c r="F621" s="1"/>
      <c r="G621" s="2"/>
      <c r="I621" s="2"/>
      <c r="P621" t="str">
        <f t="shared" si="69"/>
        <v/>
      </c>
      <c r="Q621" t="str">
        <f t="shared" si="66"/>
        <v/>
      </c>
      <c r="R621" t="str">
        <f t="shared" si="67"/>
        <v/>
      </c>
      <c r="T621">
        <f t="shared" si="68"/>
        <v>2985</v>
      </c>
    </row>
    <row r="622" spans="1:20" ht="14.1" customHeight="1" outlineLevel="3" x14ac:dyDescent="0.2">
      <c r="A622" t="str">
        <f t="shared" si="65"/>
        <v/>
      </c>
      <c r="E622" s="1"/>
      <c r="F622" s="1"/>
      <c r="G622" s="2"/>
      <c r="I622" s="2"/>
      <c r="P622" t="str">
        <f t="shared" si="69"/>
        <v/>
      </c>
      <c r="Q622" t="str">
        <f t="shared" si="66"/>
        <v/>
      </c>
      <c r="R622" t="str">
        <f t="shared" si="67"/>
        <v/>
      </c>
      <c r="T622">
        <f t="shared" si="68"/>
        <v>2985</v>
      </c>
    </row>
    <row r="623" spans="1:20" ht="14.1" customHeight="1" outlineLevel="3" x14ac:dyDescent="0.2">
      <c r="A623" t="str">
        <f t="shared" si="65"/>
        <v/>
      </c>
      <c r="E623" s="1"/>
      <c r="F623" s="1"/>
      <c r="G623" s="2"/>
      <c r="I623" s="2"/>
      <c r="P623" t="str">
        <f t="shared" si="69"/>
        <v/>
      </c>
      <c r="Q623" t="str">
        <f t="shared" si="66"/>
        <v/>
      </c>
      <c r="R623" t="str">
        <f t="shared" si="67"/>
        <v/>
      </c>
      <c r="T623">
        <f t="shared" si="68"/>
        <v>2985</v>
      </c>
    </row>
    <row r="624" spans="1:20" ht="14.1" customHeight="1" outlineLevel="3" x14ac:dyDescent="0.2">
      <c r="A624" t="str">
        <f t="shared" si="65"/>
        <v/>
      </c>
      <c r="E624" s="1"/>
      <c r="F624" s="1"/>
      <c r="G624" s="2"/>
      <c r="I624" s="2"/>
      <c r="P624" t="str">
        <f t="shared" si="69"/>
        <v/>
      </c>
      <c r="Q624" t="str">
        <f t="shared" si="66"/>
        <v/>
      </c>
      <c r="R624" t="str">
        <f t="shared" si="67"/>
        <v/>
      </c>
      <c r="T624">
        <f t="shared" si="68"/>
        <v>2985</v>
      </c>
    </row>
    <row r="625" spans="1:20" ht="14.1" customHeight="1" outlineLevel="3" x14ac:dyDescent="0.2">
      <c r="A625" t="str">
        <f t="shared" si="65"/>
        <v/>
      </c>
      <c r="E625" s="1"/>
      <c r="F625" s="1"/>
      <c r="G625" s="2"/>
      <c r="I625" s="2"/>
      <c r="P625" t="str">
        <f t="shared" si="69"/>
        <v/>
      </c>
      <c r="Q625" t="str">
        <f t="shared" si="66"/>
        <v/>
      </c>
      <c r="R625" t="str">
        <f t="shared" si="67"/>
        <v/>
      </c>
      <c r="T625">
        <f t="shared" si="68"/>
        <v>2985</v>
      </c>
    </row>
    <row r="626" spans="1:20" ht="14.1" customHeight="1" outlineLevel="3" x14ac:dyDescent="0.2">
      <c r="A626" t="str">
        <f t="shared" si="65"/>
        <v/>
      </c>
      <c r="E626" s="1"/>
      <c r="F626" s="1"/>
      <c r="G626" s="2"/>
      <c r="I626" s="2"/>
      <c r="P626" t="str">
        <f t="shared" si="69"/>
        <v/>
      </c>
      <c r="Q626" t="str">
        <f t="shared" si="66"/>
        <v/>
      </c>
      <c r="R626" t="str">
        <f t="shared" si="67"/>
        <v/>
      </c>
      <c r="T626">
        <f t="shared" si="68"/>
        <v>2985</v>
      </c>
    </row>
    <row r="627" spans="1:20" ht="14.1" customHeight="1" outlineLevel="3" x14ac:dyDescent="0.2">
      <c r="A627" t="str">
        <f t="shared" si="65"/>
        <v/>
      </c>
      <c r="E627" s="1"/>
      <c r="F627" s="1"/>
      <c r="G627" s="2"/>
      <c r="I627" s="2"/>
      <c r="P627" t="str">
        <f t="shared" si="69"/>
        <v/>
      </c>
      <c r="Q627" t="str">
        <f t="shared" si="66"/>
        <v/>
      </c>
      <c r="R627" t="str">
        <f t="shared" si="67"/>
        <v/>
      </c>
      <c r="T627">
        <f t="shared" si="68"/>
        <v>2985</v>
      </c>
    </row>
    <row r="628" spans="1:20" ht="14.1" customHeight="1" outlineLevel="3" x14ac:dyDescent="0.2">
      <c r="A628" t="str">
        <f t="shared" si="65"/>
        <v/>
      </c>
      <c r="E628" s="1"/>
      <c r="F628" s="1"/>
      <c r="G628" s="2"/>
      <c r="I628" s="2"/>
      <c r="P628" t="str">
        <f t="shared" si="69"/>
        <v/>
      </c>
      <c r="Q628" t="str">
        <f t="shared" si="66"/>
        <v/>
      </c>
      <c r="R628" t="str">
        <f t="shared" si="67"/>
        <v/>
      </c>
      <c r="T628">
        <f t="shared" si="68"/>
        <v>2985</v>
      </c>
    </row>
    <row r="629" spans="1:20" ht="14.1" customHeight="1" outlineLevel="3" x14ac:dyDescent="0.2">
      <c r="A629" t="str">
        <f t="shared" si="65"/>
        <v/>
      </c>
      <c r="E629" s="1"/>
      <c r="F629" s="1"/>
      <c r="G629" s="2"/>
      <c r="I629" s="2"/>
      <c r="P629" t="str">
        <f t="shared" si="69"/>
        <v/>
      </c>
      <c r="Q629" t="str">
        <f t="shared" si="66"/>
        <v/>
      </c>
      <c r="R629" t="str">
        <f t="shared" si="67"/>
        <v/>
      </c>
      <c r="T629">
        <f t="shared" si="68"/>
        <v>2985</v>
      </c>
    </row>
    <row r="630" spans="1:20" ht="14.1" customHeight="1" outlineLevel="3" x14ac:dyDescent="0.2">
      <c r="A630" t="str">
        <f t="shared" si="65"/>
        <v/>
      </c>
      <c r="E630" s="1"/>
      <c r="F630" s="1"/>
      <c r="G630" s="2"/>
      <c r="I630" s="2"/>
      <c r="P630" t="str">
        <f t="shared" si="69"/>
        <v/>
      </c>
      <c r="Q630" t="str">
        <f t="shared" si="66"/>
        <v/>
      </c>
      <c r="R630" t="str">
        <f t="shared" si="67"/>
        <v/>
      </c>
      <c r="T630">
        <f t="shared" si="68"/>
        <v>2985</v>
      </c>
    </row>
    <row r="631" spans="1:20" ht="14.1" customHeight="1" outlineLevel="3" x14ac:dyDescent="0.2">
      <c r="A631" t="str">
        <f t="shared" si="65"/>
        <v/>
      </c>
      <c r="E631" s="1"/>
      <c r="F631" s="1"/>
      <c r="G631" s="2"/>
      <c r="I631" s="2"/>
      <c r="P631" t="str">
        <f t="shared" si="69"/>
        <v/>
      </c>
      <c r="Q631" t="str">
        <f t="shared" si="66"/>
        <v/>
      </c>
      <c r="R631" t="str">
        <f t="shared" si="67"/>
        <v/>
      </c>
      <c r="T631">
        <f t="shared" si="68"/>
        <v>2985</v>
      </c>
    </row>
    <row r="632" spans="1:20" ht="14.1" customHeight="1" outlineLevel="3" x14ac:dyDescent="0.2">
      <c r="A632" t="str">
        <f t="shared" si="65"/>
        <v/>
      </c>
      <c r="E632" s="1"/>
      <c r="F632" s="1"/>
      <c r="G632" s="2"/>
      <c r="I632" s="2"/>
      <c r="P632" t="str">
        <f t="shared" si="69"/>
        <v/>
      </c>
      <c r="Q632" t="str">
        <f t="shared" si="66"/>
        <v/>
      </c>
      <c r="R632" t="str">
        <f t="shared" si="67"/>
        <v/>
      </c>
      <c r="T632">
        <f t="shared" si="68"/>
        <v>2985</v>
      </c>
    </row>
    <row r="633" spans="1:20" ht="14.1" customHeight="1" outlineLevel="3" x14ac:dyDescent="0.2">
      <c r="A633" t="str">
        <f t="shared" si="65"/>
        <v/>
      </c>
      <c r="E633" s="1"/>
      <c r="F633" s="1"/>
      <c r="G633" s="2"/>
      <c r="I633" s="2"/>
      <c r="P633" t="str">
        <f t="shared" si="69"/>
        <v/>
      </c>
      <c r="Q633" t="str">
        <f t="shared" si="66"/>
        <v/>
      </c>
      <c r="R633" t="str">
        <f t="shared" si="67"/>
        <v/>
      </c>
      <c r="T633">
        <f t="shared" si="68"/>
        <v>2985</v>
      </c>
    </row>
    <row r="634" spans="1:20" ht="14.1" customHeight="1" outlineLevel="3" x14ac:dyDescent="0.2">
      <c r="A634" t="str">
        <f t="shared" si="65"/>
        <v/>
      </c>
      <c r="E634" s="1"/>
      <c r="F634" s="1"/>
      <c r="G634" s="2"/>
      <c r="I634" s="2"/>
      <c r="P634" t="str">
        <f t="shared" si="69"/>
        <v/>
      </c>
      <c r="Q634" t="str">
        <f t="shared" si="66"/>
        <v/>
      </c>
      <c r="R634" t="str">
        <f t="shared" si="67"/>
        <v/>
      </c>
      <c r="T634">
        <f t="shared" si="68"/>
        <v>2985</v>
      </c>
    </row>
    <row r="635" spans="1:20" ht="14.1" customHeight="1" outlineLevel="3" x14ac:dyDescent="0.2">
      <c r="A635" t="str">
        <f t="shared" si="65"/>
        <v/>
      </c>
      <c r="E635" s="1"/>
      <c r="F635" s="1"/>
      <c r="G635" s="2"/>
      <c r="I635" s="2"/>
      <c r="P635" t="str">
        <f t="shared" si="69"/>
        <v/>
      </c>
      <c r="Q635" t="str">
        <f t="shared" si="66"/>
        <v/>
      </c>
      <c r="R635" t="str">
        <f t="shared" si="67"/>
        <v/>
      </c>
      <c r="T635">
        <f t="shared" si="68"/>
        <v>2985</v>
      </c>
    </row>
    <row r="636" spans="1:20" ht="14.1" customHeight="1" outlineLevel="3" x14ac:dyDescent="0.2">
      <c r="A636" t="str">
        <f t="shared" si="65"/>
        <v/>
      </c>
      <c r="E636" s="1"/>
      <c r="F636" s="1"/>
      <c r="G636" s="2"/>
      <c r="I636" s="2"/>
      <c r="P636" t="str">
        <f t="shared" si="69"/>
        <v/>
      </c>
      <c r="Q636" t="str">
        <f t="shared" si="66"/>
        <v/>
      </c>
      <c r="R636" t="str">
        <f t="shared" si="67"/>
        <v/>
      </c>
      <c r="T636">
        <f t="shared" si="68"/>
        <v>2985</v>
      </c>
    </row>
    <row r="637" spans="1:20" ht="14.1" customHeight="1" outlineLevel="3" x14ac:dyDescent="0.2">
      <c r="A637" t="str">
        <f t="shared" si="65"/>
        <v/>
      </c>
      <c r="E637" s="1"/>
      <c r="F637" s="1"/>
      <c r="G637" s="2"/>
      <c r="I637" s="2"/>
      <c r="P637" t="str">
        <f t="shared" si="69"/>
        <v/>
      </c>
      <c r="Q637" t="str">
        <f t="shared" si="66"/>
        <v/>
      </c>
      <c r="R637" t="str">
        <f t="shared" si="67"/>
        <v/>
      </c>
      <c r="T637">
        <f t="shared" si="68"/>
        <v>2985</v>
      </c>
    </row>
    <row r="638" spans="1:20" ht="14.1" customHeight="1" outlineLevel="3" x14ac:dyDescent="0.2">
      <c r="A638" t="str">
        <f t="shared" si="65"/>
        <v/>
      </c>
      <c r="E638" s="1"/>
      <c r="F638" s="1"/>
      <c r="G638" s="2"/>
      <c r="I638" s="2"/>
      <c r="P638" t="str">
        <f t="shared" si="69"/>
        <v/>
      </c>
      <c r="Q638" t="str">
        <f t="shared" si="66"/>
        <v/>
      </c>
      <c r="R638" t="str">
        <f t="shared" si="67"/>
        <v/>
      </c>
      <c r="T638">
        <f t="shared" si="68"/>
        <v>2985</v>
      </c>
    </row>
    <row r="639" spans="1:20" ht="14.1" customHeight="1" outlineLevel="3" x14ac:dyDescent="0.2">
      <c r="A639" t="str">
        <f t="shared" si="65"/>
        <v/>
      </c>
      <c r="E639" s="1"/>
      <c r="F639" s="1"/>
      <c r="G639" s="2"/>
      <c r="I639" s="2"/>
      <c r="P639" t="str">
        <f t="shared" si="69"/>
        <v/>
      </c>
      <c r="Q639" t="str">
        <f t="shared" si="66"/>
        <v/>
      </c>
      <c r="R639" t="str">
        <f t="shared" si="67"/>
        <v/>
      </c>
      <c r="T639">
        <f t="shared" si="68"/>
        <v>2985</v>
      </c>
    </row>
    <row r="640" spans="1:20" ht="14.1" customHeight="1" outlineLevel="3" x14ac:dyDescent="0.2">
      <c r="A640" t="str">
        <f t="shared" si="65"/>
        <v/>
      </c>
      <c r="E640" s="1"/>
      <c r="F640" s="1"/>
      <c r="G640" s="2"/>
      <c r="I640" s="2"/>
      <c r="P640" t="str">
        <f t="shared" si="69"/>
        <v/>
      </c>
      <c r="Q640" t="str">
        <f t="shared" si="66"/>
        <v/>
      </c>
      <c r="R640" t="str">
        <f t="shared" si="67"/>
        <v/>
      </c>
      <c r="T640">
        <f t="shared" si="68"/>
        <v>2985</v>
      </c>
    </row>
    <row r="641" spans="1:20" ht="14.1" customHeight="1" outlineLevel="3" x14ac:dyDescent="0.2">
      <c r="A641" t="str">
        <f t="shared" si="65"/>
        <v/>
      </c>
      <c r="E641" s="1"/>
      <c r="F641" s="1"/>
      <c r="G641" s="2"/>
      <c r="I641" s="2"/>
      <c r="P641" t="str">
        <f t="shared" si="69"/>
        <v/>
      </c>
      <c r="Q641" t="str">
        <f t="shared" si="66"/>
        <v/>
      </c>
      <c r="R641" t="str">
        <f t="shared" si="67"/>
        <v/>
      </c>
      <c r="T641">
        <f t="shared" si="68"/>
        <v>2985</v>
      </c>
    </row>
    <row r="642" spans="1:20" ht="14.1" customHeight="1" outlineLevel="3" x14ac:dyDescent="0.2">
      <c r="A642" t="str">
        <f t="shared" si="65"/>
        <v/>
      </c>
      <c r="E642" s="1"/>
      <c r="F642" s="1"/>
      <c r="G642" s="2"/>
      <c r="I642" s="2"/>
      <c r="P642" t="str">
        <f t="shared" si="69"/>
        <v/>
      </c>
      <c r="Q642" t="str">
        <f t="shared" si="66"/>
        <v/>
      </c>
      <c r="R642" t="str">
        <f t="shared" si="67"/>
        <v/>
      </c>
      <c r="T642">
        <f t="shared" si="68"/>
        <v>2985</v>
      </c>
    </row>
    <row r="643" spans="1:20" ht="14.1" customHeight="1" outlineLevel="3" x14ac:dyDescent="0.2">
      <c r="A643" t="str">
        <f t="shared" ref="A643:A706" si="71">IFERROR(IF(OR(K643="",I643=0),"",D643&amp;K643&amp;I643),"")</f>
        <v/>
      </c>
      <c r="E643" s="1"/>
      <c r="F643" s="1"/>
      <c r="G643" s="2"/>
      <c r="I643" s="2"/>
      <c r="P643" t="str">
        <f t="shared" ref="P643:P706" si="72">IF(OR(K643="",K643=0),"",D643&amp;N643&amp;K643&amp;M643&amp;F643)</f>
        <v/>
      </c>
      <c r="Q643" t="str">
        <f t="shared" ref="Q643:Q706" si="73">IF(P643="","",COUNTIF($P$2:$P$1448,$P643))</f>
        <v/>
      </c>
      <c r="R643" t="str">
        <f t="shared" ref="R643:R706" si="74">G643&amp;K643&amp;N643</f>
        <v/>
      </c>
      <c r="T643">
        <f t="shared" ref="T643:T706" si="75">COUNTIF($R$2:$R$2986,$R643)</f>
        <v>2985</v>
      </c>
    </row>
    <row r="644" spans="1:20" ht="14.1" customHeight="1" outlineLevel="3" x14ac:dyDescent="0.2">
      <c r="A644" t="str">
        <f t="shared" si="71"/>
        <v/>
      </c>
      <c r="E644" s="1"/>
      <c r="F644" s="1"/>
      <c r="G644" s="2"/>
      <c r="I644" s="2"/>
      <c r="P644" t="str">
        <f t="shared" si="72"/>
        <v/>
      </c>
      <c r="Q644" t="str">
        <f t="shared" si="73"/>
        <v/>
      </c>
      <c r="R644" t="str">
        <f t="shared" si="74"/>
        <v/>
      </c>
      <c r="T644">
        <f t="shared" si="75"/>
        <v>2985</v>
      </c>
    </row>
    <row r="645" spans="1:20" ht="14.1" customHeight="1" outlineLevel="3" x14ac:dyDescent="0.2">
      <c r="A645" t="str">
        <f t="shared" si="71"/>
        <v/>
      </c>
      <c r="E645" s="1"/>
      <c r="F645" s="1"/>
      <c r="G645" s="2"/>
      <c r="I645" s="2"/>
      <c r="P645" t="str">
        <f t="shared" si="72"/>
        <v/>
      </c>
      <c r="Q645" t="str">
        <f t="shared" si="73"/>
        <v/>
      </c>
      <c r="R645" t="str">
        <f t="shared" si="74"/>
        <v/>
      </c>
      <c r="T645">
        <f t="shared" si="75"/>
        <v>2985</v>
      </c>
    </row>
    <row r="646" spans="1:20" ht="14.1" customHeight="1" outlineLevel="3" x14ac:dyDescent="0.2">
      <c r="A646" t="str">
        <f t="shared" si="71"/>
        <v/>
      </c>
      <c r="E646" s="1"/>
      <c r="F646" s="1"/>
      <c r="G646" s="2"/>
      <c r="I646" s="2"/>
      <c r="P646" t="str">
        <f t="shared" si="72"/>
        <v/>
      </c>
      <c r="Q646" t="str">
        <f t="shared" si="73"/>
        <v/>
      </c>
      <c r="R646" t="str">
        <f t="shared" si="74"/>
        <v/>
      </c>
      <c r="T646">
        <f t="shared" si="75"/>
        <v>2985</v>
      </c>
    </row>
    <row r="647" spans="1:20" ht="14.1" customHeight="1" outlineLevel="3" x14ac:dyDescent="0.2">
      <c r="A647" t="str">
        <f t="shared" si="71"/>
        <v/>
      </c>
      <c r="E647" s="1"/>
      <c r="F647" s="1"/>
      <c r="G647" s="2"/>
      <c r="I647" s="2"/>
      <c r="P647" t="str">
        <f t="shared" si="72"/>
        <v/>
      </c>
      <c r="Q647" t="str">
        <f t="shared" si="73"/>
        <v/>
      </c>
      <c r="R647" t="str">
        <f t="shared" si="74"/>
        <v/>
      </c>
      <c r="T647">
        <f t="shared" si="75"/>
        <v>2985</v>
      </c>
    </row>
    <row r="648" spans="1:20" ht="14.1" customHeight="1" outlineLevel="3" x14ac:dyDescent="0.2">
      <c r="A648" t="str">
        <f t="shared" si="71"/>
        <v/>
      </c>
      <c r="E648" s="1"/>
      <c r="F648" s="1"/>
      <c r="G648" s="2"/>
      <c r="I648" s="2"/>
      <c r="P648" t="str">
        <f t="shared" si="72"/>
        <v/>
      </c>
      <c r="Q648" t="str">
        <f t="shared" si="73"/>
        <v/>
      </c>
      <c r="R648" t="str">
        <f t="shared" si="74"/>
        <v/>
      </c>
      <c r="T648">
        <f t="shared" si="75"/>
        <v>2985</v>
      </c>
    </row>
    <row r="649" spans="1:20" ht="14.1" customHeight="1" outlineLevel="3" x14ac:dyDescent="0.2">
      <c r="A649" t="str">
        <f t="shared" si="71"/>
        <v/>
      </c>
      <c r="E649" s="1"/>
      <c r="F649" s="1"/>
      <c r="G649" s="2"/>
      <c r="I649" s="2"/>
      <c r="P649" t="str">
        <f t="shared" si="72"/>
        <v/>
      </c>
      <c r="Q649" t="str">
        <f t="shared" si="73"/>
        <v/>
      </c>
      <c r="R649" t="str">
        <f t="shared" si="74"/>
        <v/>
      </c>
      <c r="T649">
        <f t="shared" si="75"/>
        <v>2985</v>
      </c>
    </row>
    <row r="650" spans="1:20" ht="14.1" customHeight="1" outlineLevel="3" x14ac:dyDescent="0.2">
      <c r="A650" t="str">
        <f t="shared" si="71"/>
        <v/>
      </c>
      <c r="E650" s="1"/>
      <c r="F650" s="1"/>
      <c r="G650" s="2"/>
      <c r="I650" s="2"/>
      <c r="P650" t="str">
        <f t="shared" si="72"/>
        <v/>
      </c>
      <c r="Q650" t="str">
        <f t="shared" si="73"/>
        <v/>
      </c>
      <c r="R650" t="str">
        <f t="shared" si="74"/>
        <v/>
      </c>
      <c r="T650">
        <f t="shared" si="75"/>
        <v>2985</v>
      </c>
    </row>
    <row r="651" spans="1:20" ht="14.1" customHeight="1" outlineLevel="3" x14ac:dyDescent="0.2">
      <c r="A651" t="str">
        <f t="shared" si="71"/>
        <v/>
      </c>
      <c r="E651" s="1"/>
      <c r="F651" s="1"/>
      <c r="G651" s="2"/>
      <c r="I651" s="2"/>
      <c r="P651" t="str">
        <f t="shared" si="72"/>
        <v/>
      </c>
      <c r="Q651" t="str">
        <f t="shared" si="73"/>
        <v/>
      </c>
      <c r="R651" t="str">
        <f t="shared" si="74"/>
        <v/>
      </c>
      <c r="T651">
        <f t="shared" si="75"/>
        <v>2985</v>
      </c>
    </row>
    <row r="652" spans="1:20" ht="14.1" customHeight="1" outlineLevel="3" x14ac:dyDescent="0.2">
      <c r="A652" t="str">
        <f t="shared" si="71"/>
        <v/>
      </c>
      <c r="E652" s="1"/>
      <c r="F652" s="1"/>
      <c r="G652" s="2"/>
      <c r="I652" s="2"/>
      <c r="P652" t="str">
        <f t="shared" si="72"/>
        <v/>
      </c>
      <c r="Q652" t="str">
        <f t="shared" si="73"/>
        <v/>
      </c>
      <c r="R652" t="str">
        <f t="shared" si="74"/>
        <v/>
      </c>
      <c r="T652">
        <f t="shared" si="75"/>
        <v>2985</v>
      </c>
    </row>
    <row r="653" spans="1:20" ht="14.1" customHeight="1" outlineLevel="3" x14ac:dyDescent="0.2">
      <c r="A653" t="str">
        <f t="shared" si="71"/>
        <v/>
      </c>
      <c r="E653" s="1"/>
      <c r="F653" s="1"/>
      <c r="G653" s="2"/>
      <c r="I653" s="2"/>
      <c r="P653" t="str">
        <f t="shared" si="72"/>
        <v/>
      </c>
      <c r="Q653" t="str">
        <f t="shared" si="73"/>
        <v/>
      </c>
      <c r="R653" t="str">
        <f t="shared" si="74"/>
        <v/>
      </c>
      <c r="T653">
        <f t="shared" si="75"/>
        <v>2985</v>
      </c>
    </row>
    <row r="654" spans="1:20" ht="14.1" customHeight="1" outlineLevel="3" x14ac:dyDescent="0.2">
      <c r="A654" t="str">
        <f t="shared" si="71"/>
        <v/>
      </c>
      <c r="E654" s="1"/>
      <c r="F654" s="1"/>
      <c r="G654" s="2"/>
      <c r="I654" s="2"/>
      <c r="P654" t="str">
        <f t="shared" si="72"/>
        <v/>
      </c>
      <c r="Q654" t="str">
        <f t="shared" si="73"/>
        <v/>
      </c>
      <c r="R654" t="str">
        <f t="shared" si="74"/>
        <v/>
      </c>
      <c r="T654">
        <f t="shared" si="75"/>
        <v>2985</v>
      </c>
    </row>
    <row r="655" spans="1:20" ht="14.1" customHeight="1" outlineLevel="3" x14ac:dyDescent="0.2">
      <c r="A655" t="str">
        <f t="shared" si="71"/>
        <v/>
      </c>
      <c r="E655" s="1"/>
      <c r="F655" s="1"/>
      <c r="G655" s="2"/>
      <c r="I655" s="2"/>
      <c r="P655" t="str">
        <f t="shared" si="72"/>
        <v/>
      </c>
      <c r="Q655" t="str">
        <f t="shared" si="73"/>
        <v/>
      </c>
      <c r="R655" t="str">
        <f t="shared" si="74"/>
        <v/>
      </c>
      <c r="T655">
        <f t="shared" si="75"/>
        <v>2985</v>
      </c>
    </row>
    <row r="656" spans="1:20" ht="14.1" customHeight="1" outlineLevel="3" x14ac:dyDescent="0.2">
      <c r="A656" t="str">
        <f t="shared" si="71"/>
        <v/>
      </c>
      <c r="E656" s="1"/>
      <c r="F656" s="1"/>
      <c r="G656" s="2"/>
      <c r="I656" s="2"/>
      <c r="P656" t="str">
        <f t="shared" si="72"/>
        <v/>
      </c>
      <c r="Q656" t="str">
        <f t="shared" si="73"/>
        <v/>
      </c>
      <c r="R656" t="str">
        <f t="shared" si="74"/>
        <v/>
      </c>
      <c r="T656">
        <f t="shared" si="75"/>
        <v>2985</v>
      </c>
    </row>
    <row r="657" spans="1:20" ht="14.1" customHeight="1" outlineLevel="3" x14ac:dyDescent="0.2">
      <c r="A657" t="str">
        <f t="shared" si="71"/>
        <v/>
      </c>
      <c r="E657" s="1"/>
      <c r="F657" s="1"/>
      <c r="G657" s="2"/>
      <c r="I657" s="2"/>
      <c r="P657" t="str">
        <f t="shared" si="72"/>
        <v/>
      </c>
      <c r="Q657" t="str">
        <f t="shared" si="73"/>
        <v/>
      </c>
      <c r="R657" t="str">
        <f t="shared" si="74"/>
        <v/>
      </c>
      <c r="T657">
        <f t="shared" si="75"/>
        <v>2985</v>
      </c>
    </row>
    <row r="658" spans="1:20" ht="14.1" customHeight="1" outlineLevel="3" x14ac:dyDescent="0.2">
      <c r="A658" t="str">
        <f t="shared" si="71"/>
        <v/>
      </c>
      <c r="E658" s="1"/>
      <c r="F658" s="1"/>
      <c r="G658" s="2"/>
      <c r="I658" s="2"/>
      <c r="P658" t="str">
        <f t="shared" si="72"/>
        <v/>
      </c>
      <c r="Q658" t="str">
        <f t="shared" si="73"/>
        <v/>
      </c>
      <c r="R658" t="str">
        <f t="shared" si="74"/>
        <v/>
      </c>
      <c r="T658">
        <f t="shared" si="75"/>
        <v>2985</v>
      </c>
    </row>
    <row r="659" spans="1:20" ht="14.1" customHeight="1" outlineLevel="3" x14ac:dyDescent="0.2">
      <c r="A659" t="str">
        <f t="shared" si="71"/>
        <v/>
      </c>
      <c r="E659" s="1"/>
      <c r="F659" s="1"/>
      <c r="G659" s="2"/>
      <c r="I659" s="2"/>
      <c r="P659" t="str">
        <f t="shared" si="72"/>
        <v/>
      </c>
      <c r="Q659" t="str">
        <f t="shared" si="73"/>
        <v/>
      </c>
      <c r="R659" t="str">
        <f t="shared" si="74"/>
        <v/>
      </c>
      <c r="T659">
        <f t="shared" si="75"/>
        <v>2985</v>
      </c>
    </row>
    <row r="660" spans="1:20" ht="14.1" customHeight="1" outlineLevel="3" x14ac:dyDescent="0.2">
      <c r="A660" t="str">
        <f t="shared" si="71"/>
        <v/>
      </c>
      <c r="E660" s="1"/>
      <c r="F660" s="1"/>
      <c r="G660" s="2"/>
      <c r="I660" s="2"/>
      <c r="P660" t="str">
        <f t="shared" si="72"/>
        <v/>
      </c>
      <c r="Q660" t="str">
        <f t="shared" si="73"/>
        <v/>
      </c>
      <c r="R660" t="str">
        <f t="shared" si="74"/>
        <v/>
      </c>
      <c r="T660">
        <f t="shared" si="75"/>
        <v>2985</v>
      </c>
    </row>
    <row r="661" spans="1:20" ht="14.1" customHeight="1" outlineLevel="3" x14ac:dyDescent="0.2">
      <c r="A661" t="str">
        <f t="shared" si="71"/>
        <v/>
      </c>
      <c r="E661" s="1"/>
      <c r="F661" s="1"/>
      <c r="G661" s="2"/>
      <c r="I661" s="2"/>
      <c r="P661" t="str">
        <f t="shared" si="72"/>
        <v/>
      </c>
      <c r="Q661" t="str">
        <f t="shared" si="73"/>
        <v/>
      </c>
      <c r="R661" t="str">
        <f t="shared" si="74"/>
        <v/>
      </c>
      <c r="T661">
        <f t="shared" si="75"/>
        <v>2985</v>
      </c>
    </row>
    <row r="662" spans="1:20" ht="14.1" customHeight="1" outlineLevel="3" x14ac:dyDescent="0.2">
      <c r="A662" t="str">
        <f t="shared" si="71"/>
        <v/>
      </c>
      <c r="E662" s="1"/>
      <c r="F662" s="1"/>
      <c r="G662" s="2"/>
      <c r="I662" s="2"/>
      <c r="P662" t="str">
        <f t="shared" si="72"/>
        <v/>
      </c>
      <c r="Q662" t="str">
        <f t="shared" si="73"/>
        <v/>
      </c>
      <c r="R662" t="str">
        <f t="shared" si="74"/>
        <v/>
      </c>
      <c r="T662">
        <f t="shared" si="75"/>
        <v>2985</v>
      </c>
    </row>
    <row r="663" spans="1:20" ht="14.1" customHeight="1" outlineLevel="3" x14ac:dyDescent="0.2">
      <c r="A663" t="str">
        <f t="shared" si="71"/>
        <v/>
      </c>
      <c r="E663" s="1"/>
      <c r="F663" s="1"/>
      <c r="G663" s="2"/>
      <c r="I663" s="2"/>
      <c r="P663" t="str">
        <f t="shared" ref="P663:P667" si="76">IF(OR(K663="",K663=0),"",D663&amp;N663&amp;K663&amp;M663&amp;F663&amp;G663)</f>
        <v/>
      </c>
      <c r="Q663" t="str">
        <f t="shared" si="73"/>
        <v/>
      </c>
      <c r="R663" t="str">
        <f t="shared" si="74"/>
        <v/>
      </c>
      <c r="T663">
        <f t="shared" si="75"/>
        <v>2985</v>
      </c>
    </row>
    <row r="664" spans="1:20" ht="14.1" customHeight="1" outlineLevel="3" x14ac:dyDescent="0.2">
      <c r="A664" t="str">
        <f t="shared" si="71"/>
        <v/>
      </c>
      <c r="E664" s="1"/>
      <c r="F664" s="1"/>
      <c r="G664" s="2"/>
      <c r="I664" s="2"/>
      <c r="P664" t="str">
        <f t="shared" si="76"/>
        <v/>
      </c>
      <c r="Q664" t="str">
        <f t="shared" si="73"/>
        <v/>
      </c>
      <c r="R664" t="str">
        <f t="shared" si="74"/>
        <v/>
      </c>
      <c r="T664">
        <f t="shared" si="75"/>
        <v>2985</v>
      </c>
    </row>
    <row r="665" spans="1:20" ht="14.1" customHeight="1" outlineLevel="3" x14ac:dyDescent="0.2">
      <c r="A665" t="str">
        <f t="shared" si="71"/>
        <v/>
      </c>
      <c r="E665" s="1"/>
      <c r="F665" s="1"/>
      <c r="G665" s="2"/>
      <c r="I665" s="2"/>
      <c r="P665" t="str">
        <f t="shared" si="76"/>
        <v/>
      </c>
      <c r="Q665" t="str">
        <f t="shared" si="73"/>
        <v/>
      </c>
      <c r="R665" t="str">
        <f t="shared" si="74"/>
        <v/>
      </c>
      <c r="T665">
        <f t="shared" si="75"/>
        <v>2985</v>
      </c>
    </row>
    <row r="666" spans="1:20" ht="14.1" customHeight="1" outlineLevel="3" x14ac:dyDescent="0.2">
      <c r="A666" t="str">
        <f t="shared" si="71"/>
        <v/>
      </c>
      <c r="E666" s="1"/>
      <c r="F666" s="1"/>
      <c r="G666" s="2"/>
      <c r="I666" s="2"/>
      <c r="P666" t="str">
        <f t="shared" si="76"/>
        <v/>
      </c>
      <c r="Q666" t="str">
        <f t="shared" si="73"/>
        <v/>
      </c>
      <c r="R666" t="str">
        <f t="shared" si="74"/>
        <v/>
      </c>
      <c r="T666">
        <f t="shared" si="75"/>
        <v>2985</v>
      </c>
    </row>
    <row r="667" spans="1:20" ht="14.1" customHeight="1" outlineLevel="3" x14ac:dyDescent="0.2">
      <c r="A667" t="str">
        <f t="shared" si="71"/>
        <v/>
      </c>
      <c r="E667" s="1"/>
      <c r="F667" s="1"/>
      <c r="G667" s="2"/>
      <c r="I667" s="2"/>
      <c r="P667" t="str">
        <f t="shared" si="76"/>
        <v/>
      </c>
      <c r="Q667" t="str">
        <f t="shared" si="73"/>
        <v/>
      </c>
      <c r="R667" t="str">
        <f t="shared" si="74"/>
        <v/>
      </c>
      <c r="T667">
        <f t="shared" si="75"/>
        <v>2985</v>
      </c>
    </row>
    <row r="668" spans="1:20" ht="14.1" customHeight="1" outlineLevel="3" x14ac:dyDescent="0.2">
      <c r="A668" t="str">
        <f t="shared" si="71"/>
        <v/>
      </c>
      <c r="E668" s="1"/>
      <c r="F668" s="1"/>
      <c r="G668" s="2"/>
      <c r="I668" s="2"/>
      <c r="P668" t="str">
        <f t="shared" si="72"/>
        <v/>
      </c>
      <c r="Q668" t="str">
        <f t="shared" si="73"/>
        <v/>
      </c>
      <c r="R668" t="str">
        <f t="shared" si="74"/>
        <v/>
      </c>
      <c r="T668">
        <f t="shared" si="75"/>
        <v>2985</v>
      </c>
    </row>
    <row r="669" spans="1:20" ht="14.1" customHeight="1" outlineLevel="3" x14ac:dyDescent="0.2">
      <c r="A669" t="str">
        <f t="shared" si="71"/>
        <v/>
      </c>
      <c r="E669" s="1"/>
      <c r="F669" s="1"/>
      <c r="G669" s="2"/>
      <c r="I669" s="2"/>
      <c r="P669" t="str">
        <f t="shared" ref="P669:P670" si="77">IF(OR(K669="",K669=0),"",D669&amp;N669&amp;K669&amp;M669&amp;F669&amp;G669)</f>
        <v/>
      </c>
      <c r="Q669" t="str">
        <f t="shared" si="73"/>
        <v/>
      </c>
      <c r="R669" t="str">
        <f t="shared" si="74"/>
        <v/>
      </c>
      <c r="T669">
        <f t="shared" si="75"/>
        <v>2985</v>
      </c>
    </row>
    <row r="670" spans="1:20" ht="14.1" customHeight="1" outlineLevel="3" x14ac:dyDescent="0.2">
      <c r="A670" t="str">
        <f t="shared" si="71"/>
        <v/>
      </c>
      <c r="E670" s="1"/>
      <c r="F670" s="1"/>
      <c r="G670" s="2"/>
      <c r="I670" s="2"/>
      <c r="P670" t="str">
        <f t="shared" si="77"/>
        <v/>
      </c>
      <c r="Q670" t="str">
        <f t="shared" si="73"/>
        <v/>
      </c>
      <c r="R670" t="str">
        <f t="shared" si="74"/>
        <v/>
      </c>
      <c r="T670">
        <f t="shared" si="75"/>
        <v>2985</v>
      </c>
    </row>
    <row r="671" spans="1:20" ht="14.1" customHeight="1" outlineLevel="3" x14ac:dyDescent="0.2">
      <c r="A671" t="str">
        <f t="shared" si="71"/>
        <v/>
      </c>
      <c r="E671" s="1"/>
      <c r="F671" s="1"/>
      <c r="G671" s="2"/>
      <c r="I671" s="2"/>
      <c r="P671" t="str">
        <f t="shared" si="72"/>
        <v/>
      </c>
      <c r="Q671" t="str">
        <f t="shared" si="73"/>
        <v/>
      </c>
      <c r="R671" t="str">
        <f t="shared" si="74"/>
        <v/>
      </c>
      <c r="T671">
        <f t="shared" si="75"/>
        <v>2985</v>
      </c>
    </row>
    <row r="672" spans="1:20" ht="14.1" customHeight="1" outlineLevel="3" x14ac:dyDescent="0.2">
      <c r="A672" t="str">
        <f t="shared" si="71"/>
        <v/>
      </c>
      <c r="E672" s="1"/>
      <c r="F672" s="1"/>
      <c r="G672" s="2"/>
      <c r="I672" s="2"/>
      <c r="P672" t="str">
        <f t="shared" si="72"/>
        <v/>
      </c>
      <c r="Q672" t="str">
        <f t="shared" si="73"/>
        <v/>
      </c>
      <c r="R672" t="str">
        <f t="shared" si="74"/>
        <v/>
      </c>
      <c r="T672">
        <f t="shared" si="75"/>
        <v>2985</v>
      </c>
    </row>
    <row r="673" spans="1:20" ht="14.1" customHeight="1" outlineLevel="3" x14ac:dyDescent="0.2">
      <c r="A673" t="str">
        <f t="shared" si="71"/>
        <v/>
      </c>
      <c r="E673" s="1"/>
      <c r="F673" s="1"/>
      <c r="G673" s="2"/>
      <c r="I673" s="2"/>
      <c r="P673" t="str">
        <f t="shared" si="72"/>
        <v/>
      </c>
      <c r="Q673" t="str">
        <f t="shared" si="73"/>
        <v/>
      </c>
      <c r="R673" t="str">
        <f t="shared" si="74"/>
        <v/>
      </c>
      <c r="T673">
        <f t="shared" si="75"/>
        <v>2985</v>
      </c>
    </row>
    <row r="674" spans="1:20" ht="14.1" customHeight="1" outlineLevel="3" x14ac:dyDescent="0.2">
      <c r="A674" t="str">
        <f t="shared" si="71"/>
        <v/>
      </c>
      <c r="E674" s="1"/>
      <c r="F674" s="1"/>
      <c r="G674" s="2"/>
      <c r="I674" s="2"/>
      <c r="P674" t="str">
        <f t="shared" si="72"/>
        <v/>
      </c>
      <c r="Q674" t="str">
        <f t="shared" si="73"/>
        <v/>
      </c>
      <c r="R674" t="str">
        <f t="shared" si="74"/>
        <v/>
      </c>
      <c r="T674">
        <f t="shared" si="75"/>
        <v>2985</v>
      </c>
    </row>
    <row r="675" spans="1:20" ht="14.1" customHeight="1" outlineLevel="3" x14ac:dyDescent="0.2">
      <c r="A675" t="str">
        <f t="shared" si="71"/>
        <v/>
      </c>
      <c r="E675" s="1"/>
      <c r="F675" s="1"/>
      <c r="G675" s="2"/>
      <c r="I675" s="2"/>
      <c r="P675" t="str">
        <f t="shared" si="72"/>
        <v/>
      </c>
      <c r="Q675" t="str">
        <f t="shared" si="73"/>
        <v/>
      </c>
      <c r="R675" t="str">
        <f t="shared" si="74"/>
        <v/>
      </c>
      <c r="T675">
        <f t="shared" si="75"/>
        <v>2985</v>
      </c>
    </row>
    <row r="676" spans="1:20" ht="14.1" customHeight="1" outlineLevel="3" x14ac:dyDescent="0.2">
      <c r="A676" t="str">
        <f t="shared" si="71"/>
        <v/>
      </c>
      <c r="E676" s="1"/>
      <c r="F676" s="1"/>
      <c r="G676" s="2"/>
      <c r="I676" s="2"/>
      <c r="P676" t="str">
        <f t="shared" si="72"/>
        <v/>
      </c>
      <c r="Q676" t="str">
        <f t="shared" si="73"/>
        <v/>
      </c>
      <c r="R676" t="str">
        <f t="shared" si="74"/>
        <v/>
      </c>
      <c r="T676">
        <f t="shared" si="75"/>
        <v>2985</v>
      </c>
    </row>
    <row r="677" spans="1:20" ht="14.1" customHeight="1" outlineLevel="3" x14ac:dyDescent="0.2">
      <c r="A677" t="str">
        <f t="shared" si="71"/>
        <v/>
      </c>
      <c r="E677" s="1"/>
      <c r="F677" s="1"/>
      <c r="G677" s="2"/>
      <c r="I677" s="2"/>
      <c r="P677" t="str">
        <f t="shared" si="72"/>
        <v/>
      </c>
      <c r="Q677" t="str">
        <f t="shared" si="73"/>
        <v/>
      </c>
      <c r="R677" t="str">
        <f t="shared" si="74"/>
        <v/>
      </c>
      <c r="T677">
        <f t="shared" si="75"/>
        <v>2985</v>
      </c>
    </row>
    <row r="678" spans="1:20" ht="14.1" customHeight="1" outlineLevel="3" x14ac:dyDescent="0.2">
      <c r="A678" t="str">
        <f t="shared" si="71"/>
        <v/>
      </c>
      <c r="E678" s="1"/>
      <c r="F678" s="1"/>
      <c r="G678" s="2"/>
      <c r="I678" s="2"/>
      <c r="P678" t="str">
        <f t="shared" si="72"/>
        <v/>
      </c>
      <c r="Q678" t="str">
        <f t="shared" si="73"/>
        <v/>
      </c>
      <c r="R678" t="str">
        <f t="shared" si="74"/>
        <v/>
      </c>
      <c r="T678">
        <f t="shared" si="75"/>
        <v>2985</v>
      </c>
    </row>
    <row r="679" spans="1:20" ht="14.1" customHeight="1" outlineLevel="3" x14ac:dyDescent="0.2">
      <c r="A679" t="str">
        <f t="shared" si="71"/>
        <v/>
      </c>
      <c r="E679" s="1"/>
      <c r="F679" s="1"/>
      <c r="G679" s="2"/>
      <c r="I679" s="2"/>
      <c r="P679" t="str">
        <f t="shared" si="72"/>
        <v/>
      </c>
      <c r="Q679" t="str">
        <f t="shared" si="73"/>
        <v/>
      </c>
      <c r="R679" t="str">
        <f t="shared" si="74"/>
        <v/>
      </c>
      <c r="T679">
        <f t="shared" si="75"/>
        <v>2985</v>
      </c>
    </row>
    <row r="680" spans="1:20" ht="14.1" customHeight="1" outlineLevel="3" x14ac:dyDescent="0.2">
      <c r="A680" t="str">
        <f t="shared" si="71"/>
        <v/>
      </c>
      <c r="E680" s="1"/>
      <c r="F680" s="1"/>
      <c r="G680" s="2"/>
      <c r="I680" s="2"/>
      <c r="P680" t="str">
        <f t="shared" si="72"/>
        <v/>
      </c>
      <c r="Q680" t="str">
        <f t="shared" si="73"/>
        <v/>
      </c>
      <c r="R680" t="str">
        <f t="shared" si="74"/>
        <v/>
      </c>
      <c r="T680">
        <f t="shared" si="75"/>
        <v>2985</v>
      </c>
    </row>
    <row r="681" spans="1:20" ht="14.1" customHeight="1" outlineLevel="3" x14ac:dyDescent="0.2">
      <c r="A681" t="str">
        <f t="shared" si="71"/>
        <v/>
      </c>
      <c r="E681" s="1"/>
      <c r="F681" s="1"/>
      <c r="G681" s="2"/>
      <c r="I681" s="2"/>
      <c r="P681" t="str">
        <f t="shared" si="72"/>
        <v/>
      </c>
      <c r="Q681" t="str">
        <f t="shared" si="73"/>
        <v/>
      </c>
      <c r="R681" t="str">
        <f t="shared" si="74"/>
        <v/>
      </c>
      <c r="T681">
        <f t="shared" si="75"/>
        <v>2985</v>
      </c>
    </row>
    <row r="682" spans="1:20" ht="14.1" customHeight="1" outlineLevel="3" x14ac:dyDescent="0.2">
      <c r="A682" t="str">
        <f t="shared" si="71"/>
        <v/>
      </c>
      <c r="E682" s="1"/>
      <c r="F682" s="1"/>
      <c r="G682" s="2"/>
      <c r="I682" s="2"/>
      <c r="P682" t="str">
        <f t="shared" si="72"/>
        <v/>
      </c>
      <c r="Q682" t="str">
        <f t="shared" si="73"/>
        <v/>
      </c>
      <c r="R682" t="str">
        <f t="shared" si="74"/>
        <v/>
      </c>
      <c r="T682">
        <f t="shared" si="75"/>
        <v>2985</v>
      </c>
    </row>
    <row r="683" spans="1:20" ht="14.1" customHeight="1" outlineLevel="3" x14ac:dyDescent="0.2">
      <c r="A683" t="str">
        <f t="shared" si="71"/>
        <v/>
      </c>
      <c r="E683" s="1"/>
      <c r="F683" s="1"/>
      <c r="G683" s="2"/>
      <c r="I683" s="2"/>
      <c r="P683" t="str">
        <f t="shared" si="72"/>
        <v/>
      </c>
      <c r="Q683" t="str">
        <f t="shared" si="73"/>
        <v/>
      </c>
      <c r="R683" t="str">
        <f t="shared" si="74"/>
        <v/>
      </c>
      <c r="T683">
        <f t="shared" si="75"/>
        <v>2985</v>
      </c>
    </row>
    <row r="684" spans="1:20" ht="14.1" customHeight="1" outlineLevel="3" x14ac:dyDescent="0.2">
      <c r="A684" t="str">
        <f t="shared" si="71"/>
        <v/>
      </c>
      <c r="E684" s="1"/>
      <c r="F684" s="1"/>
      <c r="G684" s="2"/>
      <c r="I684" s="2"/>
      <c r="P684" t="str">
        <f t="shared" si="72"/>
        <v/>
      </c>
      <c r="Q684" t="str">
        <f t="shared" si="73"/>
        <v/>
      </c>
      <c r="R684" t="str">
        <f t="shared" si="74"/>
        <v/>
      </c>
      <c r="T684">
        <f t="shared" si="75"/>
        <v>2985</v>
      </c>
    </row>
    <row r="685" spans="1:20" ht="14.1" customHeight="1" outlineLevel="3" x14ac:dyDescent="0.2">
      <c r="A685" t="str">
        <f t="shared" si="71"/>
        <v/>
      </c>
      <c r="E685" s="1"/>
      <c r="F685" s="1"/>
      <c r="G685" s="2"/>
      <c r="I685" s="2"/>
      <c r="P685" t="str">
        <f t="shared" si="72"/>
        <v/>
      </c>
      <c r="Q685" t="str">
        <f t="shared" si="73"/>
        <v/>
      </c>
      <c r="R685" t="str">
        <f t="shared" si="74"/>
        <v/>
      </c>
      <c r="T685">
        <f t="shared" si="75"/>
        <v>2985</v>
      </c>
    </row>
    <row r="686" spans="1:20" ht="14.1" customHeight="1" outlineLevel="3" x14ac:dyDescent="0.2">
      <c r="A686" t="str">
        <f t="shared" si="71"/>
        <v/>
      </c>
      <c r="E686" s="1"/>
      <c r="F686" s="1"/>
      <c r="G686" s="2"/>
      <c r="I686" s="2"/>
      <c r="P686" t="str">
        <f t="shared" si="72"/>
        <v/>
      </c>
      <c r="Q686" t="str">
        <f t="shared" si="73"/>
        <v/>
      </c>
      <c r="R686" t="str">
        <f t="shared" si="74"/>
        <v/>
      </c>
      <c r="T686">
        <f t="shared" si="75"/>
        <v>2985</v>
      </c>
    </row>
    <row r="687" spans="1:20" ht="14.1" customHeight="1" outlineLevel="3" x14ac:dyDescent="0.2">
      <c r="A687" t="str">
        <f t="shared" si="71"/>
        <v/>
      </c>
      <c r="E687" s="1"/>
      <c r="F687" s="1"/>
      <c r="G687" s="2"/>
      <c r="I687" s="2"/>
      <c r="P687" t="str">
        <f t="shared" si="72"/>
        <v/>
      </c>
      <c r="Q687" t="str">
        <f t="shared" si="73"/>
        <v/>
      </c>
      <c r="R687" t="str">
        <f t="shared" si="74"/>
        <v/>
      </c>
      <c r="T687">
        <f t="shared" si="75"/>
        <v>2985</v>
      </c>
    </row>
    <row r="688" spans="1:20" ht="14.1" customHeight="1" outlineLevel="3" x14ac:dyDescent="0.2">
      <c r="A688" t="str">
        <f t="shared" si="71"/>
        <v/>
      </c>
      <c r="E688" s="1"/>
      <c r="F688" s="1"/>
      <c r="G688" s="2"/>
      <c r="I688" s="2"/>
      <c r="P688" t="str">
        <f t="shared" si="72"/>
        <v/>
      </c>
      <c r="Q688" t="str">
        <f t="shared" si="73"/>
        <v/>
      </c>
      <c r="R688" t="str">
        <f t="shared" si="74"/>
        <v/>
      </c>
      <c r="T688">
        <f t="shared" si="75"/>
        <v>2985</v>
      </c>
    </row>
    <row r="689" spans="1:20" ht="14.1" customHeight="1" outlineLevel="3" x14ac:dyDescent="0.2">
      <c r="A689" t="str">
        <f t="shared" si="71"/>
        <v/>
      </c>
      <c r="E689" s="1"/>
      <c r="F689" s="1"/>
      <c r="G689" s="2"/>
      <c r="I689" s="2"/>
      <c r="P689" t="str">
        <f t="shared" si="72"/>
        <v/>
      </c>
      <c r="Q689" t="str">
        <f t="shared" si="73"/>
        <v/>
      </c>
      <c r="R689" t="str">
        <f t="shared" si="74"/>
        <v/>
      </c>
      <c r="T689">
        <f t="shared" si="75"/>
        <v>2985</v>
      </c>
    </row>
    <row r="690" spans="1:20" ht="14.1" customHeight="1" outlineLevel="3" x14ac:dyDescent="0.2">
      <c r="A690" t="str">
        <f t="shared" si="71"/>
        <v/>
      </c>
      <c r="E690" s="1"/>
      <c r="F690" s="1"/>
      <c r="G690" s="2"/>
      <c r="I690" s="2"/>
      <c r="P690" t="str">
        <f t="shared" si="72"/>
        <v/>
      </c>
      <c r="Q690" t="str">
        <f t="shared" si="73"/>
        <v/>
      </c>
      <c r="R690" t="str">
        <f t="shared" si="74"/>
        <v/>
      </c>
      <c r="T690">
        <f t="shared" si="75"/>
        <v>2985</v>
      </c>
    </row>
    <row r="691" spans="1:20" ht="14.1" customHeight="1" outlineLevel="3" x14ac:dyDescent="0.2">
      <c r="A691" t="str">
        <f t="shared" si="71"/>
        <v/>
      </c>
      <c r="E691" s="1"/>
      <c r="F691" s="1"/>
      <c r="G691" s="2"/>
      <c r="I691" s="2"/>
      <c r="P691" t="str">
        <f t="shared" si="72"/>
        <v/>
      </c>
      <c r="Q691" t="str">
        <f t="shared" si="73"/>
        <v/>
      </c>
      <c r="R691" t="str">
        <f t="shared" si="74"/>
        <v/>
      </c>
      <c r="T691">
        <f t="shared" si="75"/>
        <v>2985</v>
      </c>
    </row>
    <row r="692" spans="1:20" ht="14.1" customHeight="1" outlineLevel="3" x14ac:dyDescent="0.2">
      <c r="A692" t="str">
        <f t="shared" si="71"/>
        <v/>
      </c>
      <c r="E692" s="1"/>
      <c r="F692" s="1"/>
      <c r="G692" s="2"/>
      <c r="I692" s="2"/>
      <c r="P692" t="str">
        <f t="shared" si="72"/>
        <v/>
      </c>
      <c r="Q692" t="str">
        <f t="shared" si="73"/>
        <v/>
      </c>
      <c r="R692" t="str">
        <f t="shared" si="74"/>
        <v/>
      </c>
      <c r="T692">
        <f t="shared" si="75"/>
        <v>2985</v>
      </c>
    </row>
    <row r="693" spans="1:20" ht="14.1" customHeight="1" outlineLevel="3" x14ac:dyDescent="0.2">
      <c r="A693" t="str">
        <f t="shared" si="71"/>
        <v/>
      </c>
      <c r="E693" s="1"/>
      <c r="F693" s="1"/>
      <c r="G693" s="2"/>
      <c r="I693" s="2"/>
      <c r="P693" t="str">
        <f t="shared" si="72"/>
        <v/>
      </c>
      <c r="Q693" t="str">
        <f t="shared" si="73"/>
        <v/>
      </c>
      <c r="R693" t="str">
        <f t="shared" si="74"/>
        <v/>
      </c>
      <c r="T693">
        <f t="shared" si="75"/>
        <v>2985</v>
      </c>
    </row>
    <row r="694" spans="1:20" ht="14.1" customHeight="1" outlineLevel="3" x14ac:dyDescent="0.2">
      <c r="A694" t="str">
        <f t="shared" si="71"/>
        <v/>
      </c>
      <c r="E694" s="1"/>
      <c r="F694" s="1"/>
      <c r="G694" s="2"/>
      <c r="I694" s="2"/>
      <c r="P694" t="str">
        <f t="shared" si="72"/>
        <v/>
      </c>
      <c r="Q694" t="str">
        <f t="shared" si="73"/>
        <v/>
      </c>
      <c r="R694" t="str">
        <f t="shared" si="74"/>
        <v/>
      </c>
      <c r="T694">
        <f t="shared" si="75"/>
        <v>2985</v>
      </c>
    </row>
    <row r="695" spans="1:20" ht="14.1" customHeight="1" outlineLevel="3" x14ac:dyDescent="0.2">
      <c r="A695" t="str">
        <f t="shared" si="71"/>
        <v/>
      </c>
      <c r="E695" s="1"/>
      <c r="F695" s="1"/>
      <c r="G695" s="2"/>
      <c r="I695" s="2"/>
      <c r="P695" t="str">
        <f t="shared" si="72"/>
        <v/>
      </c>
      <c r="Q695" t="str">
        <f t="shared" si="73"/>
        <v/>
      </c>
      <c r="R695" t="str">
        <f t="shared" si="74"/>
        <v/>
      </c>
      <c r="T695">
        <f t="shared" si="75"/>
        <v>2985</v>
      </c>
    </row>
    <row r="696" spans="1:20" ht="14.1" customHeight="1" outlineLevel="3" x14ac:dyDescent="0.2">
      <c r="A696" t="str">
        <f t="shared" si="71"/>
        <v/>
      </c>
      <c r="E696" s="1"/>
      <c r="F696" s="1"/>
      <c r="G696" s="2"/>
      <c r="I696" s="2"/>
      <c r="P696" t="str">
        <f t="shared" si="72"/>
        <v/>
      </c>
      <c r="Q696" t="str">
        <f t="shared" si="73"/>
        <v/>
      </c>
      <c r="R696" t="str">
        <f t="shared" si="74"/>
        <v/>
      </c>
      <c r="T696">
        <f t="shared" si="75"/>
        <v>2985</v>
      </c>
    </row>
    <row r="697" spans="1:20" ht="14.1" customHeight="1" outlineLevel="3" x14ac:dyDescent="0.2">
      <c r="A697" t="str">
        <f t="shared" si="71"/>
        <v/>
      </c>
      <c r="E697" s="1"/>
      <c r="F697" s="1"/>
      <c r="G697" s="2"/>
      <c r="I697" s="2"/>
      <c r="P697" t="str">
        <f t="shared" si="72"/>
        <v/>
      </c>
      <c r="Q697" t="str">
        <f t="shared" si="73"/>
        <v/>
      </c>
      <c r="R697" t="str">
        <f t="shared" si="74"/>
        <v/>
      </c>
      <c r="T697">
        <f t="shared" si="75"/>
        <v>2985</v>
      </c>
    </row>
    <row r="698" spans="1:20" ht="14.1" customHeight="1" outlineLevel="3" x14ac:dyDescent="0.2">
      <c r="A698" t="str">
        <f t="shared" si="71"/>
        <v/>
      </c>
      <c r="E698" s="1"/>
      <c r="F698" s="1"/>
      <c r="G698" s="2"/>
      <c r="I698" s="2"/>
      <c r="P698" t="str">
        <f t="shared" si="72"/>
        <v/>
      </c>
      <c r="Q698" t="str">
        <f t="shared" si="73"/>
        <v/>
      </c>
      <c r="R698" t="str">
        <f t="shared" si="74"/>
        <v/>
      </c>
      <c r="T698">
        <f t="shared" si="75"/>
        <v>2985</v>
      </c>
    </row>
    <row r="699" spans="1:20" ht="14.1" customHeight="1" outlineLevel="3" x14ac:dyDescent="0.2">
      <c r="A699" t="str">
        <f t="shared" si="71"/>
        <v/>
      </c>
      <c r="E699" s="1"/>
      <c r="F699" s="1"/>
      <c r="G699" s="2"/>
      <c r="I699" s="2"/>
      <c r="P699" t="str">
        <f t="shared" si="72"/>
        <v/>
      </c>
      <c r="Q699" t="str">
        <f t="shared" si="73"/>
        <v/>
      </c>
      <c r="R699" t="str">
        <f t="shared" si="74"/>
        <v/>
      </c>
      <c r="T699">
        <f t="shared" si="75"/>
        <v>2985</v>
      </c>
    </row>
    <row r="700" spans="1:20" ht="14.1" customHeight="1" outlineLevel="3" x14ac:dyDescent="0.2">
      <c r="A700" t="str">
        <f t="shared" si="71"/>
        <v/>
      </c>
      <c r="E700" s="1"/>
      <c r="F700" s="1"/>
      <c r="G700" s="2"/>
      <c r="I700" s="2"/>
      <c r="P700" t="str">
        <f t="shared" si="72"/>
        <v/>
      </c>
      <c r="Q700" t="str">
        <f t="shared" si="73"/>
        <v/>
      </c>
      <c r="R700" t="str">
        <f t="shared" si="74"/>
        <v/>
      </c>
      <c r="T700">
        <f t="shared" si="75"/>
        <v>2985</v>
      </c>
    </row>
    <row r="701" spans="1:20" outlineLevel="2" x14ac:dyDescent="0.2">
      <c r="A701" t="str">
        <f t="shared" si="71"/>
        <v/>
      </c>
      <c r="E701" s="1"/>
      <c r="F701" s="1"/>
      <c r="G701" s="2"/>
      <c r="I701" s="2"/>
      <c r="P701" t="str">
        <f t="shared" si="72"/>
        <v/>
      </c>
      <c r="Q701" t="str">
        <f t="shared" si="73"/>
        <v/>
      </c>
      <c r="R701" t="str">
        <f t="shared" si="74"/>
        <v/>
      </c>
      <c r="T701">
        <f t="shared" si="75"/>
        <v>2985</v>
      </c>
    </row>
    <row r="702" spans="1:20" ht="14.1" customHeight="1" outlineLevel="3" x14ac:dyDescent="0.2">
      <c r="A702" t="str">
        <f t="shared" si="71"/>
        <v/>
      </c>
      <c r="E702" s="1"/>
      <c r="F702" s="1"/>
      <c r="G702" s="2"/>
      <c r="I702" s="2"/>
      <c r="P702" t="str">
        <f t="shared" si="72"/>
        <v/>
      </c>
      <c r="Q702" t="str">
        <f t="shared" si="73"/>
        <v/>
      </c>
      <c r="R702" t="str">
        <f t="shared" si="74"/>
        <v/>
      </c>
      <c r="T702">
        <f t="shared" si="75"/>
        <v>2985</v>
      </c>
    </row>
    <row r="703" spans="1:20" ht="14.1" customHeight="1" outlineLevel="3" x14ac:dyDescent="0.2">
      <c r="A703" t="str">
        <f t="shared" si="71"/>
        <v/>
      </c>
      <c r="E703" s="1"/>
      <c r="F703" s="1"/>
      <c r="G703" s="2"/>
      <c r="I703" s="2"/>
      <c r="P703" t="str">
        <f t="shared" si="72"/>
        <v/>
      </c>
      <c r="Q703" t="str">
        <f t="shared" si="73"/>
        <v/>
      </c>
      <c r="R703" t="str">
        <f t="shared" si="74"/>
        <v/>
      </c>
      <c r="T703">
        <f t="shared" si="75"/>
        <v>2985</v>
      </c>
    </row>
    <row r="704" spans="1:20" outlineLevel="2" x14ac:dyDescent="0.2">
      <c r="A704" t="str">
        <f t="shared" si="71"/>
        <v/>
      </c>
      <c r="E704" s="1"/>
      <c r="F704" s="1"/>
      <c r="G704" s="2"/>
      <c r="I704" s="2"/>
      <c r="P704" t="str">
        <f t="shared" si="72"/>
        <v/>
      </c>
      <c r="Q704" t="str">
        <f t="shared" si="73"/>
        <v/>
      </c>
      <c r="R704" t="str">
        <f t="shared" si="74"/>
        <v/>
      </c>
      <c r="T704">
        <f t="shared" si="75"/>
        <v>2985</v>
      </c>
    </row>
    <row r="705" spans="1:20" outlineLevel="1" x14ac:dyDescent="0.2">
      <c r="A705" t="str">
        <f t="shared" si="71"/>
        <v/>
      </c>
      <c r="E705" s="1"/>
      <c r="F705" s="1"/>
      <c r="G705" s="2"/>
      <c r="I705" s="2"/>
      <c r="P705" t="str">
        <f t="shared" si="72"/>
        <v/>
      </c>
      <c r="Q705" t="str">
        <f t="shared" si="73"/>
        <v/>
      </c>
      <c r="R705" t="str">
        <f t="shared" si="74"/>
        <v/>
      </c>
      <c r="T705">
        <f t="shared" si="75"/>
        <v>2985</v>
      </c>
    </row>
    <row r="706" spans="1:20" ht="14.1" customHeight="1" outlineLevel="3" x14ac:dyDescent="0.2">
      <c r="A706" t="str">
        <f t="shared" si="71"/>
        <v/>
      </c>
      <c r="E706" s="1"/>
      <c r="F706" s="1"/>
      <c r="G706" s="2"/>
      <c r="I706" s="2"/>
      <c r="P706" t="str">
        <f t="shared" si="72"/>
        <v/>
      </c>
      <c r="Q706" t="str">
        <f t="shared" si="73"/>
        <v/>
      </c>
      <c r="R706" t="str">
        <f t="shared" si="74"/>
        <v/>
      </c>
      <c r="T706">
        <f t="shared" si="75"/>
        <v>2985</v>
      </c>
    </row>
    <row r="707" spans="1:20" ht="14.1" customHeight="1" outlineLevel="3" x14ac:dyDescent="0.2">
      <c r="A707" t="str">
        <f t="shared" ref="A707:A770" si="78">IFERROR(IF(OR(K707="",I707=0),"",D707&amp;K707&amp;I707),"")</f>
        <v/>
      </c>
      <c r="E707" s="1"/>
      <c r="F707" s="1"/>
      <c r="G707" s="2"/>
      <c r="I707" s="2"/>
      <c r="P707" t="str">
        <f t="shared" ref="P707:P770" si="79">IF(OR(K707="",K707=0),"",D707&amp;N707&amp;K707&amp;M707&amp;F707)</f>
        <v/>
      </c>
      <c r="Q707" t="str">
        <f t="shared" ref="Q707:Q770" si="80">IF(P707="","",COUNTIF($P$2:$P$1448,$P707))</f>
        <v/>
      </c>
      <c r="R707" t="str">
        <f t="shared" ref="R707:R770" si="81">G707&amp;K707&amp;N707</f>
        <v/>
      </c>
      <c r="T707">
        <f t="shared" ref="T707:T770" si="82">COUNTIF($R$2:$R$2986,$R707)</f>
        <v>2985</v>
      </c>
    </row>
    <row r="708" spans="1:20" ht="14.1" customHeight="1" outlineLevel="3" x14ac:dyDescent="0.2">
      <c r="A708" t="str">
        <f t="shared" si="78"/>
        <v/>
      </c>
      <c r="E708" s="1"/>
      <c r="F708" s="1"/>
      <c r="G708" s="2"/>
      <c r="I708" s="2"/>
      <c r="P708" t="str">
        <f t="shared" si="79"/>
        <v/>
      </c>
      <c r="Q708" t="str">
        <f t="shared" si="80"/>
        <v/>
      </c>
      <c r="R708" t="str">
        <f t="shared" si="81"/>
        <v/>
      </c>
      <c r="T708">
        <f t="shared" si="82"/>
        <v>2985</v>
      </c>
    </row>
    <row r="709" spans="1:20" ht="14.1" customHeight="1" outlineLevel="3" x14ac:dyDescent="0.2">
      <c r="A709" t="str">
        <f t="shared" si="78"/>
        <v/>
      </c>
      <c r="E709" s="1"/>
      <c r="F709" s="1"/>
      <c r="G709" s="2"/>
      <c r="I709" s="2"/>
      <c r="P709" t="str">
        <f t="shared" si="79"/>
        <v/>
      </c>
      <c r="Q709" t="str">
        <f t="shared" si="80"/>
        <v/>
      </c>
      <c r="R709" t="str">
        <f t="shared" si="81"/>
        <v/>
      </c>
      <c r="T709">
        <f t="shared" si="82"/>
        <v>2985</v>
      </c>
    </row>
    <row r="710" spans="1:20" ht="14.1" customHeight="1" outlineLevel="3" x14ac:dyDescent="0.2">
      <c r="A710" t="str">
        <f t="shared" si="78"/>
        <v/>
      </c>
      <c r="E710" s="1"/>
      <c r="F710" s="1"/>
      <c r="G710" s="2"/>
      <c r="I710" s="2"/>
      <c r="P710" t="str">
        <f t="shared" si="79"/>
        <v/>
      </c>
      <c r="Q710" t="str">
        <f t="shared" si="80"/>
        <v/>
      </c>
      <c r="R710" t="str">
        <f t="shared" si="81"/>
        <v/>
      </c>
      <c r="T710">
        <f t="shared" si="82"/>
        <v>2985</v>
      </c>
    </row>
    <row r="711" spans="1:20" ht="14.1" customHeight="1" outlineLevel="3" x14ac:dyDescent="0.2">
      <c r="A711" t="str">
        <f t="shared" si="78"/>
        <v/>
      </c>
      <c r="E711" s="1"/>
      <c r="F711" s="1"/>
      <c r="G711" s="2"/>
      <c r="I711" s="2"/>
      <c r="P711" t="str">
        <f t="shared" si="79"/>
        <v/>
      </c>
      <c r="Q711" t="str">
        <f t="shared" si="80"/>
        <v/>
      </c>
      <c r="R711" t="str">
        <f t="shared" si="81"/>
        <v/>
      </c>
      <c r="T711">
        <f t="shared" si="82"/>
        <v>2985</v>
      </c>
    </row>
    <row r="712" spans="1:20" ht="14.1" customHeight="1" outlineLevel="3" x14ac:dyDescent="0.2">
      <c r="A712" t="str">
        <f t="shared" si="78"/>
        <v/>
      </c>
      <c r="E712" s="1"/>
      <c r="F712" s="1"/>
      <c r="G712" s="2"/>
      <c r="I712" s="2"/>
      <c r="P712" t="str">
        <f t="shared" si="79"/>
        <v/>
      </c>
      <c r="Q712" t="str">
        <f t="shared" si="80"/>
        <v/>
      </c>
      <c r="R712" t="str">
        <f t="shared" si="81"/>
        <v/>
      </c>
      <c r="T712">
        <f t="shared" si="82"/>
        <v>2985</v>
      </c>
    </row>
    <row r="713" spans="1:20" ht="14.1" customHeight="1" outlineLevel="3" x14ac:dyDescent="0.2">
      <c r="A713" t="str">
        <f t="shared" si="78"/>
        <v/>
      </c>
      <c r="E713" s="1"/>
      <c r="F713" s="1"/>
      <c r="G713" s="2"/>
      <c r="I713" s="2"/>
      <c r="P713" t="str">
        <f t="shared" si="79"/>
        <v/>
      </c>
      <c r="Q713" t="str">
        <f t="shared" si="80"/>
        <v/>
      </c>
      <c r="R713" t="str">
        <f t="shared" si="81"/>
        <v/>
      </c>
      <c r="T713">
        <f t="shared" si="82"/>
        <v>2985</v>
      </c>
    </row>
    <row r="714" spans="1:20" ht="14.1" customHeight="1" outlineLevel="3" x14ac:dyDescent="0.2">
      <c r="A714" t="str">
        <f t="shared" si="78"/>
        <v/>
      </c>
      <c r="E714" s="1"/>
      <c r="F714" s="1"/>
      <c r="G714" s="2"/>
      <c r="I714" s="2"/>
      <c r="P714" t="str">
        <f t="shared" si="79"/>
        <v/>
      </c>
      <c r="Q714" t="str">
        <f t="shared" si="80"/>
        <v/>
      </c>
      <c r="R714" t="str">
        <f t="shared" si="81"/>
        <v/>
      </c>
      <c r="T714">
        <f t="shared" si="82"/>
        <v>2985</v>
      </c>
    </row>
    <row r="715" spans="1:20" ht="14.1" customHeight="1" outlineLevel="3" x14ac:dyDescent="0.2">
      <c r="A715" t="str">
        <f t="shared" si="78"/>
        <v/>
      </c>
      <c r="E715" s="1"/>
      <c r="F715" s="1"/>
      <c r="G715" s="2"/>
      <c r="I715" s="2"/>
      <c r="P715" t="str">
        <f t="shared" si="79"/>
        <v/>
      </c>
      <c r="Q715" t="str">
        <f t="shared" si="80"/>
        <v/>
      </c>
      <c r="R715" t="str">
        <f t="shared" si="81"/>
        <v/>
      </c>
      <c r="T715">
        <f t="shared" si="82"/>
        <v>2985</v>
      </c>
    </row>
    <row r="716" spans="1:20" ht="14.1" customHeight="1" outlineLevel="3" x14ac:dyDescent="0.2">
      <c r="A716" t="str">
        <f t="shared" si="78"/>
        <v/>
      </c>
      <c r="E716" s="1"/>
      <c r="F716" s="1"/>
      <c r="G716" s="2"/>
      <c r="I716" s="2"/>
      <c r="P716" t="str">
        <f t="shared" si="79"/>
        <v/>
      </c>
      <c r="Q716" t="str">
        <f t="shared" si="80"/>
        <v/>
      </c>
      <c r="R716" t="str">
        <f t="shared" si="81"/>
        <v/>
      </c>
      <c r="T716">
        <f t="shared" si="82"/>
        <v>2985</v>
      </c>
    </row>
    <row r="717" spans="1:20" ht="14.1" customHeight="1" outlineLevel="3" x14ac:dyDescent="0.2">
      <c r="A717" t="str">
        <f t="shared" si="78"/>
        <v/>
      </c>
      <c r="E717" s="1"/>
      <c r="F717" s="1"/>
      <c r="G717" s="2"/>
      <c r="I717" s="2"/>
      <c r="P717" t="str">
        <f t="shared" si="79"/>
        <v/>
      </c>
      <c r="Q717" t="str">
        <f t="shared" si="80"/>
        <v/>
      </c>
      <c r="R717" t="str">
        <f t="shared" si="81"/>
        <v/>
      </c>
      <c r="T717">
        <f t="shared" si="82"/>
        <v>2985</v>
      </c>
    </row>
    <row r="718" spans="1:20" ht="14.1" customHeight="1" outlineLevel="3" x14ac:dyDescent="0.2">
      <c r="A718" t="str">
        <f t="shared" si="78"/>
        <v/>
      </c>
      <c r="E718" s="1"/>
      <c r="F718" s="1"/>
      <c r="G718" s="2"/>
      <c r="I718" s="2"/>
      <c r="P718" t="str">
        <f t="shared" si="79"/>
        <v/>
      </c>
      <c r="Q718" t="str">
        <f t="shared" si="80"/>
        <v/>
      </c>
      <c r="R718" t="str">
        <f t="shared" si="81"/>
        <v/>
      </c>
      <c r="T718">
        <f t="shared" si="82"/>
        <v>2985</v>
      </c>
    </row>
    <row r="719" spans="1:20" ht="14.1" customHeight="1" outlineLevel="3" x14ac:dyDescent="0.2">
      <c r="A719" t="str">
        <f t="shared" si="78"/>
        <v/>
      </c>
      <c r="E719" s="1"/>
      <c r="F719" s="1"/>
      <c r="G719" s="2"/>
      <c r="I719" s="2"/>
      <c r="P719" t="str">
        <f t="shared" si="79"/>
        <v/>
      </c>
      <c r="Q719" t="str">
        <f t="shared" si="80"/>
        <v/>
      </c>
      <c r="R719" t="str">
        <f t="shared" si="81"/>
        <v/>
      </c>
      <c r="T719">
        <f t="shared" si="82"/>
        <v>2985</v>
      </c>
    </row>
    <row r="720" spans="1:20" ht="14.1" customHeight="1" outlineLevel="3" x14ac:dyDescent="0.2">
      <c r="A720" t="str">
        <f t="shared" si="78"/>
        <v/>
      </c>
      <c r="E720" s="1"/>
      <c r="F720" s="1"/>
      <c r="G720" s="2"/>
      <c r="I720" s="2"/>
      <c r="P720" t="str">
        <f t="shared" si="79"/>
        <v/>
      </c>
      <c r="Q720" t="str">
        <f t="shared" si="80"/>
        <v/>
      </c>
      <c r="R720" t="str">
        <f t="shared" si="81"/>
        <v/>
      </c>
      <c r="T720">
        <f t="shared" si="82"/>
        <v>2985</v>
      </c>
    </row>
    <row r="721" spans="1:20" ht="14.1" customHeight="1" outlineLevel="3" x14ac:dyDescent="0.2">
      <c r="A721" t="str">
        <f t="shared" si="78"/>
        <v/>
      </c>
      <c r="E721" s="1"/>
      <c r="F721" s="1"/>
      <c r="G721" s="2"/>
      <c r="I721" s="2"/>
      <c r="P721" t="str">
        <f t="shared" si="79"/>
        <v/>
      </c>
      <c r="Q721" t="str">
        <f t="shared" si="80"/>
        <v/>
      </c>
      <c r="R721" t="str">
        <f t="shared" si="81"/>
        <v/>
      </c>
      <c r="T721">
        <f t="shared" si="82"/>
        <v>2985</v>
      </c>
    </row>
    <row r="722" spans="1:20" ht="14.1" customHeight="1" outlineLevel="3" x14ac:dyDescent="0.2">
      <c r="A722" t="str">
        <f t="shared" si="78"/>
        <v/>
      </c>
      <c r="E722" s="1"/>
      <c r="F722" s="1"/>
      <c r="G722" s="2"/>
      <c r="I722" s="2"/>
      <c r="P722" t="str">
        <f t="shared" si="79"/>
        <v/>
      </c>
      <c r="Q722" t="str">
        <f t="shared" si="80"/>
        <v/>
      </c>
      <c r="R722" t="str">
        <f t="shared" si="81"/>
        <v/>
      </c>
      <c r="T722">
        <f t="shared" si="82"/>
        <v>2985</v>
      </c>
    </row>
    <row r="723" spans="1:20" ht="14.1" customHeight="1" outlineLevel="3" x14ac:dyDescent="0.2">
      <c r="A723" t="str">
        <f t="shared" si="78"/>
        <v/>
      </c>
      <c r="E723" s="1"/>
      <c r="F723" s="1"/>
      <c r="G723" s="2"/>
      <c r="I723" s="2"/>
      <c r="P723" t="str">
        <f t="shared" si="79"/>
        <v/>
      </c>
      <c r="Q723" t="str">
        <f t="shared" si="80"/>
        <v/>
      </c>
      <c r="R723" t="str">
        <f t="shared" si="81"/>
        <v/>
      </c>
      <c r="T723">
        <f t="shared" si="82"/>
        <v>2985</v>
      </c>
    </row>
    <row r="724" spans="1:20" ht="14.1" customHeight="1" outlineLevel="3" x14ac:dyDescent="0.2">
      <c r="A724" t="str">
        <f t="shared" si="78"/>
        <v/>
      </c>
      <c r="E724" s="1"/>
      <c r="F724" s="1"/>
      <c r="G724" s="2"/>
      <c r="I724" s="2"/>
      <c r="P724" t="str">
        <f t="shared" si="79"/>
        <v/>
      </c>
      <c r="Q724" t="str">
        <f t="shared" si="80"/>
        <v/>
      </c>
      <c r="R724" t="str">
        <f t="shared" si="81"/>
        <v/>
      </c>
      <c r="T724">
        <f t="shared" si="82"/>
        <v>2985</v>
      </c>
    </row>
    <row r="725" spans="1:20" ht="14.1" customHeight="1" outlineLevel="3" x14ac:dyDescent="0.2">
      <c r="A725" t="str">
        <f t="shared" si="78"/>
        <v/>
      </c>
      <c r="E725" s="1"/>
      <c r="F725" s="1"/>
      <c r="G725" s="2"/>
      <c r="I725" s="2"/>
      <c r="P725" t="str">
        <f t="shared" si="79"/>
        <v/>
      </c>
      <c r="Q725" t="str">
        <f t="shared" si="80"/>
        <v/>
      </c>
      <c r="R725" t="str">
        <f t="shared" si="81"/>
        <v/>
      </c>
      <c r="T725">
        <f t="shared" si="82"/>
        <v>2985</v>
      </c>
    </row>
    <row r="726" spans="1:20" ht="14.1" customHeight="1" outlineLevel="3" x14ac:dyDescent="0.2">
      <c r="A726" t="str">
        <f t="shared" si="78"/>
        <v/>
      </c>
      <c r="E726" s="1"/>
      <c r="F726" s="1"/>
      <c r="G726" s="2"/>
      <c r="I726" s="2"/>
      <c r="P726" t="str">
        <f t="shared" si="79"/>
        <v/>
      </c>
      <c r="Q726" t="str">
        <f t="shared" si="80"/>
        <v/>
      </c>
      <c r="R726" t="str">
        <f t="shared" si="81"/>
        <v/>
      </c>
      <c r="T726">
        <f t="shared" si="82"/>
        <v>2985</v>
      </c>
    </row>
    <row r="727" spans="1:20" ht="14.1" customHeight="1" outlineLevel="3" x14ac:dyDescent="0.2">
      <c r="A727" t="str">
        <f t="shared" si="78"/>
        <v/>
      </c>
      <c r="E727" s="1"/>
      <c r="F727" s="1"/>
      <c r="G727" s="2"/>
      <c r="I727" s="2"/>
      <c r="P727" t="str">
        <f t="shared" si="79"/>
        <v/>
      </c>
      <c r="Q727" t="str">
        <f t="shared" si="80"/>
        <v/>
      </c>
      <c r="R727" t="str">
        <f t="shared" si="81"/>
        <v/>
      </c>
      <c r="T727">
        <f t="shared" si="82"/>
        <v>2985</v>
      </c>
    </row>
    <row r="728" spans="1:20" ht="14.1" customHeight="1" outlineLevel="3" x14ac:dyDescent="0.2">
      <c r="A728" t="str">
        <f t="shared" si="78"/>
        <v/>
      </c>
      <c r="E728" s="1"/>
      <c r="F728" s="1"/>
      <c r="G728" s="2"/>
      <c r="I728" s="2"/>
      <c r="P728" t="str">
        <f t="shared" si="79"/>
        <v/>
      </c>
      <c r="Q728" t="str">
        <f t="shared" si="80"/>
        <v/>
      </c>
      <c r="R728" t="str">
        <f t="shared" si="81"/>
        <v/>
      </c>
      <c r="T728">
        <f t="shared" si="82"/>
        <v>2985</v>
      </c>
    </row>
    <row r="729" spans="1:20" ht="14.1" customHeight="1" outlineLevel="3" x14ac:dyDescent="0.2">
      <c r="A729" t="str">
        <f t="shared" si="78"/>
        <v/>
      </c>
      <c r="E729" s="1"/>
      <c r="F729" s="1"/>
      <c r="G729" s="2"/>
      <c r="I729" s="2"/>
      <c r="P729" t="str">
        <f t="shared" si="79"/>
        <v/>
      </c>
      <c r="Q729" t="str">
        <f t="shared" si="80"/>
        <v/>
      </c>
      <c r="R729" t="str">
        <f t="shared" si="81"/>
        <v/>
      </c>
      <c r="T729">
        <f t="shared" si="82"/>
        <v>2985</v>
      </c>
    </row>
    <row r="730" spans="1:20" ht="14.1" customHeight="1" outlineLevel="3" x14ac:dyDescent="0.2">
      <c r="A730" t="str">
        <f t="shared" si="78"/>
        <v/>
      </c>
      <c r="E730" s="1"/>
      <c r="F730" s="1"/>
      <c r="G730" s="2"/>
      <c r="I730" s="2"/>
      <c r="P730" t="str">
        <f t="shared" si="79"/>
        <v/>
      </c>
      <c r="Q730" t="str">
        <f t="shared" si="80"/>
        <v/>
      </c>
      <c r="R730" t="str">
        <f t="shared" si="81"/>
        <v/>
      </c>
      <c r="T730">
        <f t="shared" si="82"/>
        <v>2985</v>
      </c>
    </row>
    <row r="731" spans="1:20" outlineLevel="2" x14ac:dyDescent="0.2">
      <c r="A731" t="str">
        <f t="shared" si="78"/>
        <v/>
      </c>
      <c r="E731" s="1"/>
      <c r="F731" s="1"/>
      <c r="G731" s="2"/>
      <c r="I731" s="2"/>
      <c r="P731" t="str">
        <f t="shared" si="79"/>
        <v/>
      </c>
      <c r="Q731" t="str">
        <f t="shared" si="80"/>
        <v/>
      </c>
      <c r="R731" t="str">
        <f t="shared" si="81"/>
        <v/>
      </c>
      <c r="T731">
        <f t="shared" si="82"/>
        <v>2985</v>
      </c>
    </row>
    <row r="732" spans="1:20" ht="14.1" customHeight="1" outlineLevel="3" x14ac:dyDescent="0.2">
      <c r="A732" t="str">
        <f t="shared" si="78"/>
        <v/>
      </c>
      <c r="E732" s="1"/>
      <c r="F732" s="1"/>
      <c r="G732" s="2"/>
      <c r="I732" s="2"/>
      <c r="P732" t="str">
        <f t="shared" si="79"/>
        <v/>
      </c>
      <c r="Q732" t="str">
        <f t="shared" si="80"/>
        <v/>
      </c>
      <c r="R732" t="str">
        <f t="shared" si="81"/>
        <v/>
      </c>
      <c r="T732">
        <f t="shared" si="82"/>
        <v>2985</v>
      </c>
    </row>
    <row r="733" spans="1:20" ht="14.1" customHeight="1" outlineLevel="3" x14ac:dyDescent="0.2">
      <c r="A733" t="str">
        <f t="shared" si="78"/>
        <v/>
      </c>
      <c r="E733" s="1"/>
      <c r="F733" s="1"/>
      <c r="G733" s="2"/>
      <c r="I733" s="2"/>
      <c r="P733" t="str">
        <f t="shared" si="79"/>
        <v/>
      </c>
      <c r="Q733" t="str">
        <f t="shared" si="80"/>
        <v/>
      </c>
      <c r="R733" t="str">
        <f t="shared" si="81"/>
        <v/>
      </c>
      <c r="T733">
        <f t="shared" si="82"/>
        <v>2985</v>
      </c>
    </row>
    <row r="734" spans="1:20" ht="14.1" customHeight="1" outlineLevel="3" x14ac:dyDescent="0.2">
      <c r="A734" t="str">
        <f t="shared" si="78"/>
        <v/>
      </c>
      <c r="E734" s="1"/>
      <c r="F734" s="1"/>
      <c r="G734" s="2"/>
      <c r="I734" s="2"/>
      <c r="P734" t="str">
        <f t="shared" si="79"/>
        <v/>
      </c>
      <c r="Q734" t="str">
        <f t="shared" si="80"/>
        <v/>
      </c>
      <c r="R734" t="str">
        <f t="shared" si="81"/>
        <v/>
      </c>
      <c r="T734">
        <f t="shared" si="82"/>
        <v>2985</v>
      </c>
    </row>
    <row r="735" spans="1:20" ht="14.1" customHeight="1" outlineLevel="3" x14ac:dyDescent="0.2">
      <c r="A735" t="str">
        <f t="shared" si="78"/>
        <v/>
      </c>
      <c r="E735" s="1"/>
      <c r="F735" s="1"/>
      <c r="G735" s="2"/>
      <c r="I735" s="2"/>
      <c r="P735" t="str">
        <f t="shared" si="79"/>
        <v/>
      </c>
      <c r="Q735" t="str">
        <f t="shared" si="80"/>
        <v/>
      </c>
      <c r="R735" t="str">
        <f t="shared" si="81"/>
        <v/>
      </c>
      <c r="T735">
        <f t="shared" si="82"/>
        <v>2985</v>
      </c>
    </row>
    <row r="736" spans="1:20" ht="14.1" customHeight="1" outlineLevel="3" x14ac:dyDescent="0.2">
      <c r="A736" t="str">
        <f t="shared" si="78"/>
        <v/>
      </c>
      <c r="E736" s="1"/>
      <c r="F736" s="1"/>
      <c r="G736" s="2"/>
      <c r="I736" s="2"/>
      <c r="P736" t="str">
        <f t="shared" si="79"/>
        <v/>
      </c>
      <c r="Q736" t="str">
        <f t="shared" si="80"/>
        <v/>
      </c>
      <c r="R736" t="str">
        <f t="shared" si="81"/>
        <v/>
      </c>
      <c r="T736">
        <f t="shared" si="82"/>
        <v>2985</v>
      </c>
    </row>
    <row r="737" spans="1:20" ht="14.1" customHeight="1" outlineLevel="3" x14ac:dyDescent="0.2">
      <c r="A737" t="str">
        <f t="shared" si="78"/>
        <v/>
      </c>
      <c r="E737" s="1"/>
      <c r="F737" s="1"/>
      <c r="G737" s="2"/>
      <c r="I737" s="2"/>
      <c r="P737" t="str">
        <f t="shared" si="79"/>
        <v/>
      </c>
      <c r="Q737" t="str">
        <f t="shared" si="80"/>
        <v/>
      </c>
      <c r="R737" t="str">
        <f t="shared" si="81"/>
        <v/>
      </c>
      <c r="T737">
        <f t="shared" si="82"/>
        <v>2985</v>
      </c>
    </row>
    <row r="738" spans="1:20" ht="14.1" customHeight="1" outlineLevel="3" x14ac:dyDescent="0.2">
      <c r="A738" t="str">
        <f t="shared" si="78"/>
        <v/>
      </c>
      <c r="E738" s="1"/>
      <c r="F738" s="1"/>
      <c r="G738" s="2"/>
      <c r="I738" s="2"/>
      <c r="P738" t="str">
        <f t="shared" si="79"/>
        <v/>
      </c>
      <c r="Q738" t="str">
        <f t="shared" si="80"/>
        <v/>
      </c>
      <c r="R738" t="str">
        <f t="shared" si="81"/>
        <v/>
      </c>
      <c r="T738">
        <f t="shared" si="82"/>
        <v>2985</v>
      </c>
    </row>
    <row r="739" spans="1:20" ht="14.1" customHeight="1" outlineLevel="3" x14ac:dyDescent="0.2">
      <c r="A739" t="str">
        <f t="shared" si="78"/>
        <v/>
      </c>
      <c r="E739" s="1"/>
      <c r="F739" s="1"/>
      <c r="G739" s="2"/>
      <c r="I739" s="2"/>
      <c r="P739" t="str">
        <f t="shared" si="79"/>
        <v/>
      </c>
      <c r="Q739" t="str">
        <f t="shared" si="80"/>
        <v/>
      </c>
      <c r="R739" t="str">
        <f t="shared" si="81"/>
        <v/>
      </c>
      <c r="T739">
        <f t="shared" si="82"/>
        <v>2985</v>
      </c>
    </row>
    <row r="740" spans="1:20" ht="14.1" customHeight="1" outlineLevel="3" x14ac:dyDescent="0.2">
      <c r="A740" t="str">
        <f t="shared" si="78"/>
        <v/>
      </c>
      <c r="E740" s="1"/>
      <c r="F740" s="1"/>
      <c r="G740" s="2"/>
      <c r="I740" s="2"/>
      <c r="P740" t="str">
        <f t="shared" si="79"/>
        <v/>
      </c>
      <c r="Q740" t="str">
        <f t="shared" si="80"/>
        <v/>
      </c>
      <c r="R740" t="str">
        <f t="shared" si="81"/>
        <v/>
      </c>
      <c r="T740">
        <f t="shared" si="82"/>
        <v>2985</v>
      </c>
    </row>
    <row r="741" spans="1:20" ht="14.1" customHeight="1" outlineLevel="3" x14ac:dyDescent="0.2">
      <c r="A741" t="str">
        <f t="shared" si="78"/>
        <v/>
      </c>
      <c r="E741" s="1"/>
      <c r="F741" s="1"/>
      <c r="G741" s="2"/>
      <c r="I741" s="2"/>
      <c r="P741" t="str">
        <f t="shared" si="79"/>
        <v/>
      </c>
      <c r="Q741" t="str">
        <f t="shared" si="80"/>
        <v/>
      </c>
      <c r="R741" t="str">
        <f t="shared" si="81"/>
        <v/>
      </c>
      <c r="T741">
        <f t="shared" si="82"/>
        <v>2985</v>
      </c>
    </row>
    <row r="742" spans="1:20" ht="14.1" customHeight="1" outlineLevel="3" x14ac:dyDescent="0.2">
      <c r="A742" t="str">
        <f t="shared" si="78"/>
        <v/>
      </c>
      <c r="E742" s="1"/>
      <c r="F742" s="1"/>
      <c r="G742" s="2"/>
      <c r="I742" s="2"/>
      <c r="P742" t="str">
        <f t="shared" si="79"/>
        <v/>
      </c>
      <c r="Q742" t="str">
        <f t="shared" si="80"/>
        <v/>
      </c>
      <c r="R742" t="str">
        <f t="shared" si="81"/>
        <v/>
      </c>
      <c r="T742">
        <f t="shared" si="82"/>
        <v>2985</v>
      </c>
    </row>
    <row r="743" spans="1:20" ht="14.1" customHeight="1" outlineLevel="3" x14ac:dyDescent="0.2">
      <c r="A743" t="str">
        <f t="shared" si="78"/>
        <v/>
      </c>
      <c r="E743" s="1"/>
      <c r="F743" s="1"/>
      <c r="G743" s="2"/>
      <c r="I743" s="2"/>
      <c r="P743" t="str">
        <f t="shared" si="79"/>
        <v/>
      </c>
      <c r="Q743" t="str">
        <f t="shared" si="80"/>
        <v/>
      </c>
      <c r="R743" t="str">
        <f t="shared" si="81"/>
        <v/>
      </c>
      <c r="T743">
        <f t="shared" si="82"/>
        <v>2985</v>
      </c>
    </row>
    <row r="744" spans="1:20" ht="14.1" customHeight="1" outlineLevel="3" x14ac:dyDescent="0.2">
      <c r="A744" t="str">
        <f t="shared" si="78"/>
        <v/>
      </c>
      <c r="E744" s="1"/>
      <c r="F744" s="1"/>
      <c r="G744" s="2"/>
      <c r="I744" s="2"/>
      <c r="P744" t="str">
        <f t="shared" si="79"/>
        <v/>
      </c>
      <c r="Q744" t="str">
        <f t="shared" si="80"/>
        <v/>
      </c>
      <c r="R744" t="str">
        <f t="shared" si="81"/>
        <v/>
      </c>
      <c r="T744">
        <f t="shared" si="82"/>
        <v>2985</v>
      </c>
    </row>
    <row r="745" spans="1:20" ht="14.1" customHeight="1" outlineLevel="3" x14ac:dyDescent="0.2">
      <c r="A745" t="str">
        <f t="shared" si="78"/>
        <v/>
      </c>
      <c r="E745" s="1"/>
      <c r="F745" s="1"/>
      <c r="G745" s="2"/>
      <c r="I745" s="2"/>
      <c r="P745" t="str">
        <f t="shared" si="79"/>
        <v/>
      </c>
      <c r="Q745" t="str">
        <f t="shared" si="80"/>
        <v/>
      </c>
      <c r="R745" t="str">
        <f t="shared" si="81"/>
        <v/>
      </c>
      <c r="T745">
        <f t="shared" si="82"/>
        <v>2985</v>
      </c>
    </row>
    <row r="746" spans="1:20" ht="14.1" customHeight="1" outlineLevel="3" x14ac:dyDescent="0.2">
      <c r="A746" t="str">
        <f t="shared" si="78"/>
        <v/>
      </c>
      <c r="E746" s="1"/>
      <c r="F746" s="1"/>
      <c r="G746" s="2"/>
      <c r="I746" s="2"/>
      <c r="P746" t="str">
        <f t="shared" si="79"/>
        <v/>
      </c>
      <c r="Q746" t="str">
        <f t="shared" si="80"/>
        <v/>
      </c>
      <c r="R746" t="str">
        <f t="shared" si="81"/>
        <v/>
      </c>
      <c r="T746">
        <f t="shared" si="82"/>
        <v>2985</v>
      </c>
    </row>
    <row r="747" spans="1:20" ht="14.1" customHeight="1" outlineLevel="3" x14ac:dyDescent="0.2">
      <c r="A747" t="str">
        <f t="shared" si="78"/>
        <v/>
      </c>
      <c r="E747" s="1"/>
      <c r="F747" s="1"/>
      <c r="G747" s="2"/>
      <c r="I747" s="2"/>
      <c r="P747" t="str">
        <f t="shared" si="79"/>
        <v/>
      </c>
      <c r="Q747" t="str">
        <f t="shared" si="80"/>
        <v/>
      </c>
      <c r="R747" t="str">
        <f t="shared" si="81"/>
        <v/>
      </c>
      <c r="T747">
        <f t="shared" si="82"/>
        <v>2985</v>
      </c>
    </row>
    <row r="748" spans="1:20" ht="14.1" customHeight="1" outlineLevel="3" x14ac:dyDescent="0.2">
      <c r="A748" t="str">
        <f t="shared" si="78"/>
        <v/>
      </c>
      <c r="E748" s="1"/>
      <c r="F748" s="1"/>
      <c r="G748" s="2"/>
      <c r="I748" s="2"/>
      <c r="P748" t="str">
        <f t="shared" si="79"/>
        <v/>
      </c>
      <c r="Q748" t="str">
        <f t="shared" si="80"/>
        <v/>
      </c>
      <c r="R748" t="str">
        <f t="shared" si="81"/>
        <v/>
      </c>
      <c r="T748">
        <f t="shared" si="82"/>
        <v>2985</v>
      </c>
    </row>
    <row r="749" spans="1:20" ht="14.1" customHeight="1" outlineLevel="3" x14ac:dyDescent="0.2">
      <c r="A749" t="str">
        <f t="shared" si="78"/>
        <v/>
      </c>
      <c r="E749" s="1"/>
      <c r="F749" s="1"/>
      <c r="G749" s="2"/>
      <c r="I749" s="2"/>
      <c r="P749" t="str">
        <f t="shared" si="79"/>
        <v/>
      </c>
      <c r="Q749" t="str">
        <f t="shared" si="80"/>
        <v/>
      </c>
      <c r="R749" t="str">
        <f t="shared" si="81"/>
        <v/>
      </c>
      <c r="T749">
        <f t="shared" si="82"/>
        <v>2985</v>
      </c>
    </row>
    <row r="750" spans="1:20" ht="14.1" customHeight="1" outlineLevel="3" x14ac:dyDescent="0.2">
      <c r="A750" t="str">
        <f t="shared" si="78"/>
        <v/>
      </c>
      <c r="E750" s="1"/>
      <c r="F750" s="1"/>
      <c r="G750" s="2"/>
      <c r="I750" s="2"/>
      <c r="P750" t="str">
        <f t="shared" si="79"/>
        <v/>
      </c>
      <c r="Q750" t="str">
        <f t="shared" si="80"/>
        <v/>
      </c>
      <c r="R750" t="str">
        <f t="shared" si="81"/>
        <v/>
      </c>
      <c r="T750">
        <f t="shared" si="82"/>
        <v>2985</v>
      </c>
    </row>
    <row r="751" spans="1:20" outlineLevel="2" x14ac:dyDescent="0.2">
      <c r="A751" t="str">
        <f t="shared" si="78"/>
        <v/>
      </c>
      <c r="E751" s="1"/>
      <c r="F751" s="1"/>
      <c r="G751" s="2"/>
      <c r="I751" s="2"/>
      <c r="P751" t="str">
        <f t="shared" si="79"/>
        <v/>
      </c>
      <c r="Q751" t="str">
        <f t="shared" si="80"/>
        <v/>
      </c>
      <c r="R751" t="str">
        <f t="shared" si="81"/>
        <v/>
      </c>
      <c r="T751">
        <f t="shared" si="82"/>
        <v>2985</v>
      </c>
    </row>
    <row r="752" spans="1:20" ht="14.1" customHeight="1" outlineLevel="3" x14ac:dyDescent="0.2">
      <c r="A752" t="str">
        <f t="shared" si="78"/>
        <v/>
      </c>
      <c r="E752" s="1"/>
      <c r="F752" s="1"/>
      <c r="G752" s="2"/>
      <c r="I752" s="2"/>
      <c r="P752" t="str">
        <f t="shared" si="79"/>
        <v/>
      </c>
      <c r="Q752" t="str">
        <f t="shared" si="80"/>
        <v/>
      </c>
      <c r="R752" t="str">
        <f t="shared" si="81"/>
        <v/>
      </c>
      <c r="T752">
        <f t="shared" si="82"/>
        <v>2985</v>
      </c>
    </row>
    <row r="753" spans="1:20" ht="14.1" customHeight="1" outlineLevel="3" x14ac:dyDescent="0.2">
      <c r="A753" t="str">
        <f t="shared" si="78"/>
        <v/>
      </c>
      <c r="E753" s="1"/>
      <c r="F753" s="1"/>
      <c r="G753" s="2"/>
      <c r="I753" s="2"/>
      <c r="P753" t="str">
        <f t="shared" si="79"/>
        <v/>
      </c>
      <c r="Q753" t="str">
        <f t="shared" si="80"/>
        <v/>
      </c>
      <c r="R753" t="str">
        <f t="shared" si="81"/>
        <v/>
      </c>
      <c r="T753">
        <f t="shared" si="82"/>
        <v>2985</v>
      </c>
    </row>
    <row r="754" spans="1:20" ht="14.1" customHeight="1" outlineLevel="3" x14ac:dyDescent="0.2">
      <c r="A754" t="str">
        <f t="shared" si="78"/>
        <v/>
      </c>
      <c r="E754" s="1"/>
      <c r="F754" s="1"/>
      <c r="G754" s="2"/>
      <c r="I754" s="2"/>
      <c r="P754" t="str">
        <f t="shared" si="79"/>
        <v/>
      </c>
      <c r="Q754" t="str">
        <f t="shared" si="80"/>
        <v/>
      </c>
      <c r="R754" t="str">
        <f t="shared" si="81"/>
        <v/>
      </c>
      <c r="T754">
        <f t="shared" si="82"/>
        <v>2985</v>
      </c>
    </row>
    <row r="755" spans="1:20" ht="14.1" customHeight="1" outlineLevel="3" x14ac:dyDescent="0.2">
      <c r="A755" t="str">
        <f t="shared" si="78"/>
        <v/>
      </c>
      <c r="E755" s="1"/>
      <c r="F755" s="1"/>
      <c r="G755" s="2"/>
      <c r="I755" s="2"/>
      <c r="P755" t="str">
        <f t="shared" si="79"/>
        <v/>
      </c>
      <c r="Q755" t="str">
        <f t="shared" si="80"/>
        <v/>
      </c>
      <c r="R755" t="str">
        <f t="shared" si="81"/>
        <v/>
      </c>
      <c r="T755">
        <f t="shared" si="82"/>
        <v>2985</v>
      </c>
    </row>
    <row r="756" spans="1:20" ht="14.1" customHeight="1" outlineLevel="3" x14ac:dyDescent="0.2">
      <c r="A756" t="str">
        <f t="shared" si="78"/>
        <v/>
      </c>
      <c r="E756" s="1"/>
      <c r="F756" s="1"/>
      <c r="G756" s="2"/>
      <c r="I756" s="2"/>
      <c r="P756" t="str">
        <f t="shared" si="79"/>
        <v/>
      </c>
      <c r="Q756" t="str">
        <f t="shared" si="80"/>
        <v/>
      </c>
      <c r="R756" t="str">
        <f t="shared" si="81"/>
        <v/>
      </c>
      <c r="T756">
        <f t="shared" si="82"/>
        <v>2985</v>
      </c>
    </row>
    <row r="757" spans="1:20" ht="14.1" customHeight="1" outlineLevel="3" x14ac:dyDescent="0.2">
      <c r="A757" t="str">
        <f t="shared" si="78"/>
        <v/>
      </c>
      <c r="E757" s="1"/>
      <c r="F757" s="1"/>
      <c r="G757" s="2"/>
      <c r="I757" s="2"/>
      <c r="P757" t="str">
        <f t="shared" si="79"/>
        <v/>
      </c>
      <c r="Q757" t="str">
        <f t="shared" si="80"/>
        <v/>
      </c>
      <c r="R757" t="str">
        <f t="shared" si="81"/>
        <v/>
      </c>
      <c r="T757">
        <f t="shared" si="82"/>
        <v>2985</v>
      </c>
    </row>
    <row r="758" spans="1:20" ht="14.1" customHeight="1" outlineLevel="3" x14ac:dyDescent="0.2">
      <c r="A758" t="str">
        <f t="shared" si="78"/>
        <v/>
      </c>
      <c r="E758" s="1"/>
      <c r="F758" s="1"/>
      <c r="G758" s="2"/>
      <c r="I758" s="2"/>
      <c r="P758" t="str">
        <f t="shared" ref="P758:P761" si="83">IF(OR(K758="",K758=0),"",D758&amp;N758&amp;K758&amp;M758&amp;F758&amp;G758)</f>
        <v/>
      </c>
      <c r="Q758" t="str">
        <f t="shared" si="80"/>
        <v/>
      </c>
      <c r="R758" t="str">
        <f t="shared" si="81"/>
        <v/>
      </c>
      <c r="T758">
        <f t="shared" si="82"/>
        <v>2985</v>
      </c>
    </row>
    <row r="759" spans="1:20" ht="14.1" customHeight="1" outlineLevel="3" x14ac:dyDescent="0.2">
      <c r="A759" t="str">
        <f t="shared" si="78"/>
        <v/>
      </c>
      <c r="E759" s="1"/>
      <c r="F759" s="1"/>
      <c r="G759" s="2"/>
      <c r="I759" s="2"/>
      <c r="P759" t="str">
        <f t="shared" si="83"/>
        <v/>
      </c>
      <c r="Q759" t="str">
        <f t="shared" si="80"/>
        <v/>
      </c>
      <c r="R759" t="str">
        <f t="shared" si="81"/>
        <v/>
      </c>
      <c r="T759">
        <f t="shared" si="82"/>
        <v>2985</v>
      </c>
    </row>
    <row r="760" spans="1:20" ht="14.1" customHeight="1" outlineLevel="3" x14ac:dyDescent="0.2">
      <c r="A760" t="str">
        <f t="shared" si="78"/>
        <v/>
      </c>
      <c r="E760" s="1"/>
      <c r="F760" s="1"/>
      <c r="G760" s="2"/>
      <c r="I760" s="2"/>
      <c r="P760" t="str">
        <f t="shared" si="83"/>
        <v/>
      </c>
      <c r="Q760" t="str">
        <f t="shared" si="80"/>
        <v/>
      </c>
      <c r="R760" t="str">
        <f t="shared" si="81"/>
        <v/>
      </c>
      <c r="T760">
        <f t="shared" si="82"/>
        <v>2985</v>
      </c>
    </row>
    <row r="761" spans="1:20" ht="14.1" customHeight="1" outlineLevel="3" x14ac:dyDescent="0.2">
      <c r="A761" t="str">
        <f t="shared" si="78"/>
        <v/>
      </c>
      <c r="E761" s="1"/>
      <c r="F761" s="1"/>
      <c r="G761" s="2"/>
      <c r="I761" s="2"/>
      <c r="P761" t="str">
        <f t="shared" si="83"/>
        <v/>
      </c>
      <c r="Q761" t="str">
        <f t="shared" si="80"/>
        <v/>
      </c>
      <c r="R761" t="str">
        <f t="shared" si="81"/>
        <v/>
      </c>
      <c r="T761">
        <f t="shared" si="82"/>
        <v>2985</v>
      </c>
    </row>
    <row r="762" spans="1:20" ht="14.1" customHeight="1" outlineLevel="3" x14ac:dyDescent="0.2">
      <c r="A762" t="str">
        <f t="shared" si="78"/>
        <v/>
      </c>
      <c r="E762" s="1"/>
      <c r="F762" s="1"/>
      <c r="G762" s="2"/>
      <c r="I762" s="2"/>
      <c r="P762" t="str">
        <f t="shared" si="79"/>
        <v/>
      </c>
      <c r="Q762" t="str">
        <f t="shared" si="80"/>
        <v/>
      </c>
      <c r="R762" t="str">
        <f t="shared" si="81"/>
        <v/>
      </c>
      <c r="T762">
        <f t="shared" si="82"/>
        <v>2985</v>
      </c>
    </row>
    <row r="763" spans="1:20" ht="14.1" customHeight="1" outlineLevel="3" x14ac:dyDescent="0.2">
      <c r="A763" t="str">
        <f t="shared" si="78"/>
        <v/>
      </c>
      <c r="E763" s="1"/>
      <c r="F763" s="1"/>
      <c r="G763" s="2"/>
      <c r="I763" s="2"/>
      <c r="P763" t="str">
        <f t="shared" si="79"/>
        <v/>
      </c>
      <c r="Q763" t="str">
        <f t="shared" si="80"/>
        <v/>
      </c>
      <c r="R763" t="str">
        <f t="shared" si="81"/>
        <v/>
      </c>
      <c r="T763">
        <f t="shared" si="82"/>
        <v>2985</v>
      </c>
    </row>
    <row r="764" spans="1:20" ht="14.1" customHeight="1" outlineLevel="3" x14ac:dyDescent="0.2">
      <c r="A764" t="str">
        <f t="shared" si="78"/>
        <v/>
      </c>
      <c r="E764" s="1"/>
      <c r="F764" s="1"/>
      <c r="G764" s="2"/>
      <c r="I764" s="2"/>
      <c r="P764" t="str">
        <f t="shared" si="79"/>
        <v/>
      </c>
      <c r="Q764" t="str">
        <f t="shared" si="80"/>
        <v/>
      </c>
      <c r="R764" t="str">
        <f t="shared" si="81"/>
        <v/>
      </c>
      <c r="T764">
        <f t="shared" si="82"/>
        <v>2985</v>
      </c>
    </row>
    <row r="765" spans="1:20" ht="14.1" customHeight="1" outlineLevel="3" x14ac:dyDescent="0.2">
      <c r="A765" t="str">
        <f t="shared" si="78"/>
        <v/>
      </c>
      <c r="E765" s="1"/>
      <c r="F765" s="1"/>
      <c r="G765" s="2"/>
      <c r="I765" s="2"/>
      <c r="P765" t="str">
        <f t="shared" si="79"/>
        <v/>
      </c>
      <c r="Q765" t="str">
        <f t="shared" si="80"/>
        <v/>
      </c>
      <c r="R765" t="str">
        <f t="shared" si="81"/>
        <v/>
      </c>
      <c r="T765">
        <f t="shared" si="82"/>
        <v>2985</v>
      </c>
    </row>
    <row r="766" spans="1:20" ht="14.1" customHeight="1" outlineLevel="3" x14ac:dyDescent="0.2">
      <c r="A766" t="str">
        <f t="shared" si="78"/>
        <v/>
      </c>
      <c r="E766" s="1"/>
      <c r="F766" s="1"/>
      <c r="G766" s="2"/>
      <c r="I766" s="2"/>
      <c r="P766" t="str">
        <f t="shared" si="79"/>
        <v/>
      </c>
      <c r="Q766" t="str">
        <f t="shared" si="80"/>
        <v/>
      </c>
      <c r="R766" t="str">
        <f t="shared" si="81"/>
        <v/>
      </c>
      <c r="T766">
        <f t="shared" si="82"/>
        <v>2985</v>
      </c>
    </row>
    <row r="767" spans="1:20" ht="14.1" customHeight="1" outlineLevel="3" x14ac:dyDescent="0.2">
      <c r="A767" t="str">
        <f t="shared" si="78"/>
        <v/>
      </c>
      <c r="E767" s="1"/>
      <c r="F767" s="1"/>
      <c r="G767" s="2"/>
      <c r="I767" s="2"/>
      <c r="P767" t="str">
        <f t="shared" si="79"/>
        <v/>
      </c>
      <c r="Q767" t="str">
        <f t="shared" si="80"/>
        <v/>
      </c>
      <c r="R767" t="str">
        <f t="shared" si="81"/>
        <v/>
      </c>
      <c r="T767">
        <f t="shared" si="82"/>
        <v>2985</v>
      </c>
    </row>
    <row r="768" spans="1:20" ht="14.1" customHeight="1" outlineLevel="3" x14ac:dyDescent="0.2">
      <c r="A768" t="str">
        <f t="shared" si="78"/>
        <v/>
      </c>
      <c r="E768" s="1"/>
      <c r="F768" s="1"/>
      <c r="G768" s="2"/>
      <c r="I768" s="2"/>
      <c r="P768" t="str">
        <f t="shared" si="79"/>
        <v/>
      </c>
      <c r="Q768" t="str">
        <f t="shared" si="80"/>
        <v/>
      </c>
      <c r="R768" t="str">
        <f t="shared" si="81"/>
        <v/>
      </c>
      <c r="T768">
        <f t="shared" si="82"/>
        <v>2985</v>
      </c>
    </row>
    <row r="769" spans="1:20" ht="14.1" customHeight="1" outlineLevel="3" x14ac:dyDescent="0.2">
      <c r="A769" t="str">
        <f t="shared" si="78"/>
        <v/>
      </c>
      <c r="E769" s="1"/>
      <c r="F769" s="1"/>
      <c r="G769" s="2"/>
      <c r="I769" s="2"/>
      <c r="P769" t="str">
        <f t="shared" si="79"/>
        <v/>
      </c>
      <c r="Q769" t="str">
        <f t="shared" si="80"/>
        <v/>
      </c>
      <c r="R769" t="str">
        <f t="shared" si="81"/>
        <v/>
      </c>
      <c r="T769">
        <f t="shared" si="82"/>
        <v>2985</v>
      </c>
    </row>
    <row r="770" spans="1:20" ht="14.1" customHeight="1" outlineLevel="3" x14ac:dyDescent="0.2">
      <c r="A770" t="str">
        <f t="shared" si="78"/>
        <v/>
      </c>
      <c r="E770" s="1"/>
      <c r="F770" s="1"/>
      <c r="G770" s="2"/>
      <c r="I770" s="2"/>
      <c r="P770" t="str">
        <f t="shared" si="79"/>
        <v/>
      </c>
      <c r="Q770" t="str">
        <f t="shared" si="80"/>
        <v/>
      </c>
      <c r="R770" t="str">
        <f t="shared" si="81"/>
        <v/>
      </c>
      <c r="T770">
        <f t="shared" si="82"/>
        <v>2985</v>
      </c>
    </row>
    <row r="771" spans="1:20" ht="14.1" customHeight="1" outlineLevel="3" x14ac:dyDescent="0.2">
      <c r="A771" t="str">
        <f t="shared" ref="A771:A834" si="84">IFERROR(IF(OR(K771="",I771=0),"",D771&amp;K771&amp;I771),"")</f>
        <v/>
      </c>
      <c r="E771" s="1"/>
      <c r="F771" s="1"/>
      <c r="G771" s="2"/>
      <c r="I771" s="2"/>
      <c r="P771" t="str">
        <f t="shared" ref="P771:P834" si="85">IF(OR(K771="",K771=0),"",D771&amp;N771&amp;K771&amp;M771&amp;F771)</f>
        <v/>
      </c>
      <c r="Q771" t="str">
        <f t="shared" ref="Q771:Q834" si="86">IF(P771="","",COUNTIF($P$2:$P$1448,$P771))</f>
        <v/>
      </c>
      <c r="R771" t="str">
        <f t="shared" ref="R771:R834" si="87">G771&amp;K771&amp;N771</f>
        <v/>
      </c>
      <c r="T771">
        <f t="shared" ref="T771:T834" si="88">COUNTIF($R$2:$R$2986,$R771)</f>
        <v>2985</v>
      </c>
    </row>
    <row r="772" spans="1:20" ht="14.1" customHeight="1" outlineLevel="3" x14ac:dyDescent="0.2">
      <c r="A772" t="str">
        <f t="shared" si="84"/>
        <v/>
      </c>
      <c r="E772" s="1"/>
      <c r="F772" s="1"/>
      <c r="G772" s="2"/>
      <c r="I772" s="2"/>
      <c r="P772" t="str">
        <f t="shared" si="85"/>
        <v/>
      </c>
      <c r="Q772" t="str">
        <f t="shared" si="86"/>
        <v/>
      </c>
      <c r="R772" t="str">
        <f t="shared" si="87"/>
        <v/>
      </c>
      <c r="T772">
        <f t="shared" si="88"/>
        <v>2985</v>
      </c>
    </row>
    <row r="773" spans="1:20" ht="14.1" customHeight="1" outlineLevel="3" x14ac:dyDescent="0.2">
      <c r="A773" t="str">
        <f t="shared" si="84"/>
        <v/>
      </c>
      <c r="E773" s="1"/>
      <c r="F773" s="1"/>
      <c r="G773" s="2"/>
      <c r="I773" s="2"/>
      <c r="P773" t="str">
        <f t="shared" si="85"/>
        <v/>
      </c>
      <c r="Q773" t="str">
        <f t="shared" si="86"/>
        <v/>
      </c>
      <c r="R773" t="str">
        <f t="shared" si="87"/>
        <v/>
      </c>
      <c r="T773">
        <f t="shared" si="88"/>
        <v>2985</v>
      </c>
    </row>
    <row r="774" spans="1:20" ht="14.1" customHeight="1" outlineLevel="3" x14ac:dyDescent="0.2">
      <c r="A774" t="str">
        <f t="shared" si="84"/>
        <v/>
      </c>
      <c r="E774" s="1"/>
      <c r="F774" s="1"/>
      <c r="G774" s="2"/>
      <c r="I774" s="2"/>
      <c r="P774" t="str">
        <f t="shared" si="85"/>
        <v/>
      </c>
      <c r="Q774" t="str">
        <f t="shared" si="86"/>
        <v/>
      </c>
      <c r="R774" t="str">
        <f t="shared" si="87"/>
        <v/>
      </c>
      <c r="T774">
        <f t="shared" si="88"/>
        <v>2985</v>
      </c>
    </row>
    <row r="775" spans="1:20" outlineLevel="2" x14ac:dyDescent="0.2">
      <c r="A775" t="str">
        <f t="shared" si="84"/>
        <v/>
      </c>
      <c r="E775" s="1"/>
      <c r="F775" s="1"/>
      <c r="G775" s="2"/>
      <c r="I775" s="2"/>
      <c r="P775" t="str">
        <f t="shared" si="85"/>
        <v/>
      </c>
      <c r="Q775" t="str">
        <f t="shared" si="86"/>
        <v/>
      </c>
      <c r="R775" t="str">
        <f t="shared" si="87"/>
        <v/>
      </c>
      <c r="T775">
        <f t="shared" si="88"/>
        <v>2985</v>
      </c>
    </row>
    <row r="776" spans="1:20" ht="14.1" customHeight="1" outlineLevel="3" x14ac:dyDescent="0.2">
      <c r="A776" t="str">
        <f t="shared" si="84"/>
        <v/>
      </c>
      <c r="E776" s="1"/>
      <c r="F776" s="1"/>
      <c r="G776" s="2"/>
      <c r="I776" s="2"/>
      <c r="P776" t="str">
        <f t="shared" si="85"/>
        <v/>
      </c>
      <c r="Q776" t="str">
        <f t="shared" si="86"/>
        <v/>
      </c>
      <c r="R776" t="str">
        <f t="shared" si="87"/>
        <v/>
      </c>
      <c r="T776">
        <f t="shared" si="88"/>
        <v>2985</v>
      </c>
    </row>
    <row r="777" spans="1:20" outlineLevel="2" x14ac:dyDescent="0.2">
      <c r="A777" t="str">
        <f t="shared" si="84"/>
        <v/>
      </c>
      <c r="E777" s="1"/>
      <c r="F777" s="1"/>
      <c r="G777" s="2"/>
      <c r="I777" s="2"/>
      <c r="P777" t="str">
        <f t="shared" si="85"/>
        <v/>
      </c>
      <c r="Q777" t="str">
        <f t="shared" si="86"/>
        <v/>
      </c>
      <c r="R777" t="str">
        <f t="shared" si="87"/>
        <v/>
      </c>
      <c r="T777">
        <f t="shared" si="88"/>
        <v>2985</v>
      </c>
    </row>
    <row r="778" spans="1:20" ht="14.1" customHeight="1" outlineLevel="3" x14ac:dyDescent="0.2">
      <c r="A778" t="str">
        <f t="shared" si="84"/>
        <v/>
      </c>
      <c r="E778" s="1"/>
      <c r="F778" s="1"/>
      <c r="G778" s="2"/>
      <c r="I778" s="2"/>
      <c r="P778" t="str">
        <f t="shared" si="85"/>
        <v/>
      </c>
      <c r="Q778" t="str">
        <f t="shared" si="86"/>
        <v/>
      </c>
      <c r="R778" t="str">
        <f t="shared" si="87"/>
        <v/>
      </c>
      <c r="T778">
        <f t="shared" si="88"/>
        <v>2985</v>
      </c>
    </row>
    <row r="779" spans="1:20" ht="14.1" customHeight="1" outlineLevel="3" x14ac:dyDescent="0.2">
      <c r="A779" t="str">
        <f t="shared" si="84"/>
        <v/>
      </c>
      <c r="E779" s="1"/>
      <c r="F779" s="1"/>
      <c r="G779" s="2"/>
      <c r="I779" s="2"/>
      <c r="P779" t="str">
        <f t="shared" si="85"/>
        <v/>
      </c>
      <c r="Q779" t="str">
        <f t="shared" si="86"/>
        <v/>
      </c>
      <c r="R779" t="str">
        <f t="shared" si="87"/>
        <v/>
      </c>
      <c r="T779">
        <f t="shared" si="88"/>
        <v>2985</v>
      </c>
    </row>
    <row r="780" spans="1:20" outlineLevel="2" x14ac:dyDescent="0.2">
      <c r="A780" t="str">
        <f t="shared" si="84"/>
        <v/>
      </c>
      <c r="E780" s="1"/>
      <c r="F780" s="1"/>
      <c r="G780" s="2"/>
      <c r="I780" s="2"/>
      <c r="P780" t="str">
        <f t="shared" si="85"/>
        <v/>
      </c>
      <c r="Q780" t="str">
        <f t="shared" si="86"/>
        <v/>
      </c>
      <c r="R780" t="str">
        <f t="shared" si="87"/>
        <v/>
      </c>
      <c r="T780">
        <f t="shared" si="88"/>
        <v>2985</v>
      </c>
    </row>
    <row r="781" spans="1:20" ht="14.1" customHeight="1" outlineLevel="3" x14ac:dyDescent="0.2">
      <c r="A781" t="str">
        <f t="shared" si="84"/>
        <v/>
      </c>
      <c r="E781" s="1"/>
      <c r="F781" s="1"/>
      <c r="G781" s="2"/>
      <c r="I781" s="2"/>
      <c r="P781" t="str">
        <f t="shared" si="85"/>
        <v/>
      </c>
      <c r="Q781" t="str">
        <f t="shared" si="86"/>
        <v/>
      </c>
      <c r="R781" t="str">
        <f t="shared" si="87"/>
        <v/>
      </c>
      <c r="T781">
        <f t="shared" si="88"/>
        <v>2985</v>
      </c>
    </row>
    <row r="782" spans="1:20" ht="14.1" customHeight="1" outlineLevel="3" x14ac:dyDescent="0.2">
      <c r="A782" t="str">
        <f t="shared" si="84"/>
        <v/>
      </c>
      <c r="E782" s="1"/>
      <c r="F782" s="1"/>
      <c r="G782" s="2"/>
      <c r="I782" s="2"/>
      <c r="P782" t="str">
        <f t="shared" si="85"/>
        <v/>
      </c>
      <c r="Q782" t="str">
        <f t="shared" si="86"/>
        <v/>
      </c>
      <c r="R782" t="str">
        <f t="shared" si="87"/>
        <v/>
      </c>
      <c r="T782">
        <f t="shared" si="88"/>
        <v>2985</v>
      </c>
    </row>
    <row r="783" spans="1:20" ht="14.1" customHeight="1" outlineLevel="3" x14ac:dyDescent="0.2">
      <c r="A783" t="str">
        <f t="shared" si="84"/>
        <v/>
      </c>
      <c r="E783" s="1"/>
      <c r="F783" s="1"/>
      <c r="G783" s="2"/>
      <c r="I783" s="2"/>
      <c r="P783" t="str">
        <f t="shared" si="85"/>
        <v/>
      </c>
      <c r="Q783" t="str">
        <f t="shared" si="86"/>
        <v/>
      </c>
      <c r="R783" t="str">
        <f t="shared" si="87"/>
        <v/>
      </c>
      <c r="T783">
        <f t="shared" si="88"/>
        <v>2985</v>
      </c>
    </row>
    <row r="784" spans="1:20" ht="14.1" customHeight="1" outlineLevel="3" x14ac:dyDescent="0.2">
      <c r="A784" t="str">
        <f t="shared" si="84"/>
        <v/>
      </c>
      <c r="E784" s="1"/>
      <c r="F784" s="1"/>
      <c r="G784" s="2"/>
      <c r="I784" s="2"/>
      <c r="P784" t="str">
        <f t="shared" si="85"/>
        <v/>
      </c>
      <c r="Q784" t="str">
        <f t="shared" si="86"/>
        <v/>
      </c>
      <c r="R784" t="str">
        <f t="shared" si="87"/>
        <v/>
      </c>
      <c r="T784">
        <f t="shared" si="88"/>
        <v>2985</v>
      </c>
    </row>
    <row r="785" spans="1:20" ht="14.1" customHeight="1" outlineLevel="3" x14ac:dyDescent="0.2">
      <c r="A785" t="str">
        <f t="shared" si="84"/>
        <v/>
      </c>
      <c r="E785" s="1"/>
      <c r="F785" s="1"/>
      <c r="G785" s="2"/>
      <c r="I785" s="2"/>
      <c r="P785" t="str">
        <f t="shared" si="85"/>
        <v/>
      </c>
      <c r="Q785" t="str">
        <f t="shared" si="86"/>
        <v/>
      </c>
      <c r="R785" t="str">
        <f t="shared" si="87"/>
        <v/>
      </c>
      <c r="T785">
        <f t="shared" si="88"/>
        <v>2985</v>
      </c>
    </row>
    <row r="786" spans="1:20" ht="14.1" customHeight="1" outlineLevel="3" x14ac:dyDescent="0.2">
      <c r="A786" t="str">
        <f t="shared" si="84"/>
        <v/>
      </c>
      <c r="E786" s="1"/>
      <c r="F786" s="1"/>
      <c r="G786" s="2"/>
      <c r="I786" s="2"/>
      <c r="P786" t="str">
        <f t="shared" si="85"/>
        <v/>
      </c>
      <c r="Q786" t="str">
        <f t="shared" si="86"/>
        <v/>
      </c>
      <c r="R786" t="str">
        <f t="shared" si="87"/>
        <v/>
      </c>
      <c r="T786">
        <f t="shared" si="88"/>
        <v>2985</v>
      </c>
    </row>
    <row r="787" spans="1:20" ht="14.1" customHeight="1" outlineLevel="3" x14ac:dyDescent="0.2">
      <c r="A787" t="str">
        <f t="shared" si="84"/>
        <v/>
      </c>
      <c r="E787" s="1"/>
      <c r="F787" s="1"/>
      <c r="G787" s="2"/>
      <c r="I787" s="2"/>
      <c r="P787" t="str">
        <f t="shared" si="85"/>
        <v/>
      </c>
      <c r="Q787" t="str">
        <f t="shared" si="86"/>
        <v/>
      </c>
      <c r="R787" t="str">
        <f t="shared" si="87"/>
        <v/>
      </c>
      <c r="T787">
        <f t="shared" si="88"/>
        <v>2985</v>
      </c>
    </row>
    <row r="788" spans="1:20" ht="14.1" customHeight="1" outlineLevel="3" x14ac:dyDescent="0.2">
      <c r="A788" t="str">
        <f t="shared" si="84"/>
        <v/>
      </c>
      <c r="E788" s="1"/>
      <c r="F788" s="1"/>
      <c r="G788" s="2"/>
      <c r="I788" s="2"/>
      <c r="P788" t="str">
        <f t="shared" si="85"/>
        <v/>
      </c>
      <c r="Q788" t="str">
        <f t="shared" si="86"/>
        <v/>
      </c>
      <c r="R788" t="str">
        <f t="shared" si="87"/>
        <v/>
      </c>
      <c r="T788">
        <f t="shared" si="88"/>
        <v>2985</v>
      </c>
    </row>
    <row r="789" spans="1:20" ht="14.1" customHeight="1" outlineLevel="3" x14ac:dyDescent="0.2">
      <c r="A789" t="str">
        <f t="shared" si="84"/>
        <v/>
      </c>
      <c r="E789" s="1"/>
      <c r="F789" s="1"/>
      <c r="G789" s="2"/>
      <c r="I789" s="2"/>
      <c r="P789" t="str">
        <f t="shared" si="85"/>
        <v/>
      </c>
      <c r="Q789" t="str">
        <f t="shared" si="86"/>
        <v/>
      </c>
      <c r="R789" t="str">
        <f t="shared" si="87"/>
        <v/>
      </c>
      <c r="T789">
        <f t="shared" si="88"/>
        <v>2985</v>
      </c>
    </row>
    <row r="790" spans="1:20" ht="14.1" customHeight="1" outlineLevel="3" x14ac:dyDescent="0.2">
      <c r="A790" t="str">
        <f t="shared" si="84"/>
        <v/>
      </c>
      <c r="E790" s="1"/>
      <c r="F790" s="1"/>
      <c r="G790" s="2"/>
      <c r="I790" s="2"/>
      <c r="P790" t="str">
        <f t="shared" si="85"/>
        <v/>
      </c>
      <c r="Q790" t="str">
        <f t="shared" si="86"/>
        <v/>
      </c>
      <c r="R790" t="str">
        <f t="shared" si="87"/>
        <v/>
      </c>
      <c r="T790">
        <f t="shared" si="88"/>
        <v>2985</v>
      </c>
    </row>
    <row r="791" spans="1:20" ht="14.1" customHeight="1" outlineLevel="3" x14ac:dyDescent="0.2">
      <c r="A791" t="str">
        <f t="shared" si="84"/>
        <v/>
      </c>
      <c r="E791" s="1"/>
      <c r="F791" s="1"/>
      <c r="G791" s="2"/>
      <c r="I791" s="2"/>
      <c r="P791" t="str">
        <f t="shared" si="85"/>
        <v/>
      </c>
      <c r="Q791" t="str">
        <f t="shared" si="86"/>
        <v/>
      </c>
      <c r="R791" t="str">
        <f t="shared" si="87"/>
        <v/>
      </c>
      <c r="T791">
        <f t="shared" si="88"/>
        <v>2985</v>
      </c>
    </row>
    <row r="792" spans="1:20" ht="14.1" customHeight="1" outlineLevel="3" x14ac:dyDescent="0.2">
      <c r="A792" t="str">
        <f t="shared" si="84"/>
        <v/>
      </c>
      <c r="E792" s="1"/>
      <c r="F792" s="1"/>
      <c r="G792" s="2"/>
      <c r="I792" s="2"/>
      <c r="P792" t="str">
        <f t="shared" si="85"/>
        <v/>
      </c>
      <c r="Q792" t="str">
        <f t="shared" si="86"/>
        <v/>
      </c>
      <c r="R792" t="str">
        <f t="shared" si="87"/>
        <v/>
      </c>
      <c r="T792">
        <f t="shared" si="88"/>
        <v>2985</v>
      </c>
    </row>
    <row r="793" spans="1:20" ht="14.1" customHeight="1" outlineLevel="3" x14ac:dyDescent="0.2">
      <c r="A793" t="str">
        <f t="shared" si="84"/>
        <v/>
      </c>
      <c r="E793" s="1"/>
      <c r="F793" s="1"/>
      <c r="G793" s="2"/>
      <c r="I793" s="2"/>
      <c r="P793" t="str">
        <f t="shared" si="85"/>
        <v/>
      </c>
      <c r="Q793" t="str">
        <f t="shared" si="86"/>
        <v/>
      </c>
      <c r="R793" t="str">
        <f t="shared" si="87"/>
        <v/>
      </c>
      <c r="T793">
        <f t="shared" si="88"/>
        <v>2985</v>
      </c>
    </row>
    <row r="794" spans="1:20" ht="14.1" customHeight="1" outlineLevel="3" x14ac:dyDescent="0.2">
      <c r="A794" t="str">
        <f t="shared" si="84"/>
        <v/>
      </c>
      <c r="E794" s="1"/>
      <c r="F794" s="1"/>
      <c r="G794" s="2"/>
      <c r="I794" s="2"/>
      <c r="P794" t="str">
        <f t="shared" si="85"/>
        <v/>
      </c>
      <c r="Q794" t="str">
        <f t="shared" si="86"/>
        <v/>
      </c>
      <c r="R794" t="str">
        <f t="shared" si="87"/>
        <v/>
      </c>
      <c r="T794">
        <f t="shared" si="88"/>
        <v>2985</v>
      </c>
    </row>
    <row r="795" spans="1:20" ht="14.1" customHeight="1" outlineLevel="3" x14ac:dyDescent="0.2">
      <c r="A795" t="str">
        <f t="shared" si="84"/>
        <v/>
      </c>
      <c r="E795" s="1"/>
      <c r="F795" s="1"/>
      <c r="G795" s="2"/>
      <c r="I795" s="2"/>
      <c r="P795" t="str">
        <f t="shared" si="85"/>
        <v/>
      </c>
      <c r="Q795" t="str">
        <f t="shared" si="86"/>
        <v/>
      </c>
      <c r="R795" t="str">
        <f t="shared" si="87"/>
        <v/>
      </c>
      <c r="T795">
        <f t="shared" si="88"/>
        <v>2985</v>
      </c>
    </row>
    <row r="796" spans="1:20" ht="14.1" customHeight="1" outlineLevel="3" x14ac:dyDescent="0.2">
      <c r="A796" t="str">
        <f t="shared" si="84"/>
        <v/>
      </c>
      <c r="E796" s="1"/>
      <c r="F796" s="1"/>
      <c r="G796" s="2"/>
      <c r="I796" s="2"/>
      <c r="P796" t="str">
        <f t="shared" si="85"/>
        <v/>
      </c>
      <c r="Q796" t="str">
        <f t="shared" si="86"/>
        <v/>
      </c>
      <c r="R796" t="str">
        <f t="shared" si="87"/>
        <v/>
      </c>
      <c r="T796">
        <f t="shared" si="88"/>
        <v>2985</v>
      </c>
    </row>
    <row r="797" spans="1:20" ht="14.1" customHeight="1" outlineLevel="3" x14ac:dyDescent="0.2">
      <c r="A797" t="str">
        <f t="shared" si="84"/>
        <v/>
      </c>
      <c r="E797" s="1"/>
      <c r="F797" s="1"/>
      <c r="G797" s="2"/>
      <c r="I797" s="2"/>
      <c r="P797" t="str">
        <f t="shared" si="85"/>
        <v/>
      </c>
      <c r="Q797" t="str">
        <f t="shared" si="86"/>
        <v/>
      </c>
      <c r="R797" t="str">
        <f t="shared" si="87"/>
        <v/>
      </c>
      <c r="T797">
        <f t="shared" si="88"/>
        <v>2985</v>
      </c>
    </row>
    <row r="798" spans="1:20" ht="14.1" customHeight="1" outlineLevel="3" x14ac:dyDescent="0.2">
      <c r="A798" t="str">
        <f t="shared" si="84"/>
        <v/>
      </c>
      <c r="E798" s="1"/>
      <c r="F798" s="1"/>
      <c r="G798" s="2"/>
      <c r="I798" s="2"/>
      <c r="P798" t="str">
        <f t="shared" si="85"/>
        <v/>
      </c>
      <c r="Q798" t="str">
        <f t="shared" si="86"/>
        <v/>
      </c>
      <c r="R798" t="str">
        <f t="shared" si="87"/>
        <v/>
      </c>
      <c r="T798">
        <f t="shared" si="88"/>
        <v>2985</v>
      </c>
    </row>
    <row r="799" spans="1:20" outlineLevel="2" x14ac:dyDescent="0.2">
      <c r="A799" t="str">
        <f t="shared" si="84"/>
        <v/>
      </c>
      <c r="E799" s="1"/>
      <c r="F799" s="1"/>
      <c r="G799" s="2"/>
      <c r="I799" s="2"/>
      <c r="P799" t="str">
        <f t="shared" si="85"/>
        <v/>
      </c>
      <c r="Q799" t="str">
        <f t="shared" si="86"/>
        <v/>
      </c>
      <c r="R799" t="str">
        <f t="shared" si="87"/>
        <v/>
      </c>
      <c r="T799">
        <f t="shared" si="88"/>
        <v>2985</v>
      </c>
    </row>
    <row r="800" spans="1:20" ht="14.1" customHeight="1" outlineLevel="3" x14ac:dyDescent="0.2">
      <c r="A800" t="str">
        <f t="shared" si="84"/>
        <v/>
      </c>
      <c r="E800" s="1"/>
      <c r="F800" s="1"/>
      <c r="G800" s="2"/>
      <c r="I800" s="2"/>
      <c r="P800" t="str">
        <f t="shared" si="85"/>
        <v/>
      </c>
      <c r="Q800" t="str">
        <f t="shared" si="86"/>
        <v/>
      </c>
      <c r="R800" t="str">
        <f t="shared" si="87"/>
        <v/>
      </c>
      <c r="T800">
        <f t="shared" si="88"/>
        <v>2985</v>
      </c>
    </row>
    <row r="801" spans="1:20" ht="14.1" customHeight="1" outlineLevel="3" x14ac:dyDescent="0.2">
      <c r="A801" t="str">
        <f t="shared" si="84"/>
        <v/>
      </c>
      <c r="E801" s="1"/>
      <c r="F801" s="1"/>
      <c r="G801" s="2"/>
      <c r="I801" s="2"/>
      <c r="P801" t="str">
        <f t="shared" si="85"/>
        <v/>
      </c>
      <c r="Q801" t="str">
        <f t="shared" si="86"/>
        <v/>
      </c>
      <c r="R801" t="str">
        <f t="shared" si="87"/>
        <v/>
      </c>
      <c r="T801">
        <f t="shared" si="88"/>
        <v>2985</v>
      </c>
    </row>
    <row r="802" spans="1:20" ht="14.1" customHeight="1" outlineLevel="3" x14ac:dyDescent="0.2">
      <c r="A802" t="str">
        <f t="shared" si="84"/>
        <v/>
      </c>
      <c r="E802" s="1"/>
      <c r="F802" s="1"/>
      <c r="G802" s="2"/>
      <c r="I802" s="2"/>
      <c r="P802" t="str">
        <f t="shared" si="85"/>
        <v/>
      </c>
      <c r="Q802" t="str">
        <f t="shared" si="86"/>
        <v/>
      </c>
      <c r="R802" t="str">
        <f t="shared" si="87"/>
        <v/>
      </c>
      <c r="T802">
        <f t="shared" si="88"/>
        <v>2985</v>
      </c>
    </row>
    <row r="803" spans="1:20" ht="14.1" customHeight="1" outlineLevel="3" x14ac:dyDescent="0.2">
      <c r="A803" t="str">
        <f t="shared" si="84"/>
        <v/>
      </c>
      <c r="E803" s="1"/>
      <c r="F803" s="1"/>
      <c r="G803" s="2"/>
      <c r="I803" s="2"/>
      <c r="P803" t="str">
        <f t="shared" si="85"/>
        <v/>
      </c>
      <c r="Q803" t="str">
        <f t="shared" si="86"/>
        <v/>
      </c>
      <c r="R803" t="str">
        <f t="shared" si="87"/>
        <v/>
      </c>
      <c r="T803">
        <f t="shared" si="88"/>
        <v>2985</v>
      </c>
    </row>
    <row r="804" spans="1:20" ht="14.1" customHeight="1" outlineLevel="3" x14ac:dyDescent="0.2">
      <c r="A804" t="str">
        <f t="shared" si="84"/>
        <v/>
      </c>
      <c r="E804" s="1"/>
      <c r="F804" s="1"/>
      <c r="G804" s="2"/>
      <c r="I804" s="2"/>
      <c r="P804" t="str">
        <f t="shared" si="85"/>
        <v/>
      </c>
      <c r="Q804" t="str">
        <f t="shared" si="86"/>
        <v/>
      </c>
      <c r="R804" t="str">
        <f t="shared" si="87"/>
        <v/>
      </c>
      <c r="T804">
        <f t="shared" si="88"/>
        <v>2985</v>
      </c>
    </row>
    <row r="805" spans="1:20" ht="14.1" customHeight="1" outlineLevel="3" x14ac:dyDescent="0.2">
      <c r="A805" t="str">
        <f t="shared" si="84"/>
        <v/>
      </c>
      <c r="E805" s="1"/>
      <c r="F805" s="1"/>
      <c r="G805" s="2"/>
      <c r="I805" s="2"/>
      <c r="P805" t="str">
        <f t="shared" si="85"/>
        <v/>
      </c>
      <c r="Q805" t="str">
        <f t="shared" si="86"/>
        <v/>
      </c>
      <c r="R805" t="str">
        <f t="shared" si="87"/>
        <v/>
      </c>
      <c r="T805">
        <f t="shared" si="88"/>
        <v>2985</v>
      </c>
    </row>
    <row r="806" spans="1:20" ht="14.1" customHeight="1" outlineLevel="3" x14ac:dyDescent="0.2">
      <c r="A806" t="str">
        <f t="shared" si="84"/>
        <v/>
      </c>
      <c r="E806" s="1"/>
      <c r="F806" s="1"/>
      <c r="G806" s="2"/>
      <c r="I806" s="2"/>
      <c r="P806" t="str">
        <f t="shared" si="85"/>
        <v/>
      </c>
      <c r="Q806" t="str">
        <f t="shared" si="86"/>
        <v/>
      </c>
      <c r="R806" t="str">
        <f t="shared" si="87"/>
        <v/>
      </c>
      <c r="T806">
        <f t="shared" si="88"/>
        <v>2985</v>
      </c>
    </row>
    <row r="807" spans="1:20" ht="14.1" customHeight="1" outlineLevel="3" x14ac:dyDescent="0.2">
      <c r="A807" t="str">
        <f t="shared" si="84"/>
        <v/>
      </c>
      <c r="E807" s="1"/>
      <c r="F807" s="1"/>
      <c r="G807" s="2"/>
      <c r="I807" s="2"/>
      <c r="P807" t="str">
        <f t="shared" si="85"/>
        <v/>
      </c>
      <c r="Q807" t="str">
        <f t="shared" si="86"/>
        <v/>
      </c>
      <c r="R807" t="str">
        <f t="shared" si="87"/>
        <v/>
      </c>
      <c r="T807">
        <f t="shared" si="88"/>
        <v>2985</v>
      </c>
    </row>
    <row r="808" spans="1:20" ht="14.1" customHeight="1" outlineLevel="3" x14ac:dyDescent="0.2">
      <c r="A808" t="str">
        <f t="shared" si="84"/>
        <v/>
      </c>
      <c r="E808" s="1"/>
      <c r="F808" s="1"/>
      <c r="G808" s="2"/>
      <c r="I808" s="2"/>
      <c r="P808" t="str">
        <f t="shared" si="85"/>
        <v/>
      </c>
      <c r="Q808" t="str">
        <f t="shared" si="86"/>
        <v/>
      </c>
      <c r="R808" t="str">
        <f t="shared" si="87"/>
        <v/>
      </c>
      <c r="T808">
        <f t="shared" si="88"/>
        <v>2985</v>
      </c>
    </row>
    <row r="809" spans="1:20" ht="14.1" customHeight="1" outlineLevel="3" x14ac:dyDescent="0.2">
      <c r="A809" t="str">
        <f t="shared" si="84"/>
        <v/>
      </c>
      <c r="E809" s="1"/>
      <c r="F809" s="1"/>
      <c r="G809" s="2"/>
      <c r="I809" s="2"/>
      <c r="P809" t="str">
        <f t="shared" si="85"/>
        <v/>
      </c>
      <c r="Q809" t="str">
        <f t="shared" si="86"/>
        <v/>
      </c>
      <c r="R809" t="str">
        <f t="shared" si="87"/>
        <v/>
      </c>
      <c r="T809">
        <f t="shared" si="88"/>
        <v>2985</v>
      </c>
    </row>
    <row r="810" spans="1:20" ht="14.1" customHeight="1" outlineLevel="3" x14ac:dyDescent="0.2">
      <c r="A810" t="str">
        <f t="shared" si="84"/>
        <v/>
      </c>
      <c r="E810" s="1"/>
      <c r="F810" s="1"/>
      <c r="G810" s="2"/>
      <c r="I810" s="2"/>
      <c r="P810" t="str">
        <f t="shared" si="85"/>
        <v/>
      </c>
      <c r="Q810" t="str">
        <f t="shared" si="86"/>
        <v/>
      </c>
      <c r="R810" t="str">
        <f t="shared" si="87"/>
        <v/>
      </c>
      <c r="T810">
        <f t="shared" si="88"/>
        <v>2985</v>
      </c>
    </row>
    <row r="811" spans="1:20" outlineLevel="2" x14ac:dyDescent="0.2">
      <c r="A811" t="str">
        <f t="shared" si="84"/>
        <v/>
      </c>
      <c r="E811" s="1"/>
      <c r="F811" s="1"/>
      <c r="G811" s="2"/>
      <c r="I811" s="2"/>
      <c r="P811" t="str">
        <f t="shared" si="85"/>
        <v/>
      </c>
      <c r="Q811" t="str">
        <f t="shared" si="86"/>
        <v/>
      </c>
      <c r="R811" t="str">
        <f t="shared" si="87"/>
        <v/>
      </c>
      <c r="T811">
        <f t="shared" si="88"/>
        <v>2985</v>
      </c>
    </row>
    <row r="812" spans="1:20" ht="14.1" customHeight="1" outlineLevel="3" x14ac:dyDescent="0.2">
      <c r="A812" t="str">
        <f t="shared" si="84"/>
        <v/>
      </c>
      <c r="E812" s="1"/>
      <c r="F812" s="1"/>
      <c r="G812" s="2"/>
      <c r="I812" s="2"/>
      <c r="P812" t="str">
        <f t="shared" si="85"/>
        <v/>
      </c>
      <c r="Q812" t="str">
        <f t="shared" si="86"/>
        <v/>
      </c>
      <c r="R812" t="str">
        <f t="shared" si="87"/>
        <v/>
      </c>
      <c r="T812">
        <f t="shared" si="88"/>
        <v>2985</v>
      </c>
    </row>
    <row r="813" spans="1:20" ht="14.1" customHeight="1" outlineLevel="3" x14ac:dyDescent="0.2">
      <c r="A813" t="str">
        <f t="shared" si="84"/>
        <v/>
      </c>
      <c r="E813" s="1"/>
      <c r="F813" s="1"/>
      <c r="G813" s="2"/>
      <c r="I813" s="2"/>
      <c r="P813" t="str">
        <f t="shared" si="85"/>
        <v/>
      </c>
      <c r="Q813" t="str">
        <f t="shared" si="86"/>
        <v/>
      </c>
      <c r="R813" t="str">
        <f t="shared" si="87"/>
        <v/>
      </c>
      <c r="T813">
        <f t="shared" si="88"/>
        <v>2985</v>
      </c>
    </row>
    <row r="814" spans="1:20" ht="14.1" customHeight="1" outlineLevel="3" x14ac:dyDescent="0.2">
      <c r="A814" t="str">
        <f t="shared" si="84"/>
        <v/>
      </c>
      <c r="E814" s="1"/>
      <c r="F814" s="1"/>
      <c r="G814" s="2"/>
      <c r="I814" s="2"/>
      <c r="P814" t="str">
        <f t="shared" si="85"/>
        <v/>
      </c>
      <c r="Q814" t="str">
        <f t="shared" si="86"/>
        <v/>
      </c>
      <c r="R814" t="str">
        <f t="shared" si="87"/>
        <v/>
      </c>
      <c r="T814">
        <f t="shared" si="88"/>
        <v>2985</v>
      </c>
    </row>
    <row r="815" spans="1:20" ht="14.1" customHeight="1" outlineLevel="3" x14ac:dyDescent="0.2">
      <c r="A815" t="str">
        <f t="shared" si="84"/>
        <v/>
      </c>
      <c r="E815" s="1"/>
      <c r="F815" s="1"/>
      <c r="G815" s="2"/>
      <c r="I815" s="2"/>
      <c r="P815" t="str">
        <f t="shared" si="85"/>
        <v/>
      </c>
      <c r="Q815" t="str">
        <f t="shared" si="86"/>
        <v/>
      </c>
      <c r="R815" t="str">
        <f t="shared" si="87"/>
        <v/>
      </c>
      <c r="T815">
        <f t="shared" si="88"/>
        <v>2985</v>
      </c>
    </row>
    <row r="816" spans="1:20" ht="14.1" customHeight="1" outlineLevel="3" x14ac:dyDescent="0.2">
      <c r="A816" t="str">
        <f t="shared" si="84"/>
        <v/>
      </c>
      <c r="E816" s="1"/>
      <c r="F816" s="1"/>
      <c r="G816" s="2"/>
      <c r="I816" s="2"/>
      <c r="P816" t="str">
        <f t="shared" si="85"/>
        <v/>
      </c>
      <c r="Q816" t="str">
        <f t="shared" si="86"/>
        <v/>
      </c>
      <c r="R816" t="str">
        <f t="shared" si="87"/>
        <v/>
      </c>
      <c r="T816">
        <f t="shared" si="88"/>
        <v>2985</v>
      </c>
    </row>
    <row r="817" spans="1:20" ht="14.1" customHeight="1" outlineLevel="3" x14ac:dyDescent="0.2">
      <c r="A817" t="str">
        <f t="shared" si="84"/>
        <v/>
      </c>
      <c r="E817" s="1"/>
      <c r="F817" s="1"/>
      <c r="G817" s="2"/>
      <c r="I817" s="2"/>
      <c r="P817" t="str">
        <f t="shared" si="85"/>
        <v/>
      </c>
      <c r="Q817" t="str">
        <f t="shared" si="86"/>
        <v/>
      </c>
      <c r="R817" t="str">
        <f t="shared" si="87"/>
        <v/>
      </c>
      <c r="T817">
        <f t="shared" si="88"/>
        <v>2985</v>
      </c>
    </row>
    <row r="818" spans="1:20" ht="14.1" customHeight="1" outlineLevel="3" x14ac:dyDescent="0.2">
      <c r="A818" t="str">
        <f t="shared" si="84"/>
        <v/>
      </c>
      <c r="E818" s="1"/>
      <c r="F818" s="1"/>
      <c r="G818" s="2"/>
      <c r="I818" s="2"/>
      <c r="P818" t="str">
        <f t="shared" si="85"/>
        <v/>
      </c>
      <c r="Q818" t="str">
        <f t="shared" si="86"/>
        <v/>
      </c>
      <c r="R818" t="str">
        <f t="shared" si="87"/>
        <v/>
      </c>
      <c r="T818">
        <f t="shared" si="88"/>
        <v>2985</v>
      </c>
    </row>
    <row r="819" spans="1:20" ht="14.1" customHeight="1" outlineLevel="3" x14ac:dyDescent="0.2">
      <c r="A819" t="str">
        <f t="shared" si="84"/>
        <v/>
      </c>
      <c r="E819" s="1"/>
      <c r="F819" s="1"/>
      <c r="G819" s="2"/>
      <c r="I819" s="2"/>
      <c r="P819" t="str">
        <f t="shared" si="85"/>
        <v/>
      </c>
      <c r="Q819" t="str">
        <f t="shared" si="86"/>
        <v/>
      </c>
      <c r="R819" t="str">
        <f t="shared" si="87"/>
        <v/>
      </c>
      <c r="T819">
        <f t="shared" si="88"/>
        <v>2985</v>
      </c>
    </row>
    <row r="820" spans="1:20" ht="14.1" customHeight="1" outlineLevel="3" x14ac:dyDescent="0.2">
      <c r="A820" t="str">
        <f t="shared" si="84"/>
        <v/>
      </c>
      <c r="E820" s="1"/>
      <c r="F820" s="1"/>
      <c r="G820" s="2"/>
      <c r="I820" s="2"/>
      <c r="P820" t="str">
        <f t="shared" si="85"/>
        <v/>
      </c>
      <c r="Q820" t="str">
        <f t="shared" si="86"/>
        <v/>
      </c>
      <c r="R820" t="str">
        <f t="shared" si="87"/>
        <v/>
      </c>
      <c r="T820">
        <f t="shared" si="88"/>
        <v>2985</v>
      </c>
    </row>
    <row r="821" spans="1:20" ht="14.1" customHeight="1" outlineLevel="3" x14ac:dyDescent="0.2">
      <c r="A821" t="str">
        <f t="shared" si="84"/>
        <v/>
      </c>
      <c r="E821" s="1"/>
      <c r="F821" s="1"/>
      <c r="G821" s="2"/>
      <c r="I821" s="2"/>
      <c r="P821" t="str">
        <f t="shared" si="85"/>
        <v/>
      </c>
      <c r="Q821" t="str">
        <f t="shared" si="86"/>
        <v/>
      </c>
      <c r="R821" t="str">
        <f t="shared" si="87"/>
        <v/>
      </c>
      <c r="T821">
        <f t="shared" si="88"/>
        <v>2985</v>
      </c>
    </row>
    <row r="822" spans="1:20" ht="14.1" customHeight="1" outlineLevel="3" x14ac:dyDescent="0.2">
      <c r="A822" t="str">
        <f t="shared" si="84"/>
        <v/>
      </c>
      <c r="E822" s="1"/>
      <c r="F822" s="1"/>
      <c r="G822" s="2"/>
      <c r="I822" s="2"/>
      <c r="P822" t="str">
        <f t="shared" si="85"/>
        <v/>
      </c>
      <c r="Q822" t="str">
        <f t="shared" si="86"/>
        <v/>
      </c>
      <c r="R822" t="str">
        <f t="shared" si="87"/>
        <v/>
      </c>
      <c r="T822">
        <f t="shared" si="88"/>
        <v>2985</v>
      </c>
    </row>
    <row r="823" spans="1:20" ht="14.1" customHeight="1" outlineLevel="3" x14ac:dyDescent="0.2">
      <c r="A823" t="str">
        <f t="shared" si="84"/>
        <v/>
      </c>
      <c r="E823" s="1"/>
      <c r="F823" s="1"/>
      <c r="G823" s="2"/>
      <c r="I823" s="2"/>
      <c r="P823" t="str">
        <f t="shared" si="85"/>
        <v/>
      </c>
      <c r="Q823" t="str">
        <f t="shared" si="86"/>
        <v/>
      </c>
      <c r="R823" t="str">
        <f t="shared" si="87"/>
        <v/>
      </c>
      <c r="T823">
        <f t="shared" si="88"/>
        <v>2985</v>
      </c>
    </row>
    <row r="824" spans="1:20" ht="14.1" customHeight="1" outlineLevel="3" x14ac:dyDescent="0.2">
      <c r="A824" t="str">
        <f t="shared" si="84"/>
        <v/>
      </c>
      <c r="E824" s="1"/>
      <c r="F824" s="1"/>
      <c r="G824" s="2"/>
      <c r="I824" s="2"/>
      <c r="P824" t="str">
        <f t="shared" si="85"/>
        <v/>
      </c>
      <c r="Q824" t="str">
        <f t="shared" si="86"/>
        <v/>
      </c>
      <c r="R824" t="str">
        <f t="shared" si="87"/>
        <v/>
      </c>
      <c r="T824">
        <f t="shared" si="88"/>
        <v>2985</v>
      </c>
    </row>
    <row r="825" spans="1:20" ht="14.1" customHeight="1" outlineLevel="3" x14ac:dyDescent="0.2">
      <c r="A825" t="str">
        <f t="shared" si="84"/>
        <v/>
      </c>
      <c r="E825" s="1"/>
      <c r="F825" s="1"/>
      <c r="G825" s="2"/>
      <c r="I825" s="2"/>
      <c r="P825" t="str">
        <f t="shared" si="85"/>
        <v/>
      </c>
      <c r="Q825" t="str">
        <f t="shared" si="86"/>
        <v/>
      </c>
      <c r="R825" t="str">
        <f t="shared" si="87"/>
        <v/>
      </c>
      <c r="T825">
        <f t="shared" si="88"/>
        <v>2985</v>
      </c>
    </row>
    <row r="826" spans="1:20" ht="14.1" customHeight="1" outlineLevel="3" x14ac:dyDescent="0.2">
      <c r="A826" t="str">
        <f t="shared" si="84"/>
        <v/>
      </c>
      <c r="E826" s="1"/>
      <c r="F826" s="1"/>
      <c r="G826" s="2"/>
      <c r="I826" s="2"/>
      <c r="P826" t="str">
        <f t="shared" si="85"/>
        <v/>
      </c>
      <c r="Q826" t="str">
        <f t="shared" si="86"/>
        <v/>
      </c>
      <c r="R826" t="str">
        <f t="shared" si="87"/>
        <v/>
      </c>
      <c r="T826">
        <f t="shared" si="88"/>
        <v>2985</v>
      </c>
    </row>
    <row r="827" spans="1:20" ht="14.1" customHeight="1" outlineLevel="3" x14ac:dyDescent="0.2">
      <c r="A827" t="str">
        <f t="shared" si="84"/>
        <v/>
      </c>
      <c r="E827" s="1"/>
      <c r="F827" s="1"/>
      <c r="G827" s="2"/>
      <c r="I827" s="2"/>
      <c r="P827" t="str">
        <f t="shared" si="85"/>
        <v/>
      </c>
      <c r="Q827" t="str">
        <f t="shared" si="86"/>
        <v/>
      </c>
      <c r="R827" t="str">
        <f t="shared" si="87"/>
        <v/>
      </c>
      <c r="T827">
        <f t="shared" si="88"/>
        <v>2985</v>
      </c>
    </row>
    <row r="828" spans="1:20" ht="14.1" customHeight="1" outlineLevel="3" x14ac:dyDescent="0.2">
      <c r="A828" t="str">
        <f t="shared" si="84"/>
        <v/>
      </c>
      <c r="E828" s="1"/>
      <c r="F828" s="1"/>
      <c r="G828" s="2"/>
      <c r="I828" s="2"/>
      <c r="P828" t="str">
        <f t="shared" si="85"/>
        <v/>
      </c>
      <c r="Q828" t="str">
        <f t="shared" si="86"/>
        <v/>
      </c>
      <c r="R828" t="str">
        <f t="shared" si="87"/>
        <v/>
      </c>
      <c r="T828">
        <f t="shared" si="88"/>
        <v>2985</v>
      </c>
    </row>
    <row r="829" spans="1:20" ht="14.1" customHeight="1" outlineLevel="3" x14ac:dyDescent="0.2">
      <c r="A829" t="str">
        <f t="shared" si="84"/>
        <v/>
      </c>
      <c r="E829" s="1"/>
      <c r="F829" s="1"/>
      <c r="G829" s="2"/>
      <c r="I829" s="2"/>
      <c r="P829" t="str">
        <f t="shared" si="85"/>
        <v/>
      </c>
      <c r="Q829" t="str">
        <f t="shared" si="86"/>
        <v/>
      </c>
      <c r="R829" t="str">
        <f t="shared" si="87"/>
        <v/>
      </c>
      <c r="T829">
        <f t="shared" si="88"/>
        <v>2985</v>
      </c>
    </row>
    <row r="830" spans="1:20" ht="14.1" customHeight="1" outlineLevel="3" x14ac:dyDescent="0.2">
      <c r="A830" t="str">
        <f t="shared" si="84"/>
        <v/>
      </c>
      <c r="E830" s="1"/>
      <c r="F830" s="1"/>
      <c r="G830" s="2"/>
      <c r="I830" s="2"/>
      <c r="P830" t="str">
        <f t="shared" si="85"/>
        <v/>
      </c>
      <c r="Q830" t="str">
        <f t="shared" si="86"/>
        <v/>
      </c>
      <c r="R830" t="str">
        <f t="shared" si="87"/>
        <v/>
      </c>
      <c r="T830">
        <f t="shared" si="88"/>
        <v>2985</v>
      </c>
    </row>
    <row r="831" spans="1:20" outlineLevel="2" x14ac:dyDescent="0.2">
      <c r="A831" t="str">
        <f t="shared" si="84"/>
        <v/>
      </c>
      <c r="E831" s="1"/>
      <c r="F831" s="1"/>
      <c r="G831" s="2"/>
      <c r="I831" s="2"/>
      <c r="P831" t="str">
        <f t="shared" si="85"/>
        <v/>
      </c>
      <c r="Q831" t="str">
        <f t="shared" si="86"/>
        <v/>
      </c>
      <c r="R831" t="str">
        <f t="shared" si="87"/>
        <v/>
      </c>
      <c r="T831">
        <f t="shared" si="88"/>
        <v>2985</v>
      </c>
    </row>
    <row r="832" spans="1:20" ht="14.1" customHeight="1" outlineLevel="3" x14ac:dyDescent="0.2">
      <c r="A832" t="str">
        <f t="shared" si="84"/>
        <v/>
      </c>
      <c r="E832" s="1"/>
      <c r="F832" s="1"/>
      <c r="G832" s="2"/>
      <c r="I832" s="2"/>
      <c r="P832" t="str">
        <f t="shared" si="85"/>
        <v/>
      </c>
      <c r="Q832" t="str">
        <f t="shared" si="86"/>
        <v/>
      </c>
      <c r="R832" t="str">
        <f t="shared" si="87"/>
        <v/>
      </c>
      <c r="T832">
        <f t="shared" si="88"/>
        <v>2985</v>
      </c>
    </row>
    <row r="833" spans="1:20" outlineLevel="2" x14ac:dyDescent="0.2">
      <c r="A833" t="str">
        <f t="shared" si="84"/>
        <v/>
      </c>
      <c r="E833" s="1"/>
      <c r="F833" s="1"/>
      <c r="G833" s="2"/>
      <c r="I833" s="2"/>
      <c r="P833" t="str">
        <f t="shared" si="85"/>
        <v/>
      </c>
      <c r="Q833" t="str">
        <f t="shared" si="86"/>
        <v/>
      </c>
      <c r="R833" t="str">
        <f t="shared" si="87"/>
        <v/>
      </c>
      <c r="T833">
        <f t="shared" si="88"/>
        <v>2985</v>
      </c>
    </row>
    <row r="834" spans="1:20" ht="14.1" customHeight="1" outlineLevel="3" x14ac:dyDescent="0.2">
      <c r="A834" t="str">
        <f t="shared" si="84"/>
        <v/>
      </c>
      <c r="E834" s="1"/>
      <c r="F834" s="1"/>
      <c r="G834" s="2"/>
      <c r="I834" s="2"/>
      <c r="P834" t="str">
        <f t="shared" si="85"/>
        <v/>
      </c>
      <c r="Q834" t="str">
        <f t="shared" si="86"/>
        <v/>
      </c>
      <c r="R834" t="str">
        <f t="shared" si="87"/>
        <v/>
      </c>
      <c r="T834">
        <f t="shared" si="88"/>
        <v>2985</v>
      </c>
    </row>
    <row r="835" spans="1:20" ht="14.1" customHeight="1" outlineLevel="3" x14ac:dyDescent="0.2">
      <c r="A835" t="str">
        <f t="shared" ref="A835:A898" si="89">IFERROR(IF(OR(K835="",I835=0),"",D835&amp;K835&amp;I835),"")</f>
        <v/>
      </c>
      <c r="E835" s="1"/>
      <c r="F835" s="1"/>
      <c r="G835" s="2"/>
      <c r="I835" s="2"/>
      <c r="P835" t="str">
        <f t="shared" ref="P835:P898" si="90">IF(OR(K835="",K835=0),"",D835&amp;N835&amp;K835&amp;M835&amp;F835)</f>
        <v/>
      </c>
      <c r="Q835" t="str">
        <f t="shared" ref="Q835:Q898" si="91">IF(P835="","",COUNTIF($P$2:$P$1448,$P835))</f>
        <v/>
      </c>
      <c r="R835" t="str">
        <f t="shared" ref="R835:R898" si="92">G835&amp;K835&amp;N835</f>
        <v/>
      </c>
      <c r="T835">
        <f t="shared" ref="T835:T898" si="93">COUNTIF($R$2:$R$2986,$R835)</f>
        <v>2985</v>
      </c>
    </row>
    <row r="836" spans="1:20" outlineLevel="2" x14ac:dyDescent="0.2">
      <c r="A836" t="str">
        <f t="shared" si="89"/>
        <v/>
      </c>
      <c r="E836" s="1"/>
      <c r="F836" s="1"/>
      <c r="G836" s="2"/>
      <c r="I836" s="2"/>
      <c r="P836" t="str">
        <f t="shared" si="90"/>
        <v/>
      </c>
      <c r="Q836" t="str">
        <f t="shared" si="91"/>
        <v/>
      </c>
      <c r="R836" t="str">
        <f t="shared" si="92"/>
        <v/>
      </c>
      <c r="T836">
        <f t="shared" si="93"/>
        <v>2985</v>
      </c>
    </row>
    <row r="837" spans="1:20" ht="14.1" customHeight="1" outlineLevel="3" x14ac:dyDescent="0.2">
      <c r="A837" t="str">
        <f t="shared" si="89"/>
        <v/>
      </c>
      <c r="E837" s="1"/>
      <c r="F837" s="1"/>
      <c r="G837" s="2"/>
      <c r="I837" s="2"/>
      <c r="P837" t="str">
        <f t="shared" si="90"/>
        <v/>
      </c>
      <c r="Q837" t="str">
        <f t="shared" si="91"/>
        <v/>
      </c>
      <c r="R837" t="str">
        <f t="shared" si="92"/>
        <v/>
      </c>
      <c r="T837">
        <f t="shared" si="93"/>
        <v>2985</v>
      </c>
    </row>
    <row r="838" spans="1:20" ht="14.1" customHeight="1" outlineLevel="3" x14ac:dyDescent="0.2">
      <c r="A838" t="str">
        <f t="shared" si="89"/>
        <v/>
      </c>
      <c r="E838" s="1"/>
      <c r="F838" s="1"/>
      <c r="G838" s="2"/>
      <c r="I838" s="2"/>
      <c r="P838" t="str">
        <f t="shared" si="90"/>
        <v/>
      </c>
      <c r="Q838" t="str">
        <f t="shared" si="91"/>
        <v/>
      </c>
      <c r="R838" t="str">
        <f t="shared" si="92"/>
        <v/>
      </c>
      <c r="T838">
        <f t="shared" si="93"/>
        <v>2985</v>
      </c>
    </row>
    <row r="839" spans="1:20" ht="14.1" customHeight="1" outlineLevel="3" x14ac:dyDescent="0.2">
      <c r="A839" t="str">
        <f t="shared" si="89"/>
        <v/>
      </c>
      <c r="E839" s="1"/>
      <c r="F839" s="1"/>
      <c r="G839" s="2"/>
      <c r="I839" s="2"/>
      <c r="P839" t="str">
        <f t="shared" si="90"/>
        <v/>
      </c>
      <c r="Q839" t="str">
        <f t="shared" si="91"/>
        <v/>
      </c>
      <c r="R839" t="str">
        <f t="shared" si="92"/>
        <v/>
      </c>
      <c r="T839">
        <f t="shared" si="93"/>
        <v>2985</v>
      </c>
    </row>
    <row r="840" spans="1:20" outlineLevel="2" x14ac:dyDescent="0.2">
      <c r="A840" t="str">
        <f t="shared" si="89"/>
        <v/>
      </c>
      <c r="E840" s="1"/>
      <c r="F840" s="1"/>
      <c r="G840" s="2"/>
      <c r="I840" s="2"/>
      <c r="P840" t="str">
        <f t="shared" si="90"/>
        <v/>
      </c>
      <c r="Q840" t="str">
        <f t="shared" si="91"/>
        <v/>
      </c>
      <c r="R840" t="str">
        <f t="shared" si="92"/>
        <v/>
      </c>
      <c r="T840">
        <f t="shared" si="93"/>
        <v>2985</v>
      </c>
    </row>
    <row r="841" spans="1:20" ht="14.1" customHeight="1" outlineLevel="3" x14ac:dyDescent="0.2">
      <c r="A841" t="str">
        <f t="shared" si="89"/>
        <v/>
      </c>
      <c r="E841" s="1"/>
      <c r="F841" s="1"/>
      <c r="G841" s="2"/>
      <c r="I841" s="2"/>
      <c r="P841" t="str">
        <f t="shared" si="90"/>
        <v/>
      </c>
      <c r="Q841" t="str">
        <f t="shared" si="91"/>
        <v/>
      </c>
      <c r="R841" t="str">
        <f t="shared" si="92"/>
        <v/>
      </c>
      <c r="T841">
        <f t="shared" si="93"/>
        <v>2985</v>
      </c>
    </row>
    <row r="842" spans="1:20" ht="14.1" customHeight="1" outlineLevel="3" x14ac:dyDescent="0.2">
      <c r="A842" t="str">
        <f t="shared" si="89"/>
        <v/>
      </c>
      <c r="E842" s="1"/>
      <c r="F842" s="1"/>
      <c r="G842" s="2"/>
      <c r="I842" s="2"/>
      <c r="P842" t="str">
        <f t="shared" si="90"/>
        <v/>
      </c>
      <c r="Q842" t="str">
        <f t="shared" si="91"/>
        <v/>
      </c>
      <c r="R842" t="str">
        <f t="shared" si="92"/>
        <v/>
      </c>
      <c r="T842">
        <f t="shared" si="93"/>
        <v>2985</v>
      </c>
    </row>
    <row r="843" spans="1:20" outlineLevel="2" x14ac:dyDescent="0.2">
      <c r="A843" t="str">
        <f t="shared" si="89"/>
        <v/>
      </c>
      <c r="E843" s="1"/>
      <c r="F843" s="1"/>
      <c r="G843" s="2"/>
      <c r="I843" s="2"/>
      <c r="P843" t="str">
        <f t="shared" si="90"/>
        <v/>
      </c>
      <c r="Q843" t="str">
        <f t="shared" si="91"/>
        <v/>
      </c>
      <c r="R843" t="str">
        <f t="shared" si="92"/>
        <v/>
      </c>
      <c r="T843">
        <f t="shared" si="93"/>
        <v>2985</v>
      </c>
    </row>
    <row r="844" spans="1:20" ht="14.1" customHeight="1" outlineLevel="3" x14ac:dyDescent="0.2">
      <c r="A844" t="str">
        <f t="shared" si="89"/>
        <v/>
      </c>
      <c r="E844" s="1"/>
      <c r="F844" s="1"/>
      <c r="G844" s="2"/>
      <c r="I844" s="2"/>
      <c r="P844" t="str">
        <f t="shared" si="90"/>
        <v/>
      </c>
      <c r="Q844" t="str">
        <f t="shared" si="91"/>
        <v/>
      </c>
      <c r="R844" t="str">
        <f t="shared" si="92"/>
        <v/>
      </c>
      <c r="T844">
        <f t="shared" si="93"/>
        <v>2985</v>
      </c>
    </row>
    <row r="845" spans="1:20" outlineLevel="2" x14ac:dyDescent="0.2">
      <c r="A845" t="str">
        <f t="shared" si="89"/>
        <v/>
      </c>
      <c r="E845" s="1"/>
      <c r="F845" s="1"/>
      <c r="G845" s="2"/>
      <c r="I845" s="2"/>
      <c r="P845" t="str">
        <f t="shared" si="90"/>
        <v/>
      </c>
      <c r="Q845" t="str">
        <f t="shared" si="91"/>
        <v/>
      </c>
      <c r="R845" t="str">
        <f t="shared" si="92"/>
        <v/>
      </c>
      <c r="T845">
        <f t="shared" si="93"/>
        <v>2985</v>
      </c>
    </row>
    <row r="846" spans="1:20" ht="14.1" customHeight="1" outlineLevel="3" x14ac:dyDescent="0.2">
      <c r="A846" t="str">
        <f t="shared" si="89"/>
        <v/>
      </c>
      <c r="E846" s="1"/>
      <c r="F846" s="1"/>
      <c r="G846" s="2"/>
      <c r="I846" s="2"/>
      <c r="P846" t="str">
        <f t="shared" si="90"/>
        <v/>
      </c>
      <c r="Q846" t="str">
        <f t="shared" si="91"/>
        <v/>
      </c>
      <c r="R846" t="str">
        <f t="shared" si="92"/>
        <v/>
      </c>
      <c r="T846">
        <f t="shared" si="93"/>
        <v>2985</v>
      </c>
    </row>
    <row r="847" spans="1:20" outlineLevel="2" x14ac:dyDescent="0.2">
      <c r="A847" t="str">
        <f t="shared" si="89"/>
        <v/>
      </c>
      <c r="E847" s="1"/>
      <c r="F847" s="1"/>
      <c r="G847" s="2"/>
      <c r="I847" s="2"/>
      <c r="P847" t="str">
        <f t="shared" si="90"/>
        <v/>
      </c>
      <c r="Q847" t="str">
        <f t="shared" si="91"/>
        <v/>
      </c>
      <c r="R847" t="str">
        <f t="shared" si="92"/>
        <v/>
      </c>
      <c r="T847">
        <f t="shared" si="93"/>
        <v>2985</v>
      </c>
    </row>
    <row r="848" spans="1:20" ht="14.1" customHeight="1" outlineLevel="3" x14ac:dyDescent="0.2">
      <c r="A848" t="str">
        <f t="shared" si="89"/>
        <v/>
      </c>
      <c r="E848" s="1"/>
      <c r="F848" s="1"/>
      <c r="G848" s="2"/>
      <c r="I848" s="2"/>
      <c r="P848" t="str">
        <f t="shared" si="90"/>
        <v/>
      </c>
      <c r="Q848" t="str">
        <f t="shared" si="91"/>
        <v/>
      </c>
      <c r="R848" t="str">
        <f t="shared" si="92"/>
        <v/>
      </c>
      <c r="T848">
        <f t="shared" si="93"/>
        <v>2985</v>
      </c>
    </row>
    <row r="849" spans="1:20" ht="14.1" customHeight="1" outlineLevel="3" x14ac:dyDescent="0.2">
      <c r="A849" t="str">
        <f t="shared" si="89"/>
        <v/>
      </c>
      <c r="E849" s="1"/>
      <c r="F849" s="1"/>
      <c r="G849" s="2"/>
      <c r="I849" s="2"/>
      <c r="P849" t="str">
        <f t="shared" si="90"/>
        <v/>
      </c>
      <c r="Q849" t="str">
        <f t="shared" si="91"/>
        <v/>
      </c>
      <c r="R849" t="str">
        <f t="shared" si="92"/>
        <v/>
      </c>
      <c r="T849">
        <f t="shared" si="93"/>
        <v>2985</v>
      </c>
    </row>
    <row r="850" spans="1:20" outlineLevel="2" collapsed="1" x14ac:dyDescent="0.2">
      <c r="A850" t="str">
        <f t="shared" si="89"/>
        <v/>
      </c>
      <c r="E850" s="1"/>
      <c r="F850" s="1"/>
      <c r="G850" s="2"/>
      <c r="I850" s="2"/>
      <c r="P850" t="str">
        <f t="shared" si="90"/>
        <v/>
      </c>
      <c r="Q850" t="str">
        <f t="shared" si="91"/>
        <v/>
      </c>
      <c r="R850" t="str">
        <f t="shared" si="92"/>
        <v/>
      </c>
      <c r="T850">
        <f t="shared" si="93"/>
        <v>2985</v>
      </c>
    </row>
    <row r="851" spans="1:20" ht="14.1" customHeight="1" outlineLevel="3" x14ac:dyDescent="0.2">
      <c r="A851" t="str">
        <f t="shared" si="89"/>
        <v/>
      </c>
      <c r="E851" s="1"/>
      <c r="F851" s="1"/>
      <c r="G851" s="2"/>
      <c r="I851" s="2"/>
      <c r="P851" t="str">
        <f t="shared" si="90"/>
        <v/>
      </c>
      <c r="Q851" t="str">
        <f t="shared" si="91"/>
        <v/>
      </c>
      <c r="R851" t="str">
        <f t="shared" si="92"/>
        <v/>
      </c>
      <c r="T851">
        <f t="shared" si="93"/>
        <v>2985</v>
      </c>
    </row>
    <row r="852" spans="1:20" ht="14.1" customHeight="1" outlineLevel="3" x14ac:dyDescent="0.2">
      <c r="A852" t="str">
        <f t="shared" si="89"/>
        <v/>
      </c>
      <c r="E852" s="1"/>
      <c r="F852" s="1"/>
      <c r="G852" s="2"/>
      <c r="I852" s="2"/>
      <c r="P852" t="str">
        <f t="shared" si="90"/>
        <v/>
      </c>
      <c r="Q852" t="str">
        <f t="shared" si="91"/>
        <v/>
      </c>
      <c r="R852" t="str">
        <f t="shared" si="92"/>
        <v/>
      </c>
      <c r="T852">
        <f t="shared" si="93"/>
        <v>2985</v>
      </c>
    </row>
    <row r="853" spans="1:20" outlineLevel="2" collapsed="1" x14ac:dyDescent="0.2">
      <c r="A853" t="str">
        <f t="shared" si="89"/>
        <v/>
      </c>
      <c r="E853" s="1"/>
      <c r="F853" s="1"/>
      <c r="G853" s="2"/>
      <c r="I853" s="2"/>
      <c r="P853" t="str">
        <f t="shared" si="90"/>
        <v/>
      </c>
      <c r="Q853" t="str">
        <f t="shared" si="91"/>
        <v/>
      </c>
      <c r="R853" t="str">
        <f t="shared" si="92"/>
        <v/>
      </c>
      <c r="T853">
        <f t="shared" si="93"/>
        <v>2985</v>
      </c>
    </row>
    <row r="854" spans="1:20" ht="14.1" customHeight="1" outlineLevel="3" x14ac:dyDescent="0.2">
      <c r="A854" t="str">
        <f t="shared" si="89"/>
        <v/>
      </c>
      <c r="E854" s="1"/>
      <c r="F854" s="1"/>
      <c r="G854" s="2"/>
      <c r="I854" s="2"/>
      <c r="P854" t="str">
        <f t="shared" si="90"/>
        <v/>
      </c>
      <c r="Q854" t="str">
        <f t="shared" si="91"/>
        <v/>
      </c>
      <c r="R854" t="str">
        <f t="shared" si="92"/>
        <v/>
      </c>
      <c r="T854">
        <f t="shared" si="93"/>
        <v>2985</v>
      </c>
    </row>
    <row r="855" spans="1:20" ht="14.1" customHeight="1" outlineLevel="3" x14ac:dyDescent="0.2">
      <c r="A855" t="str">
        <f t="shared" si="89"/>
        <v/>
      </c>
      <c r="E855" s="1"/>
      <c r="F855" s="1"/>
      <c r="G855" s="2"/>
      <c r="I855" s="2"/>
      <c r="P855" t="str">
        <f t="shared" si="90"/>
        <v/>
      </c>
      <c r="Q855" t="str">
        <f t="shared" si="91"/>
        <v/>
      </c>
      <c r="R855" t="str">
        <f t="shared" si="92"/>
        <v/>
      </c>
      <c r="T855">
        <f t="shared" si="93"/>
        <v>2985</v>
      </c>
    </row>
    <row r="856" spans="1:20" outlineLevel="2" x14ac:dyDescent="0.2">
      <c r="A856" t="str">
        <f t="shared" si="89"/>
        <v/>
      </c>
      <c r="E856" s="1"/>
      <c r="F856" s="1"/>
      <c r="G856" s="2"/>
      <c r="I856" s="2"/>
      <c r="P856" t="str">
        <f t="shared" si="90"/>
        <v/>
      </c>
      <c r="Q856" t="str">
        <f t="shared" si="91"/>
        <v/>
      </c>
      <c r="R856" t="str">
        <f t="shared" si="92"/>
        <v/>
      </c>
      <c r="T856">
        <f t="shared" si="93"/>
        <v>2985</v>
      </c>
    </row>
    <row r="857" spans="1:20" ht="14.1" customHeight="1" outlineLevel="3" x14ac:dyDescent="0.2">
      <c r="A857" t="str">
        <f t="shared" si="89"/>
        <v/>
      </c>
      <c r="E857" s="1"/>
      <c r="F857" s="1"/>
      <c r="G857" s="2"/>
      <c r="I857" s="2"/>
      <c r="P857" t="str">
        <f t="shared" si="90"/>
        <v/>
      </c>
      <c r="Q857" t="str">
        <f t="shared" si="91"/>
        <v/>
      </c>
      <c r="R857" t="str">
        <f t="shared" si="92"/>
        <v/>
      </c>
      <c r="T857">
        <f t="shared" si="93"/>
        <v>2985</v>
      </c>
    </row>
    <row r="858" spans="1:20" ht="14.1" customHeight="1" outlineLevel="3" x14ac:dyDescent="0.2">
      <c r="A858" t="str">
        <f t="shared" si="89"/>
        <v/>
      </c>
      <c r="E858" s="1"/>
      <c r="F858" s="1"/>
      <c r="G858" s="2"/>
      <c r="I858" s="2"/>
      <c r="P858" t="str">
        <f t="shared" si="90"/>
        <v/>
      </c>
      <c r="Q858" t="str">
        <f t="shared" si="91"/>
        <v/>
      </c>
      <c r="R858" t="str">
        <f t="shared" si="92"/>
        <v/>
      </c>
      <c r="T858">
        <f t="shared" si="93"/>
        <v>2985</v>
      </c>
    </row>
    <row r="859" spans="1:20" outlineLevel="2" x14ac:dyDescent="0.2">
      <c r="A859" t="str">
        <f t="shared" si="89"/>
        <v/>
      </c>
      <c r="E859" s="1"/>
      <c r="F859" s="1"/>
      <c r="G859" s="2"/>
      <c r="I859" s="2"/>
      <c r="P859" t="str">
        <f t="shared" si="90"/>
        <v/>
      </c>
      <c r="Q859" t="str">
        <f t="shared" si="91"/>
        <v/>
      </c>
      <c r="R859" t="str">
        <f t="shared" si="92"/>
        <v/>
      </c>
      <c r="T859">
        <f t="shared" si="93"/>
        <v>2985</v>
      </c>
    </row>
    <row r="860" spans="1:20" ht="14.1" customHeight="1" outlineLevel="3" x14ac:dyDescent="0.2">
      <c r="A860" t="str">
        <f t="shared" si="89"/>
        <v/>
      </c>
      <c r="E860" s="1"/>
      <c r="F860" s="1"/>
      <c r="G860" s="2"/>
      <c r="I860" s="2"/>
      <c r="P860" t="str">
        <f t="shared" si="90"/>
        <v/>
      </c>
      <c r="Q860" t="str">
        <f t="shared" si="91"/>
        <v/>
      </c>
      <c r="R860" t="str">
        <f t="shared" si="92"/>
        <v/>
      </c>
      <c r="T860">
        <f t="shared" si="93"/>
        <v>2985</v>
      </c>
    </row>
    <row r="861" spans="1:20" ht="14.1" customHeight="1" outlineLevel="3" x14ac:dyDescent="0.2">
      <c r="A861" t="str">
        <f t="shared" si="89"/>
        <v/>
      </c>
      <c r="E861" s="1"/>
      <c r="F861" s="1"/>
      <c r="G861" s="2"/>
      <c r="I861" s="2"/>
      <c r="P861" t="str">
        <f t="shared" si="90"/>
        <v/>
      </c>
      <c r="Q861" t="str">
        <f t="shared" si="91"/>
        <v/>
      </c>
      <c r="R861" t="str">
        <f t="shared" si="92"/>
        <v/>
      </c>
      <c r="T861">
        <f t="shared" si="93"/>
        <v>2985</v>
      </c>
    </row>
    <row r="862" spans="1:20" outlineLevel="2" collapsed="1" x14ac:dyDescent="0.2">
      <c r="A862" t="str">
        <f t="shared" si="89"/>
        <v/>
      </c>
      <c r="E862" s="1"/>
      <c r="F862" s="1"/>
      <c r="G862" s="2"/>
      <c r="I862" s="2"/>
      <c r="P862" t="str">
        <f t="shared" si="90"/>
        <v/>
      </c>
      <c r="Q862" t="str">
        <f t="shared" si="91"/>
        <v/>
      </c>
      <c r="R862" t="str">
        <f t="shared" si="92"/>
        <v/>
      </c>
      <c r="T862">
        <f t="shared" si="93"/>
        <v>2985</v>
      </c>
    </row>
    <row r="863" spans="1:20" ht="14.1" customHeight="1" outlineLevel="3" x14ac:dyDescent="0.2">
      <c r="A863" t="str">
        <f t="shared" si="89"/>
        <v/>
      </c>
      <c r="E863" s="1"/>
      <c r="F863" s="1"/>
      <c r="G863" s="2"/>
      <c r="I863" s="2"/>
      <c r="P863" t="str">
        <f t="shared" si="90"/>
        <v/>
      </c>
      <c r="Q863" t="str">
        <f t="shared" si="91"/>
        <v/>
      </c>
      <c r="R863" t="str">
        <f t="shared" si="92"/>
        <v/>
      </c>
      <c r="T863">
        <f t="shared" si="93"/>
        <v>2985</v>
      </c>
    </row>
    <row r="864" spans="1:20" ht="14.1" customHeight="1" outlineLevel="3" x14ac:dyDescent="0.2">
      <c r="A864" t="str">
        <f t="shared" si="89"/>
        <v/>
      </c>
      <c r="E864" s="1"/>
      <c r="F864" s="1"/>
      <c r="G864" s="2"/>
      <c r="I864" s="2"/>
      <c r="P864" t="str">
        <f t="shared" si="90"/>
        <v/>
      </c>
      <c r="Q864" t="str">
        <f t="shared" si="91"/>
        <v/>
      </c>
      <c r="R864" t="str">
        <f t="shared" si="92"/>
        <v/>
      </c>
      <c r="T864">
        <f t="shared" si="93"/>
        <v>2985</v>
      </c>
    </row>
    <row r="865" spans="1:20" outlineLevel="2" x14ac:dyDescent="0.2">
      <c r="A865" t="str">
        <f t="shared" si="89"/>
        <v/>
      </c>
      <c r="E865" s="1"/>
      <c r="F865" s="1"/>
      <c r="G865" s="2"/>
      <c r="I865" s="2"/>
      <c r="P865" t="str">
        <f t="shared" si="90"/>
        <v/>
      </c>
      <c r="Q865" t="str">
        <f t="shared" si="91"/>
        <v/>
      </c>
      <c r="R865" t="str">
        <f t="shared" si="92"/>
        <v/>
      </c>
      <c r="T865">
        <f t="shared" si="93"/>
        <v>2985</v>
      </c>
    </row>
    <row r="866" spans="1:20" ht="14.1" customHeight="1" outlineLevel="3" x14ac:dyDescent="0.2">
      <c r="A866" t="str">
        <f t="shared" si="89"/>
        <v/>
      </c>
      <c r="E866" s="1"/>
      <c r="F866" s="1"/>
      <c r="G866" s="2"/>
      <c r="I866" s="2"/>
      <c r="P866" t="str">
        <f t="shared" si="90"/>
        <v/>
      </c>
      <c r="Q866" t="str">
        <f t="shared" si="91"/>
        <v/>
      </c>
      <c r="R866" t="str">
        <f t="shared" si="92"/>
        <v/>
      </c>
      <c r="T866">
        <f t="shared" si="93"/>
        <v>2985</v>
      </c>
    </row>
    <row r="867" spans="1:20" ht="14.1" customHeight="1" outlineLevel="3" x14ac:dyDescent="0.2">
      <c r="A867" t="str">
        <f t="shared" si="89"/>
        <v/>
      </c>
      <c r="E867" s="1"/>
      <c r="F867" s="1"/>
      <c r="G867" s="2"/>
      <c r="I867" s="2"/>
      <c r="P867" t="str">
        <f t="shared" si="90"/>
        <v/>
      </c>
      <c r="Q867" t="str">
        <f t="shared" si="91"/>
        <v/>
      </c>
      <c r="R867" t="str">
        <f t="shared" si="92"/>
        <v/>
      </c>
      <c r="T867">
        <f t="shared" si="93"/>
        <v>2985</v>
      </c>
    </row>
    <row r="868" spans="1:20" outlineLevel="2" x14ac:dyDescent="0.2">
      <c r="A868" t="str">
        <f t="shared" si="89"/>
        <v/>
      </c>
      <c r="E868" s="1"/>
      <c r="F868" s="1"/>
      <c r="G868" s="2"/>
      <c r="I868" s="2"/>
      <c r="P868" t="str">
        <f t="shared" si="90"/>
        <v/>
      </c>
      <c r="Q868" t="str">
        <f t="shared" si="91"/>
        <v/>
      </c>
      <c r="R868" t="str">
        <f t="shared" si="92"/>
        <v/>
      </c>
      <c r="T868">
        <f t="shared" si="93"/>
        <v>2985</v>
      </c>
    </row>
    <row r="869" spans="1:20" ht="14.1" customHeight="1" outlineLevel="3" x14ac:dyDescent="0.2">
      <c r="A869" t="str">
        <f t="shared" si="89"/>
        <v/>
      </c>
      <c r="E869" s="1"/>
      <c r="F869" s="1"/>
      <c r="G869" s="2"/>
      <c r="I869" s="2"/>
      <c r="P869" t="str">
        <f t="shared" si="90"/>
        <v/>
      </c>
      <c r="Q869" t="str">
        <f t="shared" si="91"/>
        <v/>
      </c>
      <c r="R869" t="str">
        <f t="shared" si="92"/>
        <v/>
      </c>
      <c r="T869">
        <f t="shared" si="93"/>
        <v>2985</v>
      </c>
    </row>
    <row r="870" spans="1:20" ht="14.1" customHeight="1" outlineLevel="3" x14ac:dyDescent="0.2">
      <c r="A870" t="str">
        <f t="shared" si="89"/>
        <v/>
      </c>
      <c r="E870" s="1"/>
      <c r="F870" s="1"/>
      <c r="G870" s="2"/>
      <c r="I870" s="2"/>
      <c r="P870" t="str">
        <f t="shared" si="90"/>
        <v/>
      </c>
      <c r="Q870" t="str">
        <f t="shared" si="91"/>
        <v/>
      </c>
      <c r="R870" t="str">
        <f t="shared" si="92"/>
        <v/>
      </c>
      <c r="T870">
        <f t="shared" si="93"/>
        <v>2985</v>
      </c>
    </row>
    <row r="871" spans="1:20" ht="14.1" customHeight="1" outlineLevel="3" x14ac:dyDescent="0.2">
      <c r="A871" t="str">
        <f t="shared" si="89"/>
        <v/>
      </c>
      <c r="E871" s="1"/>
      <c r="F871" s="1"/>
      <c r="G871" s="2"/>
      <c r="I871" s="2"/>
      <c r="P871" t="str">
        <f t="shared" si="90"/>
        <v/>
      </c>
      <c r="Q871" t="str">
        <f t="shared" si="91"/>
        <v/>
      </c>
      <c r="R871" t="str">
        <f t="shared" si="92"/>
        <v/>
      </c>
      <c r="T871">
        <f t="shared" si="93"/>
        <v>2985</v>
      </c>
    </row>
    <row r="872" spans="1:20" ht="14.1" customHeight="1" outlineLevel="3" x14ac:dyDescent="0.2">
      <c r="A872" t="str">
        <f t="shared" si="89"/>
        <v/>
      </c>
      <c r="E872" s="1"/>
      <c r="F872" s="1"/>
      <c r="G872" s="2"/>
      <c r="I872" s="2"/>
      <c r="P872" t="str">
        <f t="shared" si="90"/>
        <v/>
      </c>
      <c r="Q872" t="str">
        <f t="shared" si="91"/>
        <v/>
      </c>
      <c r="R872" t="str">
        <f t="shared" si="92"/>
        <v/>
      </c>
      <c r="T872">
        <f t="shared" si="93"/>
        <v>2985</v>
      </c>
    </row>
    <row r="873" spans="1:20" ht="14.1" customHeight="1" outlineLevel="3" x14ac:dyDescent="0.2">
      <c r="A873" t="str">
        <f t="shared" si="89"/>
        <v/>
      </c>
      <c r="E873" s="1"/>
      <c r="F873" s="1"/>
      <c r="G873" s="2"/>
      <c r="I873" s="2"/>
      <c r="P873" t="str">
        <f t="shared" si="90"/>
        <v/>
      </c>
      <c r="Q873" t="str">
        <f t="shared" si="91"/>
        <v/>
      </c>
      <c r="R873" t="str">
        <f t="shared" si="92"/>
        <v/>
      </c>
      <c r="T873">
        <f t="shared" si="93"/>
        <v>2985</v>
      </c>
    </row>
    <row r="874" spans="1:20" ht="14.1" customHeight="1" outlineLevel="3" x14ac:dyDescent="0.2">
      <c r="A874" t="str">
        <f t="shared" si="89"/>
        <v/>
      </c>
      <c r="E874" s="1"/>
      <c r="F874" s="1"/>
      <c r="G874" s="2"/>
      <c r="I874" s="2"/>
      <c r="P874" t="str">
        <f t="shared" si="90"/>
        <v/>
      </c>
      <c r="Q874" t="str">
        <f t="shared" si="91"/>
        <v/>
      </c>
      <c r="R874" t="str">
        <f t="shared" si="92"/>
        <v/>
      </c>
      <c r="T874">
        <f t="shared" si="93"/>
        <v>2985</v>
      </c>
    </row>
    <row r="875" spans="1:20" outlineLevel="2" x14ac:dyDescent="0.2">
      <c r="A875" t="str">
        <f t="shared" si="89"/>
        <v/>
      </c>
      <c r="E875" s="1"/>
      <c r="F875" s="1"/>
      <c r="G875" s="2"/>
      <c r="I875" s="2"/>
      <c r="P875" t="str">
        <f t="shared" si="90"/>
        <v/>
      </c>
      <c r="Q875" t="str">
        <f t="shared" si="91"/>
        <v/>
      </c>
      <c r="R875" t="str">
        <f t="shared" si="92"/>
        <v/>
      </c>
      <c r="T875">
        <f t="shared" si="93"/>
        <v>2985</v>
      </c>
    </row>
    <row r="876" spans="1:20" ht="14.1" customHeight="1" outlineLevel="3" x14ac:dyDescent="0.2">
      <c r="A876" t="str">
        <f t="shared" si="89"/>
        <v/>
      </c>
      <c r="E876" s="1"/>
      <c r="F876" s="1"/>
      <c r="G876" s="2"/>
      <c r="I876" s="2"/>
      <c r="P876" t="str">
        <f t="shared" si="90"/>
        <v/>
      </c>
      <c r="Q876" t="str">
        <f t="shared" si="91"/>
        <v/>
      </c>
      <c r="R876" t="str">
        <f t="shared" si="92"/>
        <v/>
      </c>
      <c r="T876">
        <f t="shared" si="93"/>
        <v>2985</v>
      </c>
    </row>
    <row r="877" spans="1:20" outlineLevel="2" x14ac:dyDescent="0.2">
      <c r="A877" t="str">
        <f t="shared" si="89"/>
        <v/>
      </c>
      <c r="E877" s="1"/>
      <c r="F877" s="1"/>
      <c r="G877" s="2"/>
      <c r="I877" s="2"/>
      <c r="P877" t="str">
        <f t="shared" si="90"/>
        <v/>
      </c>
      <c r="Q877" t="str">
        <f t="shared" si="91"/>
        <v/>
      </c>
      <c r="R877" t="str">
        <f t="shared" si="92"/>
        <v/>
      </c>
      <c r="T877">
        <f t="shared" si="93"/>
        <v>2985</v>
      </c>
    </row>
    <row r="878" spans="1:20" ht="14.1" customHeight="1" outlineLevel="3" x14ac:dyDescent="0.2">
      <c r="A878" t="str">
        <f t="shared" si="89"/>
        <v/>
      </c>
      <c r="E878" s="1"/>
      <c r="F878" s="1"/>
      <c r="G878" s="2"/>
      <c r="I878" s="2"/>
      <c r="P878" t="str">
        <f t="shared" si="90"/>
        <v/>
      </c>
      <c r="Q878" t="str">
        <f t="shared" si="91"/>
        <v/>
      </c>
      <c r="R878" t="str">
        <f t="shared" si="92"/>
        <v/>
      </c>
      <c r="T878">
        <f t="shared" si="93"/>
        <v>2985</v>
      </c>
    </row>
    <row r="879" spans="1:20" outlineLevel="2" collapsed="1" x14ac:dyDescent="0.2">
      <c r="A879" t="str">
        <f t="shared" si="89"/>
        <v/>
      </c>
      <c r="E879" s="1"/>
      <c r="F879" s="1"/>
      <c r="G879" s="2"/>
      <c r="I879" s="2"/>
      <c r="P879" t="str">
        <f t="shared" si="90"/>
        <v/>
      </c>
      <c r="Q879" t="str">
        <f t="shared" si="91"/>
        <v/>
      </c>
      <c r="R879" t="str">
        <f t="shared" si="92"/>
        <v/>
      </c>
      <c r="T879">
        <f t="shared" si="93"/>
        <v>2985</v>
      </c>
    </row>
    <row r="880" spans="1:20" ht="14.1" customHeight="1" outlineLevel="3" x14ac:dyDescent="0.2">
      <c r="A880" t="str">
        <f t="shared" si="89"/>
        <v/>
      </c>
      <c r="E880" s="1"/>
      <c r="F880" s="1"/>
      <c r="G880" s="2"/>
      <c r="I880" s="2"/>
      <c r="P880" t="str">
        <f t="shared" si="90"/>
        <v/>
      </c>
      <c r="Q880" t="str">
        <f t="shared" si="91"/>
        <v/>
      </c>
      <c r="R880" t="str">
        <f t="shared" si="92"/>
        <v/>
      </c>
      <c r="T880">
        <f t="shared" si="93"/>
        <v>2985</v>
      </c>
    </row>
    <row r="881" spans="1:20" outlineLevel="2" x14ac:dyDescent="0.2">
      <c r="A881" t="str">
        <f t="shared" si="89"/>
        <v/>
      </c>
      <c r="E881" s="1"/>
      <c r="F881" s="1"/>
      <c r="G881" s="2"/>
      <c r="I881" s="2"/>
      <c r="P881" t="str">
        <f t="shared" si="90"/>
        <v/>
      </c>
      <c r="Q881" t="str">
        <f t="shared" si="91"/>
        <v/>
      </c>
      <c r="R881" t="str">
        <f t="shared" si="92"/>
        <v/>
      </c>
      <c r="T881">
        <f t="shared" si="93"/>
        <v>2985</v>
      </c>
    </row>
    <row r="882" spans="1:20" ht="14.1" customHeight="1" outlineLevel="3" x14ac:dyDescent="0.2">
      <c r="A882" t="str">
        <f t="shared" si="89"/>
        <v/>
      </c>
      <c r="E882" s="1"/>
      <c r="F882" s="1"/>
      <c r="G882" s="2"/>
      <c r="I882" s="2"/>
      <c r="P882" t="str">
        <f t="shared" si="90"/>
        <v/>
      </c>
      <c r="Q882" t="str">
        <f t="shared" si="91"/>
        <v/>
      </c>
      <c r="R882" t="str">
        <f t="shared" si="92"/>
        <v/>
      </c>
      <c r="T882">
        <f t="shared" si="93"/>
        <v>2985</v>
      </c>
    </row>
    <row r="883" spans="1:20" ht="14.1" customHeight="1" outlineLevel="3" x14ac:dyDescent="0.2">
      <c r="A883" t="str">
        <f t="shared" si="89"/>
        <v/>
      </c>
      <c r="E883" s="1"/>
      <c r="F883" s="1"/>
      <c r="G883" s="2"/>
      <c r="I883" s="2"/>
      <c r="P883" t="str">
        <f t="shared" si="90"/>
        <v/>
      </c>
      <c r="Q883" t="str">
        <f t="shared" si="91"/>
        <v/>
      </c>
      <c r="R883" t="str">
        <f t="shared" si="92"/>
        <v/>
      </c>
      <c r="T883">
        <f t="shared" si="93"/>
        <v>2985</v>
      </c>
    </row>
    <row r="884" spans="1:20" outlineLevel="2" collapsed="1" x14ac:dyDescent="0.2">
      <c r="A884" t="str">
        <f t="shared" si="89"/>
        <v/>
      </c>
      <c r="E884" s="1"/>
      <c r="F884" s="1"/>
      <c r="G884" s="2"/>
      <c r="I884" s="2"/>
      <c r="P884" t="str">
        <f t="shared" si="90"/>
        <v/>
      </c>
      <c r="Q884" t="str">
        <f t="shared" si="91"/>
        <v/>
      </c>
      <c r="R884" t="str">
        <f t="shared" si="92"/>
        <v/>
      </c>
      <c r="T884">
        <f t="shared" si="93"/>
        <v>2985</v>
      </c>
    </row>
    <row r="885" spans="1:20" outlineLevel="1" x14ac:dyDescent="0.2">
      <c r="A885" t="str">
        <f t="shared" si="89"/>
        <v/>
      </c>
      <c r="E885" s="1"/>
      <c r="F885" s="1"/>
      <c r="G885" s="2"/>
      <c r="I885" s="2"/>
      <c r="P885" t="str">
        <f t="shared" si="90"/>
        <v/>
      </c>
      <c r="Q885" t="str">
        <f t="shared" si="91"/>
        <v/>
      </c>
      <c r="R885" t="str">
        <f t="shared" si="92"/>
        <v/>
      </c>
      <c r="T885">
        <f t="shared" si="93"/>
        <v>2985</v>
      </c>
    </row>
    <row r="886" spans="1:20" ht="14.1" customHeight="1" outlineLevel="3" x14ac:dyDescent="0.2">
      <c r="A886" t="str">
        <f t="shared" si="89"/>
        <v/>
      </c>
      <c r="E886" s="1"/>
      <c r="F886" s="1"/>
      <c r="G886" s="2"/>
      <c r="I886" s="2"/>
      <c r="P886" t="str">
        <f t="shared" si="90"/>
        <v/>
      </c>
      <c r="Q886" t="str">
        <f t="shared" si="91"/>
        <v/>
      </c>
      <c r="R886" t="str">
        <f t="shared" si="92"/>
        <v/>
      </c>
      <c r="T886">
        <f t="shared" si="93"/>
        <v>2985</v>
      </c>
    </row>
    <row r="887" spans="1:20" ht="14.1" customHeight="1" outlineLevel="3" x14ac:dyDescent="0.2">
      <c r="A887" t="str">
        <f t="shared" si="89"/>
        <v/>
      </c>
      <c r="E887" s="1"/>
      <c r="F887" s="1"/>
      <c r="G887" s="2"/>
      <c r="I887" s="2"/>
      <c r="P887" t="str">
        <f t="shared" si="90"/>
        <v/>
      </c>
      <c r="Q887" t="str">
        <f t="shared" si="91"/>
        <v/>
      </c>
      <c r="R887" t="str">
        <f t="shared" si="92"/>
        <v/>
      </c>
      <c r="T887">
        <f t="shared" si="93"/>
        <v>2985</v>
      </c>
    </row>
    <row r="888" spans="1:20" ht="14.1" customHeight="1" outlineLevel="3" x14ac:dyDescent="0.2">
      <c r="A888" t="str">
        <f t="shared" si="89"/>
        <v/>
      </c>
      <c r="E888" s="1"/>
      <c r="F888" s="1"/>
      <c r="G888" s="2"/>
      <c r="I888" s="2"/>
      <c r="P888" t="str">
        <f t="shared" si="90"/>
        <v/>
      </c>
      <c r="Q888" t="str">
        <f t="shared" si="91"/>
        <v/>
      </c>
      <c r="R888" t="str">
        <f t="shared" si="92"/>
        <v/>
      </c>
      <c r="T888">
        <f t="shared" si="93"/>
        <v>2985</v>
      </c>
    </row>
    <row r="889" spans="1:20" ht="14.1" customHeight="1" outlineLevel="3" x14ac:dyDescent="0.2">
      <c r="A889" t="str">
        <f t="shared" si="89"/>
        <v/>
      </c>
      <c r="E889" s="1"/>
      <c r="F889" s="1"/>
      <c r="G889" s="2"/>
      <c r="I889" s="2"/>
      <c r="P889" t="str">
        <f t="shared" si="90"/>
        <v/>
      </c>
      <c r="Q889" t="str">
        <f t="shared" si="91"/>
        <v/>
      </c>
      <c r="R889" t="str">
        <f t="shared" si="92"/>
        <v/>
      </c>
      <c r="T889">
        <f t="shared" si="93"/>
        <v>2985</v>
      </c>
    </row>
    <row r="890" spans="1:20" ht="14.1" customHeight="1" outlineLevel="3" x14ac:dyDescent="0.2">
      <c r="A890" t="str">
        <f t="shared" si="89"/>
        <v/>
      </c>
      <c r="E890" s="1"/>
      <c r="F890" s="1"/>
      <c r="G890" s="2"/>
      <c r="I890" s="2"/>
      <c r="P890" t="str">
        <f t="shared" si="90"/>
        <v/>
      </c>
      <c r="Q890" t="str">
        <f t="shared" si="91"/>
        <v/>
      </c>
      <c r="R890" t="str">
        <f t="shared" si="92"/>
        <v/>
      </c>
      <c r="T890">
        <f t="shared" si="93"/>
        <v>2985</v>
      </c>
    </row>
    <row r="891" spans="1:20" ht="14.1" customHeight="1" outlineLevel="3" x14ac:dyDescent="0.2">
      <c r="A891" t="str">
        <f t="shared" si="89"/>
        <v/>
      </c>
      <c r="E891" s="1"/>
      <c r="F891" s="1"/>
      <c r="G891" s="2"/>
      <c r="I891" s="2"/>
      <c r="P891" t="str">
        <f t="shared" si="90"/>
        <v/>
      </c>
      <c r="Q891" t="str">
        <f t="shared" si="91"/>
        <v/>
      </c>
      <c r="R891" t="str">
        <f t="shared" si="92"/>
        <v/>
      </c>
      <c r="T891">
        <f t="shared" si="93"/>
        <v>2985</v>
      </c>
    </row>
    <row r="892" spans="1:20" ht="14.1" customHeight="1" outlineLevel="3" x14ac:dyDescent="0.2">
      <c r="A892" t="str">
        <f t="shared" si="89"/>
        <v/>
      </c>
      <c r="E892" s="1"/>
      <c r="F892" s="1"/>
      <c r="G892" s="2"/>
      <c r="I892" s="2"/>
      <c r="P892" t="str">
        <f t="shared" si="90"/>
        <v/>
      </c>
      <c r="Q892" t="str">
        <f t="shared" si="91"/>
        <v/>
      </c>
      <c r="R892" t="str">
        <f t="shared" si="92"/>
        <v/>
      </c>
      <c r="T892">
        <f t="shared" si="93"/>
        <v>2985</v>
      </c>
    </row>
    <row r="893" spans="1:20" ht="14.1" customHeight="1" outlineLevel="3" x14ac:dyDescent="0.2">
      <c r="A893" t="str">
        <f t="shared" si="89"/>
        <v/>
      </c>
      <c r="E893" s="1"/>
      <c r="F893" s="1"/>
      <c r="G893" s="2"/>
      <c r="I893" s="2"/>
      <c r="P893" t="str">
        <f t="shared" si="90"/>
        <v/>
      </c>
      <c r="Q893" t="str">
        <f t="shared" si="91"/>
        <v/>
      </c>
      <c r="R893" t="str">
        <f t="shared" si="92"/>
        <v/>
      </c>
      <c r="T893">
        <f t="shared" si="93"/>
        <v>2985</v>
      </c>
    </row>
    <row r="894" spans="1:20" ht="14.1" customHeight="1" outlineLevel="3" x14ac:dyDescent="0.2">
      <c r="A894" t="str">
        <f t="shared" si="89"/>
        <v/>
      </c>
      <c r="E894" s="1"/>
      <c r="F894" s="1"/>
      <c r="G894" s="2"/>
      <c r="I894" s="2"/>
      <c r="P894" t="str">
        <f t="shared" si="90"/>
        <v/>
      </c>
      <c r="Q894" t="str">
        <f t="shared" si="91"/>
        <v/>
      </c>
      <c r="R894" t="str">
        <f t="shared" si="92"/>
        <v/>
      </c>
      <c r="T894">
        <f t="shared" si="93"/>
        <v>2985</v>
      </c>
    </row>
    <row r="895" spans="1:20" ht="14.1" customHeight="1" outlineLevel="3" x14ac:dyDescent="0.2">
      <c r="A895" t="str">
        <f t="shared" si="89"/>
        <v/>
      </c>
      <c r="E895" s="1"/>
      <c r="F895" s="1"/>
      <c r="G895" s="2"/>
      <c r="I895" s="2"/>
      <c r="P895" t="str">
        <f t="shared" si="90"/>
        <v/>
      </c>
      <c r="Q895" t="str">
        <f t="shared" si="91"/>
        <v/>
      </c>
      <c r="R895" t="str">
        <f t="shared" si="92"/>
        <v/>
      </c>
      <c r="T895">
        <f t="shared" si="93"/>
        <v>2985</v>
      </c>
    </row>
    <row r="896" spans="1:20" ht="14.1" customHeight="1" outlineLevel="3" x14ac:dyDescent="0.2">
      <c r="A896" t="str">
        <f t="shared" si="89"/>
        <v/>
      </c>
      <c r="E896" s="1"/>
      <c r="F896" s="1"/>
      <c r="G896" s="2"/>
      <c r="I896" s="2"/>
      <c r="P896" t="str">
        <f t="shared" si="90"/>
        <v/>
      </c>
      <c r="Q896" t="str">
        <f t="shared" si="91"/>
        <v/>
      </c>
      <c r="R896" t="str">
        <f t="shared" si="92"/>
        <v/>
      </c>
      <c r="T896">
        <f t="shared" si="93"/>
        <v>2985</v>
      </c>
    </row>
    <row r="897" spans="1:20" outlineLevel="2" collapsed="1" x14ac:dyDescent="0.2">
      <c r="A897" t="str">
        <f t="shared" si="89"/>
        <v/>
      </c>
      <c r="E897" s="1"/>
      <c r="F897" s="1"/>
      <c r="G897" s="2"/>
      <c r="I897" s="2"/>
      <c r="P897" t="str">
        <f t="shared" si="90"/>
        <v/>
      </c>
      <c r="Q897" t="str">
        <f t="shared" si="91"/>
        <v/>
      </c>
      <c r="R897" t="str">
        <f t="shared" si="92"/>
        <v/>
      </c>
      <c r="T897">
        <f t="shared" si="93"/>
        <v>2985</v>
      </c>
    </row>
    <row r="898" spans="1:20" ht="14.1" customHeight="1" outlineLevel="3" x14ac:dyDescent="0.2">
      <c r="A898" t="str">
        <f t="shared" si="89"/>
        <v/>
      </c>
      <c r="E898" s="1"/>
      <c r="F898" s="1"/>
      <c r="G898" s="2"/>
      <c r="I898" s="2"/>
      <c r="P898" t="str">
        <f t="shared" si="90"/>
        <v/>
      </c>
      <c r="Q898" t="str">
        <f t="shared" si="91"/>
        <v/>
      </c>
      <c r="R898" t="str">
        <f t="shared" si="92"/>
        <v/>
      </c>
      <c r="T898">
        <f t="shared" si="93"/>
        <v>2985</v>
      </c>
    </row>
    <row r="899" spans="1:20" ht="14.1" customHeight="1" outlineLevel="3" x14ac:dyDescent="0.2">
      <c r="A899" t="str">
        <f t="shared" ref="A899:A962" si="94">IFERROR(IF(OR(K899="",I899=0),"",D899&amp;K899&amp;I899),"")</f>
        <v/>
      </c>
      <c r="E899" s="1"/>
      <c r="F899" s="1"/>
      <c r="G899" s="2"/>
      <c r="I899" s="2"/>
      <c r="P899" t="str">
        <f t="shared" ref="P899:P900" si="95">IF(OR(K899="",K899=0),"",D899&amp;N899&amp;K899&amp;M899&amp;F899&amp;G899)</f>
        <v/>
      </c>
      <c r="Q899" t="str">
        <f t="shared" ref="Q899:Q962" si="96">IF(P899="","",COUNTIF($P$2:$P$1448,$P899))</f>
        <v/>
      </c>
      <c r="R899" t="str">
        <f t="shared" ref="R899:R962" si="97">G899&amp;K899&amp;N899</f>
        <v/>
      </c>
      <c r="T899">
        <f t="shared" ref="T899:T962" si="98">COUNTIF($R$2:$R$2986,$R899)</f>
        <v>2985</v>
      </c>
    </row>
    <row r="900" spans="1:20" ht="14.1" customHeight="1" outlineLevel="3" x14ac:dyDescent="0.2">
      <c r="A900" t="str">
        <f t="shared" si="94"/>
        <v/>
      </c>
      <c r="E900" s="1"/>
      <c r="F900" s="1"/>
      <c r="G900" s="2"/>
      <c r="I900" s="2"/>
      <c r="P900" t="str">
        <f t="shared" si="95"/>
        <v/>
      </c>
      <c r="Q900" t="str">
        <f t="shared" si="96"/>
        <v/>
      </c>
      <c r="R900" t="str">
        <f t="shared" si="97"/>
        <v/>
      </c>
      <c r="T900">
        <f t="shared" si="98"/>
        <v>2985</v>
      </c>
    </row>
    <row r="901" spans="1:20" ht="14.1" customHeight="1" outlineLevel="3" x14ac:dyDescent="0.2">
      <c r="A901" t="str">
        <f t="shared" si="94"/>
        <v/>
      </c>
      <c r="E901" s="1"/>
      <c r="F901" s="1"/>
      <c r="G901" s="2"/>
      <c r="I901" s="2"/>
      <c r="P901" t="str">
        <f t="shared" ref="P901:P962" si="99">IF(OR(K901="",K901=0),"",D901&amp;N901&amp;K901&amp;M901&amp;F901)</f>
        <v/>
      </c>
      <c r="Q901" t="str">
        <f t="shared" si="96"/>
        <v/>
      </c>
      <c r="R901" t="str">
        <f t="shared" si="97"/>
        <v/>
      </c>
      <c r="T901">
        <f t="shared" si="98"/>
        <v>2985</v>
      </c>
    </row>
    <row r="902" spans="1:20" ht="14.1" customHeight="1" outlineLevel="3" x14ac:dyDescent="0.2">
      <c r="A902" t="str">
        <f t="shared" si="94"/>
        <v/>
      </c>
      <c r="E902" s="1"/>
      <c r="F902" s="1"/>
      <c r="G902" s="2"/>
      <c r="I902" s="2"/>
      <c r="P902" t="str">
        <f t="shared" ref="P902:P903" si="100">IF(OR(K902="",K902=0),"",D902&amp;N902&amp;K902&amp;M902&amp;F902&amp;G902)</f>
        <v/>
      </c>
      <c r="Q902" t="str">
        <f t="shared" si="96"/>
        <v/>
      </c>
      <c r="R902" t="str">
        <f t="shared" si="97"/>
        <v/>
      </c>
      <c r="T902">
        <f t="shared" si="98"/>
        <v>2985</v>
      </c>
    </row>
    <row r="903" spans="1:20" ht="14.1" customHeight="1" outlineLevel="3" x14ac:dyDescent="0.2">
      <c r="A903" t="str">
        <f t="shared" si="94"/>
        <v/>
      </c>
      <c r="E903" s="1"/>
      <c r="F903" s="1"/>
      <c r="G903" s="2"/>
      <c r="I903" s="2"/>
      <c r="P903" t="str">
        <f t="shared" si="100"/>
        <v/>
      </c>
      <c r="Q903" t="str">
        <f t="shared" si="96"/>
        <v/>
      </c>
      <c r="R903" t="str">
        <f t="shared" si="97"/>
        <v/>
      </c>
      <c r="T903">
        <f t="shared" si="98"/>
        <v>2985</v>
      </c>
    </row>
    <row r="904" spans="1:20" ht="14.1" customHeight="1" outlineLevel="3" x14ac:dyDescent="0.2">
      <c r="A904" t="str">
        <f t="shared" si="94"/>
        <v/>
      </c>
      <c r="E904" s="1"/>
      <c r="F904" s="1"/>
      <c r="G904" s="2"/>
      <c r="I904" s="2"/>
      <c r="P904" t="str">
        <f t="shared" si="99"/>
        <v/>
      </c>
      <c r="Q904" t="str">
        <f t="shared" si="96"/>
        <v/>
      </c>
      <c r="R904" t="str">
        <f t="shared" si="97"/>
        <v/>
      </c>
      <c r="T904">
        <f t="shared" si="98"/>
        <v>2985</v>
      </c>
    </row>
    <row r="905" spans="1:20" ht="14.1" customHeight="1" outlineLevel="3" x14ac:dyDescent="0.2">
      <c r="A905" t="str">
        <f t="shared" si="94"/>
        <v/>
      </c>
      <c r="E905" s="1"/>
      <c r="F905" s="1"/>
      <c r="G905" s="2"/>
      <c r="I905" s="2"/>
      <c r="P905" t="str">
        <f t="shared" si="99"/>
        <v/>
      </c>
      <c r="Q905" t="str">
        <f t="shared" si="96"/>
        <v/>
      </c>
      <c r="R905" t="str">
        <f t="shared" si="97"/>
        <v/>
      </c>
      <c r="T905">
        <f t="shared" si="98"/>
        <v>2985</v>
      </c>
    </row>
    <row r="906" spans="1:20" ht="14.1" customHeight="1" outlineLevel="3" x14ac:dyDescent="0.2">
      <c r="A906" t="str">
        <f t="shared" si="94"/>
        <v/>
      </c>
      <c r="E906" s="1"/>
      <c r="F906" s="1"/>
      <c r="G906" s="2"/>
      <c r="I906" s="2"/>
      <c r="P906" t="str">
        <f t="shared" si="99"/>
        <v/>
      </c>
      <c r="Q906" t="str">
        <f t="shared" si="96"/>
        <v/>
      </c>
      <c r="R906" t="str">
        <f t="shared" si="97"/>
        <v/>
      </c>
      <c r="T906">
        <f t="shared" si="98"/>
        <v>2985</v>
      </c>
    </row>
    <row r="907" spans="1:20" ht="14.1" customHeight="1" outlineLevel="3" x14ac:dyDescent="0.2">
      <c r="A907" t="str">
        <f t="shared" si="94"/>
        <v/>
      </c>
      <c r="E907" s="1"/>
      <c r="F907" s="1"/>
      <c r="G907" s="2"/>
      <c r="I907" s="2"/>
      <c r="P907" t="str">
        <f t="shared" si="99"/>
        <v/>
      </c>
      <c r="Q907" t="str">
        <f t="shared" si="96"/>
        <v/>
      </c>
      <c r="R907" t="str">
        <f t="shared" si="97"/>
        <v/>
      </c>
      <c r="T907">
        <f t="shared" si="98"/>
        <v>2985</v>
      </c>
    </row>
    <row r="908" spans="1:20" ht="14.1" customHeight="1" outlineLevel="3" x14ac:dyDescent="0.2">
      <c r="A908" t="str">
        <f t="shared" si="94"/>
        <v/>
      </c>
      <c r="E908" s="1"/>
      <c r="F908" s="1"/>
      <c r="G908" s="2"/>
      <c r="I908" s="2"/>
      <c r="P908" t="str">
        <f t="shared" si="99"/>
        <v/>
      </c>
      <c r="Q908" t="str">
        <f t="shared" si="96"/>
        <v/>
      </c>
      <c r="R908" t="str">
        <f t="shared" si="97"/>
        <v/>
      </c>
      <c r="T908">
        <f t="shared" si="98"/>
        <v>2985</v>
      </c>
    </row>
    <row r="909" spans="1:20" ht="14.1" customHeight="1" outlineLevel="3" x14ac:dyDescent="0.2">
      <c r="A909" t="str">
        <f t="shared" si="94"/>
        <v/>
      </c>
      <c r="E909" s="1"/>
      <c r="F909" s="1"/>
      <c r="G909" s="2"/>
      <c r="I909" s="2"/>
      <c r="P909" t="str">
        <f t="shared" si="99"/>
        <v/>
      </c>
      <c r="Q909" t="str">
        <f t="shared" si="96"/>
        <v/>
      </c>
      <c r="R909" t="str">
        <f t="shared" si="97"/>
        <v/>
      </c>
      <c r="T909">
        <f t="shared" si="98"/>
        <v>2985</v>
      </c>
    </row>
    <row r="910" spans="1:20" ht="14.1" customHeight="1" outlineLevel="3" x14ac:dyDescent="0.2">
      <c r="A910" t="str">
        <f t="shared" si="94"/>
        <v/>
      </c>
      <c r="E910" s="1"/>
      <c r="F910" s="1"/>
      <c r="G910" s="2"/>
      <c r="I910" s="2"/>
      <c r="P910" t="str">
        <f t="shared" si="99"/>
        <v/>
      </c>
      <c r="Q910" t="str">
        <f t="shared" si="96"/>
        <v/>
      </c>
      <c r="R910" t="str">
        <f t="shared" si="97"/>
        <v/>
      </c>
      <c r="T910">
        <f t="shared" si="98"/>
        <v>2985</v>
      </c>
    </row>
    <row r="911" spans="1:20" ht="14.1" customHeight="1" outlineLevel="3" x14ac:dyDescent="0.2">
      <c r="A911" t="str">
        <f t="shared" si="94"/>
        <v/>
      </c>
      <c r="E911" s="1"/>
      <c r="F911" s="1"/>
      <c r="G911" s="2"/>
      <c r="I911" s="2"/>
      <c r="P911" t="str">
        <f t="shared" si="99"/>
        <v/>
      </c>
      <c r="Q911" t="str">
        <f t="shared" si="96"/>
        <v/>
      </c>
      <c r="R911" t="str">
        <f t="shared" si="97"/>
        <v/>
      </c>
      <c r="T911">
        <f t="shared" si="98"/>
        <v>2985</v>
      </c>
    </row>
    <row r="912" spans="1:20" ht="14.1" customHeight="1" outlineLevel="3" x14ac:dyDescent="0.2">
      <c r="A912" t="str">
        <f t="shared" si="94"/>
        <v/>
      </c>
      <c r="E912" s="1"/>
      <c r="F912" s="1"/>
      <c r="G912" s="2"/>
      <c r="I912" s="2"/>
      <c r="P912" t="str">
        <f t="shared" si="99"/>
        <v/>
      </c>
      <c r="Q912" t="str">
        <f t="shared" si="96"/>
        <v/>
      </c>
      <c r="R912" t="str">
        <f t="shared" si="97"/>
        <v/>
      </c>
      <c r="T912">
        <f t="shared" si="98"/>
        <v>2985</v>
      </c>
    </row>
    <row r="913" spans="1:20" ht="14.1" customHeight="1" outlineLevel="3" x14ac:dyDescent="0.2">
      <c r="A913" t="str">
        <f t="shared" si="94"/>
        <v/>
      </c>
      <c r="E913" s="1"/>
      <c r="F913" s="1"/>
      <c r="G913" s="2"/>
      <c r="I913" s="2"/>
      <c r="P913" t="str">
        <f t="shared" si="99"/>
        <v/>
      </c>
      <c r="Q913" t="str">
        <f t="shared" si="96"/>
        <v/>
      </c>
      <c r="R913" t="str">
        <f t="shared" si="97"/>
        <v/>
      </c>
      <c r="T913">
        <f t="shared" si="98"/>
        <v>2985</v>
      </c>
    </row>
    <row r="914" spans="1:20" ht="14.1" customHeight="1" outlineLevel="3" x14ac:dyDescent="0.2">
      <c r="A914" t="str">
        <f t="shared" si="94"/>
        <v/>
      </c>
      <c r="E914" s="1"/>
      <c r="F914" s="1"/>
      <c r="G914" s="2"/>
      <c r="I914" s="2"/>
      <c r="P914" t="str">
        <f t="shared" si="99"/>
        <v/>
      </c>
      <c r="Q914" t="str">
        <f t="shared" si="96"/>
        <v/>
      </c>
      <c r="R914" t="str">
        <f t="shared" si="97"/>
        <v/>
      </c>
      <c r="T914">
        <f t="shared" si="98"/>
        <v>2985</v>
      </c>
    </row>
    <row r="915" spans="1:20" ht="14.1" customHeight="1" outlineLevel="3" x14ac:dyDescent="0.2">
      <c r="A915" t="str">
        <f t="shared" si="94"/>
        <v/>
      </c>
      <c r="E915" s="1"/>
      <c r="F915" s="1"/>
      <c r="G915" s="2"/>
      <c r="I915" s="2"/>
      <c r="P915" t="str">
        <f t="shared" si="99"/>
        <v/>
      </c>
      <c r="Q915" t="str">
        <f t="shared" si="96"/>
        <v/>
      </c>
      <c r="R915" t="str">
        <f t="shared" si="97"/>
        <v/>
      </c>
      <c r="T915">
        <f t="shared" si="98"/>
        <v>2985</v>
      </c>
    </row>
    <row r="916" spans="1:20" outlineLevel="2" collapsed="1" x14ac:dyDescent="0.2">
      <c r="A916" t="str">
        <f t="shared" si="94"/>
        <v/>
      </c>
      <c r="E916" s="1"/>
      <c r="F916" s="1"/>
      <c r="G916" s="2"/>
      <c r="I916" s="2"/>
      <c r="P916" t="str">
        <f t="shared" si="99"/>
        <v/>
      </c>
      <c r="Q916" t="str">
        <f t="shared" si="96"/>
        <v/>
      </c>
      <c r="R916" t="str">
        <f t="shared" si="97"/>
        <v/>
      </c>
      <c r="T916">
        <f t="shared" si="98"/>
        <v>2985</v>
      </c>
    </row>
    <row r="917" spans="1:20" ht="14.1" customHeight="1" outlineLevel="3" x14ac:dyDescent="0.2">
      <c r="A917" t="str">
        <f t="shared" si="94"/>
        <v/>
      </c>
      <c r="E917" s="1"/>
      <c r="F917" s="1"/>
      <c r="G917" s="2"/>
      <c r="I917" s="2"/>
      <c r="P917" t="str">
        <f t="shared" si="99"/>
        <v/>
      </c>
      <c r="Q917" t="str">
        <f t="shared" si="96"/>
        <v/>
      </c>
      <c r="R917" t="str">
        <f t="shared" si="97"/>
        <v/>
      </c>
      <c r="T917">
        <f t="shared" si="98"/>
        <v>2985</v>
      </c>
    </row>
    <row r="918" spans="1:20" ht="14.1" customHeight="1" outlineLevel="3" x14ac:dyDescent="0.2">
      <c r="A918" t="str">
        <f t="shared" si="94"/>
        <v/>
      </c>
      <c r="E918" s="1"/>
      <c r="F918" s="1"/>
      <c r="G918" s="2"/>
      <c r="I918" s="2"/>
      <c r="P918" t="str">
        <f t="shared" si="99"/>
        <v/>
      </c>
      <c r="Q918" t="str">
        <f t="shared" si="96"/>
        <v/>
      </c>
      <c r="R918" t="str">
        <f t="shared" si="97"/>
        <v/>
      </c>
      <c r="T918">
        <f t="shared" si="98"/>
        <v>2985</v>
      </c>
    </row>
    <row r="919" spans="1:20" ht="14.1" customHeight="1" outlineLevel="3" x14ac:dyDescent="0.2">
      <c r="A919" t="str">
        <f t="shared" si="94"/>
        <v/>
      </c>
      <c r="E919" s="1"/>
      <c r="F919" s="1"/>
      <c r="G919" s="2"/>
      <c r="I919" s="2"/>
      <c r="P919" t="str">
        <f t="shared" si="99"/>
        <v/>
      </c>
      <c r="Q919" t="str">
        <f t="shared" si="96"/>
        <v/>
      </c>
      <c r="R919" t="str">
        <f t="shared" si="97"/>
        <v/>
      </c>
      <c r="T919">
        <f t="shared" si="98"/>
        <v>2985</v>
      </c>
    </row>
    <row r="920" spans="1:20" ht="14.1" customHeight="1" outlineLevel="3" x14ac:dyDescent="0.2">
      <c r="A920" t="str">
        <f t="shared" si="94"/>
        <v/>
      </c>
      <c r="E920" s="1"/>
      <c r="F920" s="1"/>
      <c r="G920" s="2"/>
      <c r="I920" s="2"/>
      <c r="P920" t="str">
        <f t="shared" si="99"/>
        <v/>
      </c>
      <c r="Q920" t="str">
        <f t="shared" si="96"/>
        <v/>
      </c>
      <c r="R920" t="str">
        <f t="shared" si="97"/>
        <v/>
      </c>
      <c r="T920">
        <f t="shared" si="98"/>
        <v>2985</v>
      </c>
    </row>
    <row r="921" spans="1:20" ht="14.1" customHeight="1" outlineLevel="3" x14ac:dyDescent="0.2">
      <c r="A921" t="str">
        <f t="shared" si="94"/>
        <v/>
      </c>
      <c r="E921" s="1"/>
      <c r="F921" s="1"/>
      <c r="G921" s="2"/>
      <c r="I921" s="2"/>
      <c r="P921" t="str">
        <f t="shared" si="99"/>
        <v/>
      </c>
      <c r="Q921" t="str">
        <f t="shared" si="96"/>
        <v/>
      </c>
      <c r="R921" t="str">
        <f t="shared" si="97"/>
        <v/>
      </c>
      <c r="T921">
        <f t="shared" si="98"/>
        <v>2985</v>
      </c>
    </row>
    <row r="922" spans="1:20" ht="14.1" customHeight="1" outlineLevel="3" x14ac:dyDescent="0.2">
      <c r="A922" t="str">
        <f t="shared" si="94"/>
        <v/>
      </c>
      <c r="E922" s="1"/>
      <c r="F922" s="1"/>
      <c r="G922" s="2"/>
      <c r="I922" s="2"/>
      <c r="P922" t="str">
        <f t="shared" si="99"/>
        <v/>
      </c>
      <c r="Q922" t="str">
        <f t="shared" si="96"/>
        <v/>
      </c>
      <c r="R922" t="str">
        <f t="shared" si="97"/>
        <v/>
      </c>
      <c r="T922">
        <f t="shared" si="98"/>
        <v>2985</v>
      </c>
    </row>
    <row r="923" spans="1:20" ht="14.1" customHeight="1" outlineLevel="3" x14ac:dyDescent="0.2">
      <c r="A923" t="str">
        <f t="shared" si="94"/>
        <v/>
      </c>
      <c r="E923" s="1"/>
      <c r="F923" s="1"/>
      <c r="G923" s="2"/>
      <c r="I923" s="2"/>
      <c r="P923" t="str">
        <f t="shared" si="99"/>
        <v/>
      </c>
      <c r="Q923" t="str">
        <f t="shared" si="96"/>
        <v/>
      </c>
      <c r="R923" t="str">
        <f t="shared" si="97"/>
        <v/>
      </c>
      <c r="T923">
        <f t="shared" si="98"/>
        <v>2985</v>
      </c>
    </row>
    <row r="924" spans="1:20" ht="14.1" customHeight="1" outlineLevel="3" x14ac:dyDescent="0.2">
      <c r="A924" t="str">
        <f t="shared" si="94"/>
        <v/>
      </c>
      <c r="E924" s="1"/>
      <c r="F924" s="1"/>
      <c r="G924" s="2"/>
      <c r="I924" s="2"/>
      <c r="P924" t="str">
        <f t="shared" si="99"/>
        <v/>
      </c>
      <c r="Q924" t="str">
        <f t="shared" si="96"/>
        <v/>
      </c>
      <c r="R924" t="str">
        <f t="shared" si="97"/>
        <v/>
      </c>
      <c r="T924">
        <f t="shared" si="98"/>
        <v>2985</v>
      </c>
    </row>
    <row r="925" spans="1:20" ht="14.1" customHeight="1" outlineLevel="3" x14ac:dyDescent="0.2">
      <c r="A925" t="str">
        <f t="shared" si="94"/>
        <v/>
      </c>
      <c r="E925" s="1"/>
      <c r="F925" s="1"/>
      <c r="G925" s="2"/>
      <c r="I925" s="2"/>
      <c r="P925" t="str">
        <f t="shared" si="99"/>
        <v/>
      </c>
      <c r="Q925" t="str">
        <f t="shared" si="96"/>
        <v/>
      </c>
      <c r="R925" t="str">
        <f t="shared" si="97"/>
        <v/>
      </c>
      <c r="T925">
        <f t="shared" si="98"/>
        <v>2985</v>
      </c>
    </row>
    <row r="926" spans="1:20" ht="14.1" customHeight="1" outlineLevel="3" x14ac:dyDescent="0.2">
      <c r="A926" t="str">
        <f t="shared" si="94"/>
        <v/>
      </c>
      <c r="E926" s="1"/>
      <c r="F926" s="1"/>
      <c r="G926" s="2"/>
      <c r="I926" s="2"/>
      <c r="P926" t="str">
        <f t="shared" si="99"/>
        <v/>
      </c>
      <c r="Q926" t="str">
        <f t="shared" si="96"/>
        <v/>
      </c>
      <c r="R926" t="str">
        <f t="shared" si="97"/>
        <v/>
      </c>
      <c r="T926">
        <f t="shared" si="98"/>
        <v>2985</v>
      </c>
    </row>
    <row r="927" spans="1:20" ht="14.1" customHeight="1" outlineLevel="3" x14ac:dyDescent="0.2">
      <c r="A927" t="str">
        <f t="shared" si="94"/>
        <v/>
      </c>
      <c r="E927" s="1"/>
      <c r="F927" s="1"/>
      <c r="G927" s="2"/>
      <c r="I927" s="2"/>
      <c r="P927" t="str">
        <f t="shared" si="99"/>
        <v/>
      </c>
      <c r="Q927" t="str">
        <f t="shared" si="96"/>
        <v/>
      </c>
      <c r="R927" t="str">
        <f t="shared" si="97"/>
        <v/>
      </c>
      <c r="T927">
        <f t="shared" si="98"/>
        <v>2985</v>
      </c>
    </row>
    <row r="928" spans="1:20" ht="14.1" customHeight="1" outlineLevel="3" x14ac:dyDescent="0.2">
      <c r="A928" t="str">
        <f t="shared" si="94"/>
        <v/>
      </c>
      <c r="E928" s="1"/>
      <c r="F928" s="1"/>
      <c r="G928" s="2"/>
      <c r="I928" s="2"/>
      <c r="P928" t="str">
        <f t="shared" si="99"/>
        <v/>
      </c>
      <c r="Q928" t="str">
        <f t="shared" si="96"/>
        <v/>
      </c>
      <c r="R928" t="str">
        <f t="shared" si="97"/>
        <v/>
      </c>
      <c r="T928">
        <f t="shared" si="98"/>
        <v>2985</v>
      </c>
    </row>
    <row r="929" spans="1:20" ht="14.1" customHeight="1" outlineLevel="3" x14ac:dyDescent="0.2">
      <c r="A929" t="str">
        <f t="shared" si="94"/>
        <v/>
      </c>
      <c r="E929" s="1"/>
      <c r="F929" s="1"/>
      <c r="G929" s="2"/>
      <c r="I929" s="2"/>
      <c r="P929" t="str">
        <f t="shared" si="99"/>
        <v/>
      </c>
      <c r="Q929" t="str">
        <f t="shared" si="96"/>
        <v/>
      </c>
      <c r="R929" t="str">
        <f t="shared" si="97"/>
        <v/>
      </c>
      <c r="T929">
        <f t="shared" si="98"/>
        <v>2985</v>
      </c>
    </row>
    <row r="930" spans="1:20" ht="14.1" customHeight="1" outlineLevel="3" x14ac:dyDescent="0.2">
      <c r="A930" t="str">
        <f t="shared" si="94"/>
        <v/>
      </c>
      <c r="E930" s="1"/>
      <c r="F930" s="1"/>
      <c r="G930" s="2"/>
      <c r="I930" s="2"/>
      <c r="P930" t="str">
        <f t="shared" si="99"/>
        <v/>
      </c>
      <c r="Q930" t="str">
        <f t="shared" si="96"/>
        <v/>
      </c>
      <c r="R930" t="str">
        <f t="shared" si="97"/>
        <v/>
      </c>
      <c r="T930">
        <f t="shared" si="98"/>
        <v>2985</v>
      </c>
    </row>
    <row r="931" spans="1:20" ht="14.1" customHeight="1" outlineLevel="3" x14ac:dyDescent="0.2">
      <c r="A931" t="str">
        <f t="shared" si="94"/>
        <v/>
      </c>
      <c r="E931" s="1"/>
      <c r="F931" s="1"/>
      <c r="G931" s="2"/>
      <c r="I931" s="2"/>
      <c r="P931" t="str">
        <f t="shared" si="99"/>
        <v/>
      </c>
      <c r="Q931" t="str">
        <f t="shared" si="96"/>
        <v/>
      </c>
      <c r="R931" t="str">
        <f t="shared" si="97"/>
        <v/>
      </c>
      <c r="T931">
        <f t="shared" si="98"/>
        <v>2985</v>
      </c>
    </row>
    <row r="932" spans="1:20" ht="14.1" customHeight="1" outlineLevel="3" x14ac:dyDescent="0.2">
      <c r="A932" t="str">
        <f t="shared" si="94"/>
        <v/>
      </c>
      <c r="E932" s="1"/>
      <c r="F932" s="1"/>
      <c r="G932" s="2"/>
      <c r="I932" s="2"/>
      <c r="P932" t="str">
        <f t="shared" si="99"/>
        <v/>
      </c>
      <c r="Q932" t="str">
        <f t="shared" si="96"/>
        <v/>
      </c>
      <c r="R932" t="str">
        <f t="shared" si="97"/>
        <v/>
      </c>
      <c r="T932">
        <f t="shared" si="98"/>
        <v>2985</v>
      </c>
    </row>
    <row r="933" spans="1:20" ht="14.1" customHeight="1" outlineLevel="3" x14ac:dyDescent="0.2">
      <c r="A933" t="str">
        <f t="shared" si="94"/>
        <v/>
      </c>
      <c r="E933" s="1"/>
      <c r="F933" s="1"/>
      <c r="G933" s="2"/>
      <c r="I933" s="2"/>
      <c r="P933" t="str">
        <f t="shared" si="99"/>
        <v/>
      </c>
      <c r="Q933" t="str">
        <f t="shared" si="96"/>
        <v/>
      </c>
      <c r="R933" t="str">
        <f t="shared" si="97"/>
        <v/>
      </c>
      <c r="T933">
        <f t="shared" si="98"/>
        <v>2985</v>
      </c>
    </row>
    <row r="934" spans="1:20" ht="14.1" customHeight="1" outlineLevel="3" x14ac:dyDescent="0.2">
      <c r="A934" t="str">
        <f t="shared" si="94"/>
        <v/>
      </c>
      <c r="E934" s="1"/>
      <c r="F934" s="1"/>
      <c r="G934" s="2"/>
      <c r="I934" s="2"/>
      <c r="P934" t="str">
        <f t="shared" si="99"/>
        <v/>
      </c>
      <c r="Q934" t="str">
        <f t="shared" si="96"/>
        <v/>
      </c>
      <c r="R934" t="str">
        <f t="shared" si="97"/>
        <v/>
      </c>
      <c r="T934">
        <f t="shared" si="98"/>
        <v>2985</v>
      </c>
    </row>
    <row r="935" spans="1:20" ht="14.1" customHeight="1" outlineLevel="3" x14ac:dyDescent="0.2">
      <c r="A935" t="str">
        <f t="shared" si="94"/>
        <v/>
      </c>
      <c r="E935" s="1"/>
      <c r="F935" s="1"/>
      <c r="G935" s="2"/>
      <c r="I935" s="2"/>
      <c r="P935" t="str">
        <f t="shared" si="99"/>
        <v/>
      </c>
      <c r="Q935" t="str">
        <f t="shared" si="96"/>
        <v/>
      </c>
      <c r="R935" t="str">
        <f t="shared" si="97"/>
        <v/>
      </c>
      <c r="T935">
        <f t="shared" si="98"/>
        <v>2985</v>
      </c>
    </row>
    <row r="936" spans="1:20" ht="14.1" customHeight="1" outlineLevel="3" x14ac:dyDescent="0.2">
      <c r="A936" t="str">
        <f t="shared" si="94"/>
        <v/>
      </c>
      <c r="E936" s="1"/>
      <c r="F936" s="1"/>
      <c r="G936" s="2"/>
      <c r="I936" s="2"/>
      <c r="P936" t="str">
        <f t="shared" si="99"/>
        <v/>
      </c>
      <c r="Q936" t="str">
        <f t="shared" si="96"/>
        <v/>
      </c>
      <c r="R936" t="str">
        <f t="shared" si="97"/>
        <v/>
      </c>
      <c r="T936">
        <f t="shared" si="98"/>
        <v>2985</v>
      </c>
    </row>
    <row r="937" spans="1:20" ht="14.1" customHeight="1" outlineLevel="3" x14ac:dyDescent="0.2">
      <c r="A937" t="str">
        <f t="shared" si="94"/>
        <v/>
      </c>
      <c r="E937" s="1"/>
      <c r="F937" s="1"/>
      <c r="G937" s="2"/>
      <c r="I937" s="2"/>
      <c r="P937" t="str">
        <f t="shared" si="99"/>
        <v/>
      </c>
      <c r="Q937" t="str">
        <f t="shared" si="96"/>
        <v/>
      </c>
      <c r="R937" t="str">
        <f t="shared" si="97"/>
        <v/>
      </c>
      <c r="T937">
        <f t="shared" si="98"/>
        <v>2985</v>
      </c>
    </row>
    <row r="938" spans="1:20" ht="14.1" customHeight="1" outlineLevel="3" x14ac:dyDescent="0.2">
      <c r="A938" t="str">
        <f t="shared" si="94"/>
        <v/>
      </c>
      <c r="E938" s="1"/>
      <c r="F938" s="1"/>
      <c r="G938" s="2"/>
      <c r="I938" s="2"/>
      <c r="P938" t="str">
        <f t="shared" si="99"/>
        <v/>
      </c>
      <c r="Q938" t="str">
        <f t="shared" si="96"/>
        <v/>
      </c>
      <c r="R938" t="str">
        <f t="shared" si="97"/>
        <v/>
      </c>
      <c r="T938">
        <f t="shared" si="98"/>
        <v>2985</v>
      </c>
    </row>
    <row r="939" spans="1:20" ht="14.1" customHeight="1" outlineLevel="3" x14ac:dyDescent="0.2">
      <c r="A939" t="str">
        <f t="shared" si="94"/>
        <v/>
      </c>
      <c r="E939" s="1"/>
      <c r="F939" s="1"/>
      <c r="G939" s="2"/>
      <c r="I939" s="2"/>
      <c r="P939" t="str">
        <f t="shared" si="99"/>
        <v/>
      </c>
      <c r="Q939" t="str">
        <f t="shared" si="96"/>
        <v/>
      </c>
      <c r="R939" t="str">
        <f t="shared" si="97"/>
        <v/>
      </c>
      <c r="T939">
        <f t="shared" si="98"/>
        <v>2985</v>
      </c>
    </row>
    <row r="940" spans="1:20" ht="14.1" customHeight="1" outlineLevel="3" x14ac:dyDescent="0.2">
      <c r="A940" t="str">
        <f t="shared" si="94"/>
        <v/>
      </c>
      <c r="E940" s="1"/>
      <c r="F940" s="1"/>
      <c r="G940" s="2"/>
      <c r="I940" s="2"/>
      <c r="P940" t="str">
        <f t="shared" si="99"/>
        <v/>
      </c>
      <c r="Q940" t="str">
        <f t="shared" si="96"/>
        <v/>
      </c>
      <c r="R940" t="str">
        <f t="shared" si="97"/>
        <v/>
      </c>
      <c r="T940">
        <f t="shared" si="98"/>
        <v>2985</v>
      </c>
    </row>
    <row r="941" spans="1:20" ht="14.1" customHeight="1" outlineLevel="3" x14ac:dyDescent="0.2">
      <c r="A941" t="str">
        <f t="shared" si="94"/>
        <v/>
      </c>
      <c r="E941" s="1"/>
      <c r="F941" s="1"/>
      <c r="G941" s="2"/>
      <c r="I941" s="2"/>
      <c r="P941" t="str">
        <f t="shared" si="99"/>
        <v/>
      </c>
      <c r="Q941" t="str">
        <f t="shared" si="96"/>
        <v/>
      </c>
      <c r="R941" t="str">
        <f t="shared" si="97"/>
        <v/>
      </c>
      <c r="T941">
        <f t="shared" si="98"/>
        <v>2985</v>
      </c>
    </row>
    <row r="942" spans="1:20" ht="14.1" customHeight="1" outlineLevel="3" x14ac:dyDescent="0.2">
      <c r="A942" t="str">
        <f t="shared" si="94"/>
        <v/>
      </c>
      <c r="E942" s="1"/>
      <c r="F942" s="1"/>
      <c r="G942" s="2"/>
      <c r="I942" s="2"/>
      <c r="P942" t="str">
        <f t="shared" si="99"/>
        <v/>
      </c>
      <c r="Q942" t="str">
        <f t="shared" si="96"/>
        <v/>
      </c>
      <c r="R942" t="str">
        <f t="shared" si="97"/>
        <v/>
      </c>
      <c r="T942">
        <f t="shared" si="98"/>
        <v>2985</v>
      </c>
    </row>
    <row r="943" spans="1:20" ht="14.1" customHeight="1" outlineLevel="3" x14ac:dyDescent="0.2">
      <c r="A943" t="str">
        <f t="shared" si="94"/>
        <v/>
      </c>
      <c r="E943" s="1"/>
      <c r="F943" s="1"/>
      <c r="G943" s="2"/>
      <c r="I943" s="2"/>
      <c r="P943" t="str">
        <f t="shared" si="99"/>
        <v/>
      </c>
      <c r="Q943" t="str">
        <f t="shared" si="96"/>
        <v/>
      </c>
      <c r="R943" t="str">
        <f t="shared" si="97"/>
        <v/>
      </c>
      <c r="T943">
        <f t="shared" si="98"/>
        <v>2985</v>
      </c>
    </row>
    <row r="944" spans="1:20" ht="14.1" customHeight="1" outlineLevel="3" x14ac:dyDescent="0.2">
      <c r="A944" t="str">
        <f t="shared" si="94"/>
        <v/>
      </c>
      <c r="E944" s="1"/>
      <c r="F944" s="1"/>
      <c r="G944" s="2"/>
      <c r="I944" s="2"/>
      <c r="P944" t="str">
        <f t="shared" si="99"/>
        <v/>
      </c>
      <c r="Q944" t="str">
        <f t="shared" si="96"/>
        <v/>
      </c>
      <c r="R944" t="str">
        <f t="shared" si="97"/>
        <v/>
      </c>
      <c r="T944">
        <f t="shared" si="98"/>
        <v>2985</v>
      </c>
    </row>
    <row r="945" spans="1:20" ht="14.1" customHeight="1" outlineLevel="3" x14ac:dyDescent="0.2">
      <c r="A945" t="str">
        <f t="shared" si="94"/>
        <v/>
      </c>
      <c r="E945" s="1"/>
      <c r="F945" s="1"/>
      <c r="G945" s="2"/>
      <c r="I945" s="2"/>
      <c r="P945" t="str">
        <f t="shared" si="99"/>
        <v/>
      </c>
      <c r="Q945" t="str">
        <f t="shared" si="96"/>
        <v/>
      </c>
      <c r="R945" t="str">
        <f t="shared" si="97"/>
        <v/>
      </c>
      <c r="T945">
        <f t="shared" si="98"/>
        <v>2985</v>
      </c>
    </row>
    <row r="946" spans="1:20" ht="14.1" customHeight="1" outlineLevel="3" x14ac:dyDescent="0.2">
      <c r="A946" t="str">
        <f t="shared" si="94"/>
        <v/>
      </c>
      <c r="E946" s="1"/>
      <c r="F946" s="1"/>
      <c r="G946" s="2"/>
      <c r="I946" s="2"/>
      <c r="P946" t="str">
        <f t="shared" si="99"/>
        <v/>
      </c>
      <c r="Q946" t="str">
        <f t="shared" si="96"/>
        <v/>
      </c>
      <c r="R946" t="str">
        <f t="shared" si="97"/>
        <v/>
      </c>
      <c r="T946">
        <f t="shared" si="98"/>
        <v>2985</v>
      </c>
    </row>
    <row r="947" spans="1:20" ht="14.1" customHeight="1" outlineLevel="3" x14ac:dyDescent="0.2">
      <c r="A947" t="str">
        <f t="shared" si="94"/>
        <v/>
      </c>
      <c r="E947" s="1"/>
      <c r="F947" s="1"/>
      <c r="G947" s="2"/>
      <c r="I947" s="2"/>
      <c r="P947" t="str">
        <f t="shared" si="99"/>
        <v/>
      </c>
      <c r="Q947" t="str">
        <f t="shared" si="96"/>
        <v/>
      </c>
      <c r="R947" t="str">
        <f t="shared" si="97"/>
        <v/>
      </c>
      <c r="T947">
        <f t="shared" si="98"/>
        <v>2985</v>
      </c>
    </row>
    <row r="948" spans="1:20" ht="14.1" customHeight="1" outlineLevel="3" x14ac:dyDescent="0.2">
      <c r="A948" t="str">
        <f t="shared" si="94"/>
        <v/>
      </c>
      <c r="E948" s="1"/>
      <c r="F948" s="1"/>
      <c r="G948" s="2"/>
      <c r="I948" s="2"/>
      <c r="P948" t="str">
        <f t="shared" si="99"/>
        <v/>
      </c>
      <c r="Q948" t="str">
        <f t="shared" si="96"/>
        <v/>
      </c>
      <c r="R948" t="str">
        <f t="shared" si="97"/>
        <v/>
      </c>
      <c r="T948">
        <f t="shared" si="98"/>
        <v>2985</v>
      </c>
    </row>
    <row r="949" spans="1:20" ht="14.1" customHeight="1" outlineLevel="3" x14ac:dyDescent="0.2">
      <c r="A949" t="str">
        <f t="shared" si="94"/>
        <v/>
      </c>
      <c r="E949" s="1"/>
      <c r="F949" s="1"/>
      <c r="G949" s="2"/>
      <c r="I949" s="2"/>
      <c r="P949" t="str">
        <f t="shared" si="99"/>
        <v/>
      </c>
      <c r="Q949" t="str">
        <f t="shared" si="96"/>
        <v/>
      </c>
      <c r="R949" t="str">
        <f t="shared" si="97"/>
        <v/>
      </c>
      <c r="T949">
        <f t="shared" si="98"/>
        <v>2985</v>
      </c>
    </row>
    <row r="950" spans="1:20" ht="14.1" customHeight="1" outlineLevel="3" x14ac:dyDescent="0.2">
      <c r="A950" t="str">
        <f t="shared" si="94"/>
        <v/>
      </c>
      <c r="E950" s="1"/>
      <c r="F950" s="1"/>
      <c r="G950" s="2"/>
      <c r="I950" s="2"/>
      <c r="P950" t="str">
        <f t="shared" si="99"/>
        <v/>
      </c>
      <c r="Q950" t="str">
        <f t="shared" si="96"/>
        <v/>
      </c>
      <c r="R950" t="str">
        <f t="shared" si="97"/>
        <v/>
      </c>
      <c r="T950">
        <f t="shared" si="98"/>
        <v>2985</v>
      </c>
    </row>
    <row r="951" spans="1:20" ht="14.1" customHeight="1" outlineLevel="3" x14ac:dyDescent="0.2">
      <c r="A951" t="str">
        <f t="shared" si="94"/>
        <v/>
      </c>
      <c r="E951" s="1"/>
      <c r="F951" s="1"/>
      <c r="G951" s="2"/>
      <c r="I951" s="2"/>
      <c r="P951" t="str">
        <f t="shared" si="99"/>
        <v/>
      </c>
      <c r="Q951" t="str">
        <f t="shared" si="96"/>
        <v/>
      </c>
      <c r="R951" t="str">
        <f t="shared" si="97"/>
        <v/>
      </c>
      <c r="T951">
        <f t="shared" si="98"/>
        <v>2985</v>
      </c>
    </row>
    <row r="952" spans="1:20" ht="14.1" customHeight="1" outlineLevel="3" x14ac:dyDescent="0.2">
      <c r="A952" t="str">
        <f t="shared" si="94"/>
        <v/>
      </c>
      <c r="E952" s="1"/>
      <c r="F952" s="1"/>
      <c r="G952" s="2"/>
      <c r="I952" s="2"/>
      <c r="P952" t="str">
        <f t="shared" si="99"/>
        <v/>
      </c>
      <c r="Q952" t="str">
        <f t="shared" si="96"/>
        <v/>
      </c>
      <c r="R952" t="str">
        <f t="shared" si="97"/>
        <v/>
      </c>
      <c r="T952">
        <f t="shared" si="98"/>
        <v>2985</v>
      </c>
    </row>
    <row r="953" spans="1:20" ht="14.1" customHeight="1" outlineLevel="3" x14ac:dyDescent="0.2">
      <c r="A953" t="str">
        <f t="shared" si="94"/>
        <v/>
      </c>
      <c r="E953" s="1"/>
      <c r="F953" s="1"/>
      <c r="G953" s="2"/>
      <c r="I953" s="2"/>
      <c r="P953" t="str">
        <f t="shared" si="99"/>
        <v/>
      </c>
      <c r="Q953" t="str">
        <f t="shared" si="96"/>
        <v/>
      </c>
      <c r="R953" t="str">
        <f t="shared" si="97"/>
        <v/>
      </c>
      <c r="T953">
        <f t="shared" si="98"/>
        <v>2985</v>
      </c>
    </row>
    <row r="954" spans="1:20" ht="14.1" customHeight="1" outlineLevel="3" x14ac:dyDescent="0.2">
      <c r="A954" t="str">
        <f t="shared" si="94"/>
        <v/>
      </c>
      <c r="E954" s="1"/>
      <c r="F954" s="1"/>
      <c r="G954" s="2"/>
      <c r="I954" s="2"/>
      <c r="P954" t="str">
        <f t="shared" si="99"/>
        <v/>
      </c>
      <c r="Q954" t="str">
        <f t="shared" si="96"/>
        <v/>
      </c>
      <c r="R954" t="str">
        <f t="shared" si="97"/>
        <v/>
      </c>
      <c r="T954">
        <f t="shared" si="98"/>
        <v>2985</v>
      </c>
    </row>
    <row r="955" spans="1:20" ht="14.1" customHeight="1" outlineLevel="3" x14ac:dyDescent="0.2">
      <c r="A955" t="str">
        <f t="shared" si="94"/>
        <v/>
      </c>
      <c r="E955" s="1"/>
      <c r="F955" s="1"/>
      <c r="G955" s="2"/>
      <c r="I955" s="2"/>
      <c r="P955" t="str">
        <f t="shared" si="99"/>
        <v/>
      </c>
      <c r="Q955" t="str">
        <f t="shared" si="96"/>
        <v/>
      </c>
      <c r="R955" t="str">
        <f t="shared" si="97"/>
        <v/>
      </c>
      <c r="T955">
        <f t="shared" si="98"/>
        <v>2985</v>
      </c>
    </row>
    <row r="956" spans="1:20" ht="14.1" customHeight="1" outlineLevel="3" x14ac:dyDescent="0.2">
      <c r="A956" t="str">
        <f t="shared" si="94"/>
        <v/>
      </c>
      <c r="E956" s="1"/>
      <c r="F956" s="1"/>
      <c r="G956" s="2"/>
      <c r="I956" s="2"/>
      <c r="P956" t="str">
        <f t="shared" si="99"/>
        <v/>
      </c>
      <c r="Q956" t="str">
        <f t="shared" si="96"/>
        <v/>
      </c>
      <c r="R956" t="str">
        <f t="shared" si="97"/>
        <v/>
      </c>
      <c r="T956">
        <f t="shared" si="98"/>
        <v>2985</v>
      </c>
    </row>
    <row r="957" spans="1:20" ht="14.1" customHeight="1" outlineLevel="3" x14ac:dyDescent="0.2">
      <c r="A957" t="str">
        <f t="shared" si="94"/>
        <v/>
      </c>
      <c r="E957" s="1"/>
      <c r="F957" s="1"/>
      <c r="G957" s="2"/>
      <c r="I957" s="2"/>
      <c r="P957" t="str">
        <f t="shared" si="99"/>
        <v/>
      </c>
      <c r="Q957" t="str">
        <f t="shared" si="96"/>
        <v/>
      </c>
      <c r="R957" t="str">
        <f t="shared" si="97"/>
        <v/>
      </c>
      <c r="T957">
        <f t="shared" si="98"/>
        <v>2985</v>
      </c>
    </row>
    <row r="958" spans="1:20" ht="14.1" customHeight="1" outlineLevel="3" x14ac:dyDescent="0.2">
      <c r="A958" t="str">
        <f t="shared" si="94"/>
        <v/>
      </c>
      <c r="E958" s="1"/>
      <c r="F958" s="1"/>
      <c r="G958" s="2"/>
      <c r="I958" s="2"/>
      <c r="P958" t="str">
        <f t="shared" si="99"/>
        <v/>
      </c>
      <c r="Q958" t="str">
        <f t="shared" si="96"/>
        <v/>
      </c>
      <c r="R958" t="str">
        <f t="shared" si="97"/>
        <v/>
      </c>
      <c r="T958">
        <f t="shared" si="98"/>
        <v>2985</v>
      </c>
    </row>
    <row r="959" spans="1:20" ht="14.1" customHeight="1" outlineLevel="3" x14ac:dyDescent="0.2">
      <c r="A959" t="str">
        <f t="shared" si="94"/>
        <v/>
      </c>
      <c r="E959" s="1"/>
      <c r="F959" s="1"/>
      <c r="G959" s="2"/>
      <c r="I959" s="2"/>
      <c r="P959" t="str">
        <f t="shared" si="99"/>
        <v/>
      </c>
      <c r="Q959" t="str">
        <f t="shared" si="96"/>
        <v/>
      </c>
      <c r="R959" t="str">
        <f t="shared" si="97"/>
        <v/>
      </c>
      <c r="T959">
        <f t="shared" si="98"/>
        <v>2985</v>
      </c>
    </row>
    <row r="960" spans="1:20" outlineLevel="2" x14ac:dyDescent="0.2">
      <c r="A960" t="str">
        <f t="shared" si="94"/>
        <v/>
      </c>
      <c r="E960" s="1"/>
      <c r="F960" s="1"/>
      <c r="G960" s="2"/>
      <c r="I960" s="2"/>
      <c r="P960" t="str">
        <f t="shared" si="99"/>
        <v/>
      </c>
      <c r="Q960" t="str">
        <f t="shared" si="96"/>
        <v/>
      </c>
      <c r="R960" t="str">
        <f t="shared" si="97"/>
        <v/>
      </c>
      <c r="T960">
        <f t="shared" si="98"/>
        <v>2985</v>
      </c>
    </row>
    <row r="961" spans="1:20" ht="14.1" customHeight="1" outlineLevel="3" x14ac:dyDescent="0.2">
      <c r="A961" t="str">
        <f t="shared" si="94"/>
        <v/>
      </c>
      <c r="E961" s="1"/>
      <c r="F961" s="1"/>
      <c r="G961" s="2"/>
      <c r="I961" s="2"/>
      <c r="P961" t="str">
        <f t="shared" si="99"/>
        <v/>
      </c>
      <c r="Q961" t="str">
        <f t="shared" si="96"/>
        <v/>
      </c>
      <c r="R961" t="str">
        <f t="shared" si="97"/>
        <v/>
      </c>
      <c r="T961">
        <f t="shared" si="98"/>
        <v>2985</v>
      </c>
    </row>
    <row r="962" spans="1:20" outlineLevel="2" x14ac:dyDescent="0.2">
      <c r="A962" t="str">
        <f t="shared" si="94"/>
        <v/>
      </c>
      <c r="E962" s="1"/>
      <c r="F962" s="1"/>
      <c r="G962" s="2"/>
      <c r="I962" s="2"/>
      <c r="P962" t="str">
        <f t="shared" si="99"/>
        <v/>
      </c>
      <c r="Q962" t="str">
        <f t="shared" si="96"/>
        <v/>
      </c>
      <c r="R962" t="str">
        <f t="shared" si="97"/>
        <v/>
      </c>
      <c r="T962">
        <f t="shared" si="98"/>
        <v>2985</v>
      </c>
    </row>
    <row r="963" spans="1:20" ht="14.1" customHeight="1" outlineLevel="3" x14ac:dyDescent="0.2">
      <c r="A963" t="str">
        <f t="shared" ref="A963:A1026" si="101">IFERROR(IF(OR(K963="",I963=0),"",D963&amp;K963&amp;I963),"")</f>
        <v/>
      </c>
      <c r="E963" s="1"/>
      <c r="F963" s="1"/>
      <c r="G963" s="2"/>
      <c r="I963" s="2"/>
      <c r="P963" t="str">
        <f t="shared" ref="P963:P1026" si="102">IF(OR(K963="",K963=0),"",D963&amp;N963&amp;K963&amp;M963&amp;F963)</f>
        <v/>
      </c>
      <c r="Q963" t="str">
        <f t="shared" ref="Q963:Q1026" si="103">IF(P963="","",COUNTIF($P$2:$P$1448,$P963))</f>
        <v/>
      </c>
      <c r="R963" t="str">
        <f t="shared" ref="R963:R1026" si="104">G963&amp;K963&amp;N963</f>
        <v/>
      </c>
      <c r="T963">
        <f t="shared" ref="T963:T1026" si="105">COUNTIF($R$2:$R$2986,$R963)</f>
        <v>2985</v>
      </c>
    </row>
    <row r="964" spans="1:20" outlineLevel="2" x14ac:dyDescent="0.2">
      <c r="A964" t="str">
        <f t="shared" si="101"/>
        <v/>
      </c>
      <c r="E964" s="1"/>
      <c r="F964" s="1"/>
      <c r="G964" s="2"/>
      <c r="I964" s="2"/>
      <c r="P964" t="str">
        <f t="shared" si="102"/>
        <v/>
      </c>
      <c r="Q964" t="str">
        <f t="shared" si="103"/>
        <v/>
      </c>
      <c r="R964" t="str">
        <f t="shared" si="104"/>
        <v/>
      </c>
      <c r="T964">
        <f t="shared" si="105"/>
        <v>2985</v>
      </c>
    </row>
    <row r="965" spans="1:20" ht="14.1" customHeight="1" outlineLevel="3" x14ac:dyDescent="0.2">
      <c r="A965" t="str">
        <f t="shared" si="101"/>
        <v/>
      </c>
      <c r="E965" s="1"/>
      <c r="F965" s="1"/>
      <c r="G965" s="2"/>
      <c r="I965" s="2"/>
      <c r="P965" t="str">
        <f t="shared" si="102"/>
        <v/>
      </c>
      <c r="Q965" t="str">
        <f t="shared" si="103"/>
        <v/>
      </c>
      <c r="R965" t="str">
        <f t="shared" si="104"/>
        <v/>
      </c>
      <c r="T965">
        <f t="shared" si="105"/>
        <v>2985</v>
      </c>
    </row>
    <row r="966" spans="1:20" ht="14.1" customHeight="1" outlineLevel="3" x14ac:dyDescent="0.2">
      <c r="A966" t="str">
        <f t="shared" si="101"/>
        <v/>
      </c>
      <c r="E966" s="1"/>
      <c r="F966" s="1"/>
      <c r="G966" s="2"/>
      <c r="I966" s="2"/>
      <c r="P966" t="str">
        <f t="shared" si="102"/>
        <v/>
      </c>
      <c r="Q966" t="str">
        <f t="shared" si="103"/>
        <v/>
      </c>
      <c r="R966" t="str">
        <f t="shared" si="104"/>
        <v/>
      </c>
      <c r="T966">
        <f t="shared" si="105"/>
        <v>2985</v>
      </c>
    </row>
    <row r="967" spans="1:20" ht="14.1" customHeight="1" outlineLevel="3" x14ac:dyDescent="0.2">
      <c r="A967" t="str">
        <f t="shared" si="101"/>
        <v/>
      </c>
      <c r="E967" s="1"/>
      <c r="F967" s="1"/>
      <c r="G967" s="2"/>
      <c r="I967" s="2"/>
      <c r="P967" t="str">
        <f t="shared" si="102"/>
        <v/>
      </c>
      <c r="Q967" t="str">
        <f t="shared" si="103"/>
        <v/>
      </c>
      <c r="R967" t="str">
        <f t="shared" si="104"/>
        <v/>
      </c>
      <c r="T967">
        <f t="shared" si="105"/>
        <v>2985</v>
      </c>
    </row>
    <row r="968" spans="1:20" ht="14.1" customHeight="1" outlineLevel="3" x14ac:dyDescent="0.2">
      <c r="A968" t="str">
        <f t="shared" si="101"/>
        <v/>
      </c>
      <c r="E968" s="1"/>
      <c r="F968" s="1"/>
      <c r="G968" s="2"/>
      <c r="I968" s="2"/>
      <c r="P968" t="str">
        <f t="shared" si="102"/>
        <v/>
      </c>
      <c r="Q968" t="str">
        <f t="shared" si="103"/>
        <v/>
      </c>
      <c r="R968" t="str">
        <f t="shared" si="104"/>
        <v/>
      </c>
      <c r="T968">
        <f t="shared" si="105"/>
        <v>2985</v>
      </c>
    </row>
    <row r="969" spans="1:20" ht="14.1" customHeight="1" outlineLevel="3" x14ac:dyDescent="0.2">
      <c r="A969" t="str">
        <f t="shared" si="101"/>
        <v/>
      </c>
      <c r="E969" s="1"/>
      <c r="F969" s="1"/>
      <c r="G969" s="2"/>
      <c r="I969" s="2"/>
      <c r="P969" t="str">
        <f t="shared" si="102"/>
        <v/>
      </c>
      <c r="Q969" t="str">
        <f t="shared" si="103"/>
        <v/>
      </c>
      <c r="R969" t="str">
        <f t="shared" si="104"/>
        <v/>
      </c>
      <c r="T969">
        <f t="shared" si="105"/>
        <v>2985</v>
      </c>
    </row>
    <row r="970" spans="1:20" outlineLevel="2" x14ac:dyDescent="0.2">
      <c r="A970" t="str">
        <f t="shared" si="101"/>
        <v/>
      </c>
      <c r="E970" s="1"/>
      <c r="F970" s="1"/>
      <c r="G970" s="2"/>
      <c r="I970" s="2"/>
      <c r="P970" t="str">
        <f t="shared" si="102"/>
        <v/>
      </c>
      <c r="Q970" t="str">
        <f t="shared" si="103"/>
        <v/>
      </c>
      <c r="R970" t="str">
        <f t="shared" si="104"/>
        <v/>
      </c>
      <c r="T970">
        <f t="shared" si="105"/>
        <v>2985</v>
      </c>
    </row>
    <row r="971" spans="1:20" ht="14.1" customHeight="1" outlineLevel="3" x14ac:dyDescent="0.2">
      <c r="A971" t="str">
        <f t="shared" si="101"/>
        <v/>
      </c>
      <c r="E971" s="1"/>
      <c r="F971" s="1"/>
      <c r="G971" s="2"/>
      <c r="I971" s="2"/>
      <c r="P971" t="str">
        <f t="shared" si="102"/>
        <v/>
      </c>
      <c r="Q971" t="str">
        <f t="shared" si="103"/>
        <v/>
      </c>
      <c r="R971" t="str">
        <f t="shared" si="104"/>
        <v/>
      </c>
      <c r="T971">
        <f t="shared" si="105"/>
        <v>2985</v>
      </c>
    </row>
    <row r="972" spans="1:20" ht="14.1" customHeight="1" outlineLevel="3" x14ac:dyDescent="0.2">
      <c r="A972" t="str">
        <f t="shared" si="101"/>
        <v/>
      </c>
      <c r="E972" s="1"/>
      <c r="F972" s="1"/>
      <c r="G972" s="2"/>
      <c r="I972" s="2"/>
      <c r="P972" t="str">
        <f t="shared" si="102"/>
        <v/>
      </c>
      <c r="Q972" t="str">
        <f t="shared" si="103"/>
        <v/>
      </c>
      <c r="R972" t="str">
        <f t="shared" si="104"/>
        <v/>
      </c>
      <c r="T972">
        <f t="shared" si="105"/>
        <v>2985</v>
      </c>
    </row>
    <row r="973" spans="1:20" ht="14.1" customHeight="1" outlineLevel="3" x14ac:dyDescent="0.2">
      <c r="A973" t="str">
        <f t="shared" si="101"/>
        <v/>
      </c>
      <c r="E973" s="1"/>
      <c r="F973" s="1"/>
      <c r="G973" s="2"/>
      <c r="I973" s="2"/>
      <c r="P973" t="str">
        <f t="shared" si="102"/>
        <v/>
      </c>
      <c r="Q973" t="str">
        <f t="shared" si="103"/>
        <v/>
      </c>
      <c r="R973" t="str">
        <f t="shared" si="104"/>
        <v/>
      </c>
      <c r="T973">
        <f t="shared" si="105"/>
        <v>2985</v>
      </c>
    </row>
    <row r="974" spans="1:20" ht="14.1" customHeight="1" outlineLevel="3" x14ac:dyDescent="0.2">
      <c r="A974" t="str">
        <f t="shared" si="101"/>
        <v/>
      </c>
      <c r="E974" s="1"/>
      <c r="F974" s="1"/>
      <c r="G974" s="2"/>
      <c r="I974" s="2"/>
      <c r="P974" t="str">
        <f t="shared" si="102"/>
        <v/>
      </c>
      <c r="Q974" t="str">
        <f t="shared" si="103"/>
        <v/>
      </c>
      <c r="R974" t="str">
        <f t="shared" si="104"/>
        <v/>
      </c>
      <c r="T974">
        <f t="shared" si="105"/>
        <v>2985</v>
      </c>
    </row>
    <row r="975" spans="1:20" ht="14.1" customHeight="1" outlineLevel="3" x14ac:dyDescent="0.2">
      <c r="A975" t="str">
        <f t="shared" si="101"/>
        <v/>
      </c>
      <c r="E975" s="1"/>
      <c r="F975" s="1"/>
      <c r="G975" s="2"/>
      <c r="I975" s="2"/>
      <c r="P975" t="str">
        <f t="shared" si="102"/>
        <v/>
      </c>
      <c r="Q975" t="str">
        <f t="shared" si="103"/>
        <v/>
      </c>
      <c r="R975" t="str">
        <f t="shared" si="104"/>
        <v/>
      </c>
      <c r="T975">
        <f t="shared" si="105"/>
        <v>2985</v>
      </c>
    </row>
    <row r="976" spans="1:20" ht="14.1" customHeight="1" outlineLevel="3" x14ac:dyDescent="0.2">
      <c r="A976" t="str">
        <f t="shared" si="101"/>
        <v/>
      </c>
      <c r="E976" s="1"/>
      <c r="F976" s="1"/>
      <c r="G976" s="2"/>
      <c r="I976" s="2"/>
      <c r="P976" t="str">
        <f t="shared" si="102"/>
        <v/>
      </c>
      <c r="Q976" t="str">
        <f t="shared" si="103"/>
        <v/>
      </c>
      <c r="R976" t="str">
        <f t="shared" si="104"/>
        <v/>
      </c>
      <c r="T976">
        <f t="shared" si="105"/>
        <v>2985</v>
      </c>
    </row>
    <row r="977" spans="1:20" ht="14.1" customHeight="1" outlineLevel="3" x14ac:dyDescent="0.2">
      <c r="A977" t="str">
        <f t="shared" si="101"/>
        <v/>
      </c>
      <c r="E977" s="1"/>
      <c r="F977" s="1"/>
      <c r="G977" s="2"/>
      <c r="I977" s="2"/>
      <c r="P977" t="str">
        <f t="shared" si="102"/>
        <v/>
      </c>
      <c r="Q977" t="str">
        <f t="shared" si="103"/>
        <v/>
      </c>
      <c r="R977" t="str">
        <f t="shared" si="104"/>
        <v/>
      </c>
      <c r="T977">
        <f t="shared" si="105"/>
        <v>2985</v>
      </c>
    </row>
    <row r="978" spans="1:20" ht="14.1" customHeight="1" outlineLevel="3" x14ac:dyDescent="0.2">
      <c r="A978" t="str">
        <f t="shared" si="101"/>
        <v/>
      </c>
      <c r="E978" s="1"/>
      <c r="F978" s="1"/>
      <c r="G978" s="2"/>
      <c r="I978" s="2"/>
      <c r="P978" t="str">
        <f t="shared" si="102"/>
        <v/>
      </c>
      <c r="Q978" t="str">
        <f t="shared" si="103"/>
        <v/>
      </c>
      <c r="R978" t="str">
        <f t="shared" si="104"/>
        <v/>
      </c>
      <c r="T978">
        <f t="shared" si="105"/>
        <v>2985</v>
      </c>
    </row>
    <row r="979" spans="1:20" ht="14.1" customHeight="1" outlineLevel="3" x14ac:dyDescent="0.2">
      <c r="A979" t="str">
        <f t="shared" si="101"/>
        <v/>
      </c>
      <c r="E979" s="1"/>
      <c r="F979" s="1"/>
      <c r="G979" s="2"/>
      <c r="I979" s="2"/>
      <c r="P979" t="str">
        <f t="shared" si="102"/>
        <v/>
      </c>
      <c r="Q979" t="str">
        <f t="shared" si="103"/>
        <v/>
      </c>
      <c r="R979" t="str">
        <f t="shared" si="104"/>
        <v/>
      </c>
      <c r="T979">
        <f t="shared" si="105"/>
        <v>2985</v>
      </c>
    </row>
    <row r="980" spans="1:20" ht="14.1" customHeight="1" outlineLevel="3" x14ac:dyDescent="0.2">
      <c r="A980" t="str">
        <f t="shared" si="101"/>
        <v/>
      </c>
      <c r="E980" s="1"/>
      <c r="F980" s="1"/>
      <c r="G980" s="2"/>
      <c r="I980" s="2"/>
      <c r="P980" t="str">
        <f t="shared" si="102"/>
        <v/>
      </c>
      <c r="Q980" t="str">
        <f t="shared" si="103"/>
        <v/>
      </c>
      <c r="R980" t="str">
        <f t="shared" si="104"/>
        <v/>
      </c>
      <c r="T980">
        <f t="shared" si="105"/>
        <v>2985</v>
      </c>
    </row>
    <row r="981" spans="1:20" ht="14.1" customHeight="1" outlineLevel="3" x14ac:dyDescent="0.2">
      <c r="A981" t="str">
        <f t="shared" si="101"/>
        <v/>
      </c>
      <c r="E981" s="1"/>
      <c r="F981" s="1"/>
      <c r="G981" s="2"/>
      <c r="I981" s="2"/>
      <c r="P981" t="str">
        <f t="shared" si="102"/>
        <v/>
      </c>
      <c r="Q981" t="str">
        <f t="shared" si="103"/>
        <v/>
      </c>
      <c r="R981" t="str">
        <f t="shared" si="104"/>
        <v/>
      </c>
      <c r="T981">
        <f t="shared" si="105"/>
        <v>2985</v>
      </c>
    </row>
    <row r="982" spans="1:20" ht="14.1" customHeight="1" outlineLevel="3" x14ac:dyDescent="0.2">
      <c r="A982" t="str">
        <f t="shared" si="101"/>
        <v/>
      </c>
      <c r="E982" s="1"/>
      <c r="F982" s="1"/>
      <c r="G982" s="2"/>
      <c r="I982" s="2"/>
      <c r="P982" t="str">
        <f t="shared" si="102"/>
        <v/>
      </c>
      <c r="Q982" t="str">
        <f t="shared" si="103"/>
        <v/>
      </c>
      <c r="R982" t="str">
        <f t="shared" si="104"/>
        <v/>
      </c>
      <c r="T982">
        <f t="shared" si="105"/>
        <v>2985</v>
      </c>
    </row>
    <row r="983" spans="1:20" ht="14.1" customHeight="1" outlineLevel="3" x14ac:dyDescent="0.2">
      <c r="A983" t="str">
        <f t="shared" si="101"/>
        <v/>
      </c>
      <c r="E983" s="1"/>
      <c r="F983" s="1"/>
      <c r="G983" s="2"/>
      <c r="I983" s="2"/>
      <c r="P983" t="str">
        <f t="shared" si="102"/>
        <v/>
      </c>
      <c r="Q983" t="str">
        <f t="shared" si="103"/>
        <v/>
      </c>
      <c r="R983" t="str">
        <f t="shared" si="104"/>
        <v/>
      </c>
      <c r="T983">
        <f t="shared" si="105"/>
        <v>2985</v>
      </c>
    </row>
    <row r="984" spans="1:20" ht="14.1" customHeight="1" outlineLevel="3" x14ac:dyDescent="0.2">
      <c r="A984" t="str">
        <f t="shared" si="101"/>
        <v/>
      </c>
      <c r="E984" s="1"/>
      <c r="F984" s="1"/>
      <c r="G984" s="2"/>
      <c r="I984" s="2"/>
      <c r="P984" t="str">
        <f t="shared" si="102"/>
        <v/>
      </c>
      <c r="Q984" t="str">
        <f t="shared" si="103"/>
        <v/>
      </c>
      <c r="R984" t="str">
        <f t="shared" si="104"/>
        <v/>
      </c>
      <c r="T984">
        <f t="shared" si="105"/>
        <v>2985</v>
      </c>
    </row>
    <row r="985" spans="1:20" ht="14.1" customHeight="1" outlineLevel="3" x14ac:dyDescent="0.2">
      <c r="A985" t="str">
        <f t="shared" si="101"/>
        <v/>
      </c>
      <c r="E985" s="1"/>
      <c r="F985" s="1"/>
      <c r="G985" s="2"/>
      <c r="I985" s="2"/>
      <c r="P985" t="str">
        <f t="shared" si="102"/>
        <v/>
      </c>
      <c r="Q985" t="str">
        <f t="shared" si="103"/>
        <v/>
      </c>
      <c r="R985" t="str">
        <f t="shared" si="104"/>
        <v/>
      </c>
      <c r="T985">
        <f t="shared" si="105"/>
        <v>2985</v>
      </c>
    </row>
    <row r="986" spans="1:20" ht="14.1" customHeight="1" outlineLevel="3" x14ac:dyDescent="0.2">
      <c r="A986" t="str">
        <f t="shared" si="101"/>
        <v/>
      </c>
      <c r="E986" s="1"/>
      <c r="F986" s="1"/>
      <c r="G986" s="2"/>
      <c r="I986" s="2"/>
      <c r="P986" t="str">
        <f t="shared" si="102"/>
        <v/>
      </c>
      <c r="Q986" t="str">
        <f t="shared" si="103"/>
        <v/>
      </c>
      <c r="R986" t="str">
        <f t="shared" si="104"/>
        <v/>
      </c>
      <c r="T986">
        <f t="shared" si="105"/>
        <v>2985</v>
      </c>
    </row>
    <row r="987" spans="1:20" ht="14.1" customHeight="1" outlineLevel="3" x14ac:dyDescent="0.2">
      <c r="A987" t="str">
        <f t="shared" si="101"/>
        <v/>
      </c>
      <c r="E987" s="1"/>
      <c r="F987" s="1"/>
      <c r="G987" s="2"/>
      <c r="I987" s="2"/>
      <c r="P987" t="str">
        <f t="shared" si="102"/>
        <v/>
      </c>
      <c r="Q987" t="str">
        <f t="shared" si="103"/>
        <v/>
      </c>
      <c r="R987" t="str">
        <f t="shared" si="104"/>
        <v/>
      </c>
      <c r="T987">
        <f t="shared" si="105"/>
        <v>2985</v>
      </c>
    </row>
    <row r="988" spans="1:20" ht="14.1" customHeight="1" outlineLevel="3" x14ac:dyDescent="0.2">
      <c r="A988" t="str">
        <f t="shared" si="101"/>
        <v/>
      </c>
      <c r="E988" s="1"/>
      <c r="F988" s="1"/>
      <c r="G988" s="2"/>
      <c r="I988" s="2"/>
      <c r="P988" t="str">
        <f t="shared" si="102"/>
        <v/>
      </c>
      <c r="Q988" t="str">
        <f t="shared" si="103"/>
        <v/>
      </c>
      <c r="R988" t="str">
        <f t="shared" si="104"/>
        <v/>
      </c>
      <c r="T988">
        <f t="shared" si="105"/>
        <v>2985</v>
      </c>
    </row>
    <row r="989" spans="1:20" ht="14.1" customHeight="1" outlineLevel="3" x14ac:dyDescent="0.2">
      <c r="A989" t="str">
        <f t="shared" si="101"/>
        <v/>
      </c>
      <c r="E989" s="1"/>
      <c r="F989" s="1"/>
      <c r="G989" s="2"/>
      <c r="I989" s="2"/>
      <c r="P989" t="str">
        <f t="shared" si="102"/>
        <v/>
      </c>
      <c r="Q989" t="str">
        <f t="shared" si="103"/>
        <v/>
      </c>
      <c r="R989" t="str">
        <f t="shared" si="104"/>
        <v/>
      </c>
      <c r="T989">
        <f t="shared" si="105"/>
        <v>2985</v>
      </c>
    </row>
    <row r="990" spans="1:20" ht="14.1" customHeight="1" outlineLevel="3" x14ac:dyDescent="0.2">
      <c r="A990" t="str">
        <f t="shared" si="101"/>
        <v/>
      </c>
      <c r="E990" s="1"/>
      <c r="F990" s="1"/>
      <c r="G990" s="2"/>
      <c r="I990" s="2"/>
      <c r="P990" t="str">
        <f t="shared" si="102"/>
        <v/>
      </c>
      <c r="Q990" t="str">
        <f t="shared" si="103"/>
        <v/>
      </c>
      <c r="R990" t="str">
        <f t="shared" si="104"/>
        <v/>
      </c>
      <c r="T990">
        <f t="shared" si="105"/>
        <v>2985</v>
      </c>
    </row>
    <row r="991" spans="1:20" ht="14.1" customHeight="1" outlineLevel="3" x14ac:dyDescent="0.2">
      <c r="A991" t="str">
        <f t="shared" si="101"/>
        <v/>
      </c>
      <c r="E991" s="1"/>
      <c r="F991" s="1"/>
      <c r="G991" s="2"/>
      <c r="I991" s="2"/>
      <c r="P991" t="str">
        <f t="shared" si="102"/>
        <v/>
      </c>
      <c r="Q991" t="str">
        <f t="shared" si="103"/>
        <v/>
      </c>
      <c r="R991" t="str">
        <f t="shared" si="104"/>
        <v/>
      </c>
      <c r="T991">
        <f t="shared" si="105"/>
        <v>2985</v>
      </c>
    </row>
    <row r="992" spans="1:20" ht="14.1" customHeight="1" outlineLevel="3" x14ac:dyDescent="0.2">
      <c r="A992" t="str">
        <f t="shared" si="101"/>
        <v/>
      </c>
      <c r="E992" s="1"/>
      <c r="F992" s="1"/>
      <c r="G992" s="2"/>
      <c r="I992" s="2"/>
      <c r="P992" t="str">
        <f t="shared" si="102"/>
        <v/>
      </c>
      <c r="Q992" t="str">
        <f t="shared" si="103"/>
        <v/>
      </c>
      <c r="R992" t="str">
        <f t="shared" si="104"/>
        <v/>
      </c>
      <c r="T992">
        <f t="shared" si="105"/>
        <v>2985</v>
      </c>
    </row>
    <row r="993" spans="1:20" ht="14.1" customHeight="1" outlineLevel="3" x14ac:dyDescent="0.2">
      <c r="A993" t="str">
        <f t="shared" si="101"/>
        <v/>
      </c>
      <c r="E993" s="1"/>
      <c r="F993" s="1"/>
      <c r="G993" s="2"/>
      <c r="I993" s="2"/>
      <c r="P993" t="str">
        <f t="shared" si="102"/>
        <v/>
      </c>
      <c r="Q993" t="str">
        <f t="shared" si="103"/>
        <v/>
      </c>
      <c r="R993" t="str">
        <f t="shared" si="104"/>
        <v/>
      </c>
      <c r="T993">
        <f t="shared" si="105"/>
        <v>2985</v>
      </c>
    </row>
    <row r="994" spans="1:20" ht="14.1" customHeight="1" outlineLevel="3" x14ac:dyDescent="0.2">
      <c r="A994" t="str">
        <f t="shared" si="101"/>
        <v/>
      </c>
      <c r="E994" s="1"/>
      <c r="F994" s="1"/>
      <c r="G994" s="2"/>
      <c r="I994" s="2"/>
      <c r="P994" t="str">
        <f t="shared" si="102"/>
        <v/>
      </c>
      <c r="Q994" t="str">
        <f t="shared" si="103"/>
        <v/>
      </c>
      <c r="R994" t="str">
        <f t="shared" si="104"/>
        <v/>
      </c>
      <c r="T994">
        <f t="shared" si="105"/>
        <v>2985</v>
      </c>
    </row>
    <row r="995" spans="1:20" ht="14.1" customHeight="1" outlineLevel="3" x14ac:dyDescent="0.2">
      <c r="A995" t="str">
        <f t="shared" si="101"/>
        <v/>
      </c>
      <c r="E995" s="1"/>
      <c r="F995" s="1"/>
      <c r="G995" s="2"/>
      <c r="I995" s="2"/>
      <c r="P995" t="str">
        <f t="shared" si="102"/>
        <v/>
      </c>
      <c r="Q995" t="str">
        <f t="shared" si="103"/>
        <v/>
      </c>
      <c r="R995" t="str">
        <f t="shared" si="104"/>
        <v/>
      </c>
      <c r="T995">
        <f t="shared" si="105"/>
        <v>2985</v>
      </c>
    </row>
    <row r="996" spans="1:20" ht="14.1" customHeight="1" outlineLevel="3" x14ac:dyDescent="0.2">
      <c r="A996" t="str">
        <f t="shared" si="101"/>
        <v/>
      </c>
      <c r="E996" s="1"/>
      <c r="F996" s="1"/>
      <c r="G996" s="2"/>
      <c r="I996" s="2"/>
      <c r="P996" t="str">
        <f t="shared" si="102"/>
        <v/>
      </c>
      <c r="Q996" t="str">
        <f t="shared" si="103"/>
        <v/>
      </c>
      <c r="R996" t="str">
        <f t="shared" si="104"/>
        <v/>
      </c>
      <c r="T996">
        <f t="shared" si="105"/>
        <v>2985</v>
      </c>
    </row>
    <row r="997" spans="1:20" ht="14.1" customHeight="1" outlineLevel="3" x14ac:dyDescent="0.2">
      <c r="A997" t="str">
        <f t="shared" si="101"/>
        <v/>
      </c>
      <c r="E997" s="1"/>
      <c r="F997" s="1"/>
      <c r="G997" s="2"/>
      <c r="I997" s="2"/>
      <c r="P997" t="str">
        <f t="shared" si="102"/>
        <v/>
      </c>
      <c r="Q997" t="str">
        <f t="shared" si="103"/>
        <v/>
      </c>
      <c r="R997" t="str">
        <f t="shared" si="104"/>
        <v/>
      </c>
      <c r="T997">
        <f t="shared" si="105"/>
        <v>2985</v>
      </c>
    </row>
    <row r="998" spans="1:20" ht="14.1" customHeight="1" outlineLevel="3" x14ac:dyDescent="0.2">
      <c r="A998" t="str">
        <f t="shared" si="101"/>
        <v/>
      </c>
      <c r="E998" s="1"/>
      <c r="F998" s="1"/>
      <c r="G998" s="2"/>
      <c r="I998" s="2"/>
      <c r="P998" t="str">
        <f t="shared" si="102"/>
        <v/>
      </c>
      <c r="Q998" t="str">
        <f t="shared" si="103"/>
        <v/>
      </c>
      <c r="R998" t="str">
        <f t="shared" si="104"/>
        <v/>
      </c>
      <c r="T998">
        <f t="shared" si="105"/>
        <v>2985</v>
      </c>
    </row>
    <row r="999" spans="1:20" ht="14.1" customHeight="1" outlineLevel="3" x14ac:dyDescent="0.2">
      <c r="A999" t="str">
        <f t="shared" si="101"/>
        <v/>
      </c>
      <c r="E999" s="1"/>
      <c r="F999" s="1"/>
      <c r="G999" s="2"/>
      <c r="I999" s="2"/>
      <c r="P999" t="str">
        <f t="shared" si="102"/>
        <v/>
      </c>
      <c r="Q999" t="str">
        <f t="shared" si="103"/>
        <v/>
      </c>
      <c r="R999" t="str">
        <f t="shared" si="104"/>
        <v/>
      </c>
      <c r="T999">
        <f t="shared" si="105"/>
        <v>2985</v>
      </c>
    </row>
    <row r="1000" spans="1:20" ht="14.1" customHeight="1" outlineLevel="3" x14ac:dyDescent="0.2">
      <c r="A1000" t="str">
        <f t="shared" si="101"/>
        <v/>
      </c>
      <c r="E1000" s="1"/>
      <c r="F1000" s="1"/>
      <c r="G1000" s="2"/>
      <c r="I1000" s="2"/>
      <c r="P1000" t="str">
        <f t="shared" si="102"/>
        <v/>
      </c>
      <c r="Q1000" t="str">
        <f t="shared" si="103"/>
        <v/>
      </c>
      <c r="R1000" t="str">
        <f t="shared" si="104"/>
        <v/>
      </c>
      <c r="T1000">
        <f t="shared" si="105"/>
        <v>2985</v>
      </c>
    </row>
    <row r="1001" spans="1:20" ht="14.1" customHeight="1" outlineLevel="3" x14ac:dyDescent="0.2">
      <c r="A1001" t="str">
        <f t="shared" si="101"/>
        <v/>
      </c>
      <c r="E1001" s="1"/>
      <c r="F1001" s="1"/>
      <c r="G1001" s="2"/>
      <c r="I1001" s="2"/>
      <c r="P1001" t="str">
        <f t="shared" si="102"/>
        <v/>
      </c>
      <c r="Q1001" t="str">
        <f t="shared" si="103"/>
        <v/>
      </c>
      <c r="R1001" t="str">
        <f t="shared" si="104"/>
        <v/>
      </c>
      <c r="T1001">
        <f t="shared" si="105"/>
        <v>2985</v>
      </c>
    </row>
    <row r="1002" spans="1:20" ht="14.1" customHeight="1" outlineLevel="3" x14ac:dyDescent="0.2">
      <c r="A1002" t="str">
        <f t="shared" si="101"/>
        <v/>
      </c>
      <c r="E1002" s="1"/>
      <c r="F1002" s="1"/>
      <c r="G1002" s="2"/>
      <c r="I1002" s="2"/>
      <c r="P1002" t="str">
        <f t="shared" si="102"/>
        <v/>
      </c>
      <c r="Q1002" t="str">
        <f t="shared" si="103"/>
        <v/>
      </c>
      <c r="R1002" t="str">
        <f t="shared" si="104"/>
        <v/>
      </c>
      <c r="T1002">
        <f t="shared" si="105"/>
        <v>2985</v>
      </c>
    </row>
    <row r="1003" spans="1:20" ht="14.1" customHeight="1" outlineLevel="3" x14ac:dyDescent="0.2">
      <c r="A1003" t="str">
        <f t="shared" si="101"/>
        <v/>
      </c>
      <c r="E1003" s="1"/>
      <c r="F1003" s="1"/>
      <c r="G1003" s="2"/>
      <c r="I1003" s="2"/>
      <c r="P1003" t="str">
        <f t="shared" si="102"/>
        <v/>
      </c>
      <c r="Q1003" t="str">
        <f t="shared" si="103"/>
        <v/>
      </c>
      <c r="R1003" t="str">
        <f t="shared" si="104"/>
        <v/>
      </c>
      <c r="T1003">
        <f t="shared" si="105"/>
        <v>2985</v>
      </c>
    </row>
    <row r="1004" spans="1:20" ht="14.1" customHeight="1" outlineLevel="3" x14ac:dyDescent="0.2">
      <c r="A1004" t="str">
        <f t="shared" si="101"/>
        <v/>
      </c>
      <c r="E1004" s="1"/>
      <c r="F1004" s="1"/>
      <c r="G1004" s="2"/>
      <c r="I1004" s="2"/>
      <c r="P1004" t="str">
        <f t="shared" si="102"/>
        <v/>
      </c>
      <c r="Q1004" t="str">
        <f t="shared" si="103"/>
        <v/>
      </c>
      <c r="R1004" t="str">
        <f t="shared" si="104"/>
        <v/>
      </c>
      <c r="T1004">
        <f t="shared" si="105"/>
        <v>2985</v>
      </c>
    </row>
    <row r="1005" spans="1:20" ht="14.1" customHeight="1" outlineLevel="3" x14ac:dyDescent="0.2">
      <c r="A1005" t="str">
        <f t="shared" si="101"/>
        <v/>
      </c>
      <c r="E1005" s="1"/>
      <c r="F1005" s="1"/>
      <c r="G1005" s="2"/>
      <c r="I1005" s="2"/>
      <c r="P1005" t="str">
        <f t="shared" si="102"/>
        <v/>
      </c>
      <c r="Q1005" t="str">
        <f t="shared" si="103"/>
        <v/>
      </c>
      <c r="R1005" t="str">
        <f t="shared" si="104"/>
        <v/>
      </c>
      <c r="T1005">
        <f t="shared" si="105"/>
        <v>2985</v>
      </c>
    </row>
    <row r="1006" spans="1:20" ht="14.1" customHeight="1" outlineLevel="3" x14ac:dyDescent="0.2">
      <c r="A1006" t="str">
        <f t="shared" si="101"/>
        <v/>
      </c>
      <c r="E1006" s="1"/>
      <c r="F1006" s="1"/>
      <c r="G1006" s="2"/>
      <c r="I1006" s="2"/>
      <c r="P1006" t="str">
        <f t="shared" si="102"/>
        <v/>
      </c>
      <c r="Q1006" t="str">
        <f t="shared" si="103"/>
        <v/>
      </c>
      <c r="R1006" t="str">
        <f t="shared" si="104"/>
        <v/>
      </c>
      <c r="T1006">
        <f t="shared" si="105"/>
        <v>2985</v>
      </c>
    </row>
    <row r="1007" spans="1:20" ht="14.1" customHeight="1" outlineLevel="3" x14ac:dyDescent="0.2">
      <c r="A1007" t="str">
        <f t="shared" si="101"/>
        <v/>
      </c>
      <c r="E1007" s="1"/>
      <c r="F1007" s="1"/>
      <c r="G1007" s="2"/>
      <c r="I1007" s="2"/>
      <c r="P1007" t="str">
        <f t="shared" si="102"/>
        <v/>
      </c>
      <c r="Q1007" t="str">
        <f t="shared" si="103"/>
        <v/>
      </c>
      <c r="R1007" t="str">
        <f t="shared" si="104"/>
        <v/>
      </c>
      <c r="T1007">
        <f t="shared" si="105"/>
        <v>2985</v>
      </c>
    </row>
    <row r="1008" spans="1:20" ht="14.1" customHeight="1" outlineLevel="3" x14ac:dyDescent="0.2">
      <c r="A1008" t="str">
        <f t="shared" si="101"/>
        <v/>
      </c>
      <c r="E1008" s="1"/>
      <c r="F1008" s="1"/>
      <c r="G1008" s="2"/>
      <c r="I1008" s="2"/>
      <c r="P1008" t="str">
        <f t="shared" si="102"/>
        <v/>
      </c>
      <c r="Q1008" t="str">
        <f t="shared" si="103"/>
        <v/>
      </c>
      <c r="R1008" t="str">
        <f t="shared" si="104"/>
        <v/>
      </c>
      <c r="T1008">
        <f t="shared" si="105"/>
        <v>2985</v>
      </c>
    </row>
    <row r="1009" spans="1:20" ht="14.1" customHeight="1" outlineLevel="3" x14ac:dyDescent="0.2">
      <c r="A1009" t="str">
        <f t="shared" si="101"/>
        <v/>
      </c>
      <c r="E1009" s="1"/>
      <c r="F1009" s="1"/>
      <c r="G1009" s="2"/>
      <c r="I1009" s="2"/>
      <c r="P1009" t="str">
        <f t="shared" si="102"/>
        <v/>
      </c>
      <c r="Q1009" t="str">
        <f t="shared" si="103"/>
        <v/>
      </c>
      <c r="R1009" t="str">
        <f t="shared" si="104"/>
        <v/>
      </c>
      <c r="T1009">
        <f t="shared" si="105"/>
        <v>2985</v>
      </c>
    </row>
    <row r="1010" spans="1:20" ht="14.1" customHeight="1" outlineLevel="3" x14ac:dyDescent="0.2">
      <c r="A1010" t="str">
        <f t="shared" si="101"/>
        <v/>
      </c>
      <c r="E1010" s="1"/>
      <c r="F1010" s="1"/>
      <c r="G1010" s="2"/>
      <c r="I1010" s="2"/>
      <c r="P1010" t="str">
        <f t="shared" si="102"/>
        <v/>
      </c>
      <c r="Q1010" t="str">
        <f t="shared" si="103"/>
        <v/>
      </c>
      <c r="R1010" t="str">
        <f t="shared" si="104"/>
        <v/>
      </c>
      <c r="T1010">
        <f t="shared" si="105"/>
        <v>2985</v>
      </c>
    </row>
    <row r="1011" spans="1:20" ht="14.1" customHeight="1" outlineLevel="3" x14ac:dyDescent="0.2">
      <c r="A1011" t="str">
        <f t="shared" si="101"/>
        <v/>
      </c>
      <c r="E1011" s="1"/>
      <c r="F1011" s="1"/>
      <c r="G1011" s="2"/>
      <c r="I1011" s="2"/>
      <c r="P1011" t="str">
        <f t="shared" si="102"/>
        <v/>
      </c>
      <c r="Q1011" t="str">
        <f t="shared" si="103"/>
        <v/>
      </c>
      <c r="R1011" t="str">
        <f t="shared" si="104"/>
        <v/>
      </c>
      <c r="T1011">
        <f t="shared" si="105"/>
        <v>2985</v>
      </c>
    </row>
    <row r="1012" spans="1:20" outlineLevel="2" collapsed="1" x14ac:dyDescent="0.2">
      <c r="A1012" t="str">
        <f t="shared" si="101"/>
        <v/>
      </c>
      <c r="E1012" s="1"/>
      <c r="F1012" s="1"/>
      <c r="G1012" s="2"/>
      <c r="I1012" s="2"/>
      <c r="P1012" t="str">
        <f t="shared" si="102"/>
        <v/>
      </c>
      <c r="Q1012" t="str">
        <f t="shared" si="103"/>
        <v/>
      </c>
      <c r="R1012" t="str">
        <f t="shared" si="104"/>
        <v/>
      </c>
      <c r="T1012">
        <f t="shared" si="105"/>
        <v>2985</v>
      </c>
    </row>
    <row r="1013" spans="1:20" ht="14.1" customHeight="1" outlineLevel="3" x14ac:dyDescent="0.2">
      <c r="A1013" t="str">
        <f t="shared" si="101"/>
        <v/>
      </c>
      <c r="E1013" s="1"/>
      <c r="F1013" s="1"/>
      <c r="G1013" s="2"/>
      <c r="I1013" s="2"/>
      <c r="P1013" t="str">
        <f t="shared" si="102"/>
        <v/>
      </c>
      <c r="Q1013" t="str">
        <f t="shared" si="103"/>
        <v/>
      </c>
      <c r="R1013" t="str">
        <f t="shared" si="104"/>
        <v/>
      </c>
      <c r="T1013">
        <f t="shared" si="105"/>
        <v>2985</v>
      </c>
    </row>
    <row r="1014" spans="1:20" ht="14.1" customHeight="1" outlineLevel="3" x14ac:dyDescent="0.2">
      <c r="A1014" t="str">
        <f t="shared" si="101"/>
        <v/>
      </c>
      <c r="E1014" s="1"/>
      <c r="F1014" s="1"/>
      <c r="G1014" s="2"/>
      <c r="I1014" s="2"/>
      <c r="P1014" t="str">
        <f t="shared" si="102"/>
        <v/>
      </c>
      <c r="Q1014" t="str">
        <f t="shared" si="103"/>
        <v/>
      </c>
      <c r="R1014" t="str">
        <f t="shared" si="104"/>
        <v/>
      </c>
      <c r="T1014">
        <f t="shared" si="105"/>
        <v>2985</v>
      </c>
    </row>
    <row r="1015" spans="1:20" ht="14.1" customHeight="1" outlineLevel="3" x14ac:dyDescent="0.2">
      <c r="A1015" t="str">
        <f t="shared" si="101"/>
        <v/>
      </c>
      <c r="E1015" s="1"/>
      <c r="F1015" s="1"/>
      <c r="G1015" s="2"/>
      <c r="I1015" s="2"/>
      <c r="P1015" t="str">
        <f t="shared" si="102"/>
        <v/>
      </c>
      <c r="Q1015" t="str">
        <f t="shared" si="103"/>
        <v/>
      </c>
      <c r="R1015" t="str">
        <f t="shared" si="104"/>
        <v/>
      </c>
      <c r="T1015">
        <f t="shared" si="105"/>
        <v>2985</v>
      </c>
    </row>
    <row r="1016" spans="1:20" ht="14.1" customHeight="1" outlineLevel="3" x14ac:dyDescent="0.2">
      <c r="A1016" t="str">
        <f t="shared" si="101"/>
        <v/>
      </c>
      <c r="E1016" s="1"/>
      <c r="F1016" s="1"/>
      <c r="G1016" s="2"/>
      <c r="I1016" s="2"/>
      <c r="P1016" t="str">
        <f t="shared" si="102"/>
        <v/>
      </c>
      <c r="Q1016" t="str">
        <f t="shared" si="103"/>
        <v/>
      </c>
      <c r="R1016" t="str">
        <f t="shared" si="104"/>
        <v/>
      </c>
      <c r="T1016">
        <f t="shared" si="105"/>
        <v>2985</v>
      </c>
    </row>
    <row r="1017" spans="1:20" ht="14.1" customHeight="1" outlineLevel="3" x14ac:dyDescent="0.2">
      <c r="A1017" t="str">
        <f t="shared" si="101"/>
        <v/>
      </c>
      <c r="E1017" s="1"/>
      <c r="F1017" s="1"/>
      <c r="G1017" s="2"/>
      <c r="I1017" s="2"/>
      <c r="P1017" t="str">
        <f t="shared" si="102"/>
        <v/>
      </c>
      <c r="Q1017" t="str">
        <f t="shared" si="103"/>
        <v/>
      </c>
      <c r="R1017" t="str">
        <f t="shared" si="104"/>
        <v/>
      </c>
      <c r="T1017">
        <f t="shared" si="105"/>
        <v>2985</v>
      </c>
    </row>
    <row r="1018" spans="1:20" ht="14.1" customHeight="1" outlineLevel="3" x14ac:dyDescent="0.2">
      <c r="A1018" t="str">
        <f t="shared" si="101"/>
        <v/>
      </c>
      <c r="E1018" s="1"/>
      <c r="F1018" s="1"/>
      <c r="G1018" s="2"/>
      <c r="I1018" s="2"/>
      <c r="P1018" t="str">
        <f t="shared" si="102"/>
        <v/>
      </c>
      <c r="Q1018" t="str">
        <f t="shared" si="103"/>
        <v/>
      </c>
      <c r="R1018" t="str">
        <f t="shared" si="104"/>
        <v/>
      </c>
      <c r="T1018">
        <f t="shared" si="105"/>
        <v>2985</v>
      </c>
    </row>
    <row r="1019" spans="1:20" ht="14.1" customHeight="1" outlineLevel="3" x14ac:dyDescent="0.2">
      <c r="A1019" t="str">
        <f t="shared" si="101"/>
        <v/>
      </c>
      <c r="E1019" s="1"/>
      <c r="F1019" s="1"/>
      <c r="G1019" s="2"/>
      <c r="I1019" s="2"/>
      <c r="P1019" t="str">
        <f t="shared" si="102"/>
        <v/>
      </c>
      <c r="Q1019" t="str">
        <f t="shared" si="103"/>
        <v/>
      </c>
      <c r="R1019" t="str">
        <f t="shared" si="104"/>
        <v/>
      </c>
      <c r="T1019">
        <f t="shared" si="105"/>
        <v>2985</v>
      </c>
    </row>
    <row r="1020" spans="1:20" ht="14.1" customHeight="1" outlineLevel="3" x14ac:dyDescent="0.2">
      <c r="A1020" t="str">
        <f t="shared" si="101"/>
        <v/>
      </c>
      <c r="E1020" s="1"/>
      <c r="F1020" s="1"/>
      <c r="G1020" s="2"/>
      <c r="I1020" s="2"/>
      <c r="P1020" t="str">
        <f t="shared" si="102"/>
        <v/>
      </c>
      <c r="Q1020" t="str">
        <f t="shared" si="103"/>
        <v/>
      </c>
      <c r="R1020" t="str">
        <f t="shared" si="104"/>
        <v/>
      </c>
      <c r="T1020">
        <f t="shared" si="105"/>
        <v>2985</v>
      </c>
    </row>
    <row r="1021" spans="1:20" ht="14.1" customHeight="1" outlineLevel="3" x14ac:dyDescent="0.2">
      <c r="A1021" t="str">
        <f t="shared" si="101"/>
        <v/>
      </c>
      <c r="E1021" s="1"/>
      <c r="F1021" s="1"/>
      <c r="G1021" s="2"/>
      <c r="I1021" s="2"/>
      <c r="P1021" t="str">
        <f t="shared" si="102"/>
        <v/>
      </c>
      <c r="Q1021" t="str">
        <f t="shared" si="103"/>
        <v/>
      </c>
      <c r="R1021" t="str">
        <f t="shared" si="104"/>
        <v/>
      </c>
      <c r="T1021">
        <f t="shared" si="105"/>
        <v>2985</v>
      </c>
    </row>
    <row r="1022" spans="1:20" ht="14.1" customHeight="1" outlineLevel="3" x14ac:dyDescent="0.2">
      <c r="A1022" t="str">
        <f t="shared" si="101"/>
        <v/>
      </c>
      <c r="E1022" s="1"/>
      <c r="F1022" s="1"/>
      <c r="G1022" s="2"/>
      <c r="I1022" s="2"/>
      <c r="P1022" t="str">
        <f t="shared" si="102"/>
        <v/>
      </c>
      <c r="Q1022" t="str">
        <f t="shared" si="103"/>
        <v/>
      </c>
      <c r="R1022" t="str">
        <f t="shared" si="104"/>
        <v/>
      </c>
      <c r="T1022">
        <f t="shared" si="105"/>
        <v>2985</v>
      </c>
    </row>
    <row r="1023" spans="1:20" ht="14.1" customHeight="1" outlineLevel="3" x14ac:dyDescent="0.2">
      <c r="A1023" t="str">
        <f t="shared" si="101"/>
        <v/>
      </c>
      <c r="E1023" s="1"/>
      <c r="F1023" s="1"/>
      <c r="G1023" s="2"/>
      <c r="I1023" s="2"/>
      <c r="P1023" t="str">
        <f t="shared" si="102"/>
        <v/>
      </c>
      <c r="Q1023" t="str">
        <f t="shared" si="103"/>
        <v/>
      </c>
      <c r="R1023" t="str">
        <f t="shared" si="104"/>
        <v/>
      </c>
      <c r="T1023">
        <f t="shared" si="105"/>
        <v>2985</v>
      </c>
    </row>
    <row r="1024" spans="1:20" ht="14.1" customHeight="1" outlineLevel="3" x14ac:dyDescent="0.2">
      <c r="A1024" t="str">
        <f t="shared" si="101"/>
        <v/>
      </c>
      <c r="E1024" s="1"/>
      <c r="F1024" s="1"/>
      <c r="G1024" s="2"/>
      <c r="I1024" s="2"/>
      <c r="P1024" t="str">
        <f t="shared" si="102"/>
        <v/>
      </c>
      <c r="Q1024" t="str">
        <f t="shared" si="103"/>
        <v/>
      </c>
      <c r="R1024" t="str">
        <f t="shared" si="104"/>
        <v/>
      </c>
      <c r="T1024">
        <f t="shared" si="105"/>
        <v>2985</v>
      </c>
    </row>
    <row r="1025" spans="1:20" ht="14.1" customHeight="1" outlineLevel="3" x14ac:dyDescent="0.2">
      <c r="A1025" t="str">
        <f t="shared" si="101"/>
        <v/>
      </c>
      <c r="E1025" s="1"/>
      <c r="F1025" s="1"/>
      <c r="G1025" s="2"/>
      <c r="I1025" s="2"/>
      <c r="P1025" t="str">
        <f t="shared" si="102"/>
        <v/>
      </c>
      <c r="Q1025" t="str">
        <f t="shared" si="103"/>
        <v/>
      </c>
      <c r="R1025" t="str">
        <f t="shared" si="104"/>
        <v/>
      </c>
      <c r="T1025">
        <f t="shared" si="105"/>
        <v>2985</v>
      </c>
    </row>
    <row r="1026" spans="1:20" ht="14.1" customHeight="1" outlineLevel="3" x14ac:dyDescent="0.2">
      <c r="A1026" t="str">
        <f t="shared" si="101"/>
        <v/>
      </c>
      <c r="E1026" s="1"/>
      <c r="F1026" s="1"/>
      <c r="G1026" s="2"/>
      <c r="I1026" s="2"/>
      <c r="P1026" t="str">
        <f t="shared" si="102"/>
        <v/>
      </c>
      <c r="Q1026" t="str">
        <f t="shared" si="103"/>
        <v/>
      </c>
      <c r="R1026" t="str">
        <f t="shared" si="104"/>
        <v/>
      </c>
      <c r="T1026">
        <f t="shared" si="105"/>
        <v>2985</v>
      </c>
    </row>
    <row r="1027" spans="1:20" ht="14.1" customHeight="1" outlineLevel="3" x14ac:dyDescent="0.2">
      <c r="A1027" t="str">
        <f t="shared" ref="A1027:A1090" si="106">IFERROR(IF(OR(K1027="",I1027=0),"",D1027&amp;K1027&amp;I1027),"")</f>
        <v/>
      </c>
      <c r="E1027" s="1"/>
      <c r="F1027" s="1"/>
      <c r="G1027" s="2"/>
      <c r="I1027" s="2"/>
      <c r="P1027" t="str">
        <f t="shared" ref="P1027:P1087" si="107">IF(OR(K1027="",K1027=0),"",D1027&amp;N1027&amp;K1027&amp;M1027&amp;F1027)</f>
        <v/>
      </c>
      <c r="Q1027" t="str">
        <f t="shared" ref="Q1027:Q1090" si="108">IF(P1027="","",COUNTIF($P$2:$P$1448,$P1027))</f>
        <v/>
      </c>
      <c r="R1027" t="str">
        <f t="shared" ref="R1027:R1090" si="109">G1027&amp;K1027&amp;N1027</f>
        <v/>
      </c>
      <c r="T1027">
        <f t="shared" ref="T1027:T1090" si="110">COUNTIF($R$2:$R$2986,$R1027)</f>
        <v>2985</v>
      </c>
    </row>
    <row r="1028" spans="1:20" ht="14.1" customHeight="1" outlineLevel="3" x14ac:dyDescent="0.2">
      <c r="A1028" t="str">
        <f t="shared" si="106"/>
        <v/>
      </c>
      <c r="E1028" s="1"/>
      <c r="F1028" s="1"/>
      <c r="G1028" s="2"/>
      <c r="I1028" s="2"/>
      <c r="P1028" t="str">
        <f t="shared" si="107"/>
        <v/>
      </c>
      <c r="Q1028" t="str">
        <f t="shared" si="108"/>
        <v/>
      </c>
      <c r="R1028" t="str">
        <f t="shared" si="109"/>
        <v/>
      </c>
      <c r="T1028">
        <f t="shared" si="110"/>
        <v>2985</v>
      </c>
    </row>
    <row r="1029" spans="1:20" ht="14.1" customHeight="1" outlineLevel="3" x14ac:dyDescent="0.2">
      <c r="A1029" t="str">
        <f t="shared" si="106"/>
        <v/>
      </c>
      <c r="E1029" s="1"/>
      <c r="F1029" s="1"/>
      <c r="G1029" s="2"/>
      <c r="I1029" s="2"/>
      <c r="P1029" t="str">
        <f t="shared" si="107"/>
        <v/>
      </c>
      <c r="Q1029" t="str">
        <f t="shared" si="108"/>
        <v/>
      </c>
      <c r="R1029" t="str">
        <f t="shared" si="109"/>
        <v/>
      </c>
      <c r="T1029">
        <f t="shared" si="110"/>
        <v>2985</v>
      </c>
    </row>
    <row r="1030" spans="1:20" ht="14.1" customHeight="1" outlineLevel="3" x14ac:dyDescent="0.2">
      <c r="A1030" t="str">
        <f t="shared" si="106"/>
        <v/>
      </c>
      <c r="E1030" s="1"/>
      <c r="F1030" s="1"/>
      <c r="G1030" s="2"/>
      <c r="I1030" s="2"/>
      <c r="P1030" t="str">
        <f t="shared" si="107"/>
        <v/>
      </c>
      <c r="Q1030" t="str">
        <f t="shared" si="108"/>
        <v/>
      </c>
      <c r="R1030" t="str">
        <f t="shared" si="109"/>
        <v/>
      </c>
      <c r="T1030">
        <f t="shared" si="110"/>
        <v>2985</v>
      </c>
    </row>
    <row r="1031" spans="1:20" ht="14.1" customHeight="1" outlineLevel="3" x14ac:dyDescent="0.2">
      <c r="A1031" t="str">
        <f t="shared" si="106"/>
        <v/>
      </c>
      <c r="E1031" s="1"/>
      <c r="F1031" s="1"/>
      <c r="G1031" s="2"/>
      <c r="I1031" s="2"/>
      <c r="P1031" t="str">
        <f t="shared" si="107"/>
        <v/>
      </c>
      <c r="Q1031" t="str">
        <f t="shared" si="108"/>
        <v/>
      </c>
      <c r="R1031" t="str">
        <f t="shared" si="109"/>
        <v/>
      </c>
      <c r="T1031">
        <f t="shared" si="110"/>
        <v>2985</v>
      </c>
    </row>
    <row r="1032" spans="1:20" ht="14.1" customHeight="1" outlineLevel="3" x14ac:dyDescent="0.2">
      <c r="A1032" t="str">
        <f t="shared" si="106"/>
        <v/>
      </c>
      <c r="E1032" s="1"/>
      <c r="F1032" s="1"/>
      <c r="G1032" s="2"/>
      <c r="I1032" s="2"/>
      <c r="P1032" t="str">
        <f t="shared" si="107"/>
        <v/>
      </c>
      <c r="Q1032" t="str">
        <f t="shared" si="108"/>
        <v/>
      </c>
      <c r="R1032" t="str">
        <f t="shared" si="109"/>
        <v/>
      </c>
      <c r="T1032">
        <f t="shared" si="110"/>
        <v>2985</v>
      </c>
    </row>
    <row r="1033" spans="1:20" ht="14.1" customHeight="1" outlineLevel="3" x14ac:dyDescent="0.2">
      <c r="A1033" t="str">
        <f t="shared" si="106"/>
        <v/>
      </c>
      <c r="E1033" s="1"/>
      <c r="F1033" s="1"/>
      <c r="G1033" s="2"/>
      <c r="I1033" s="2"/>
      <c r="P1033" t="str">
        <f t="shared" si="107"/>
        <v/>
      </c>
      <c r="Q1033" t="str">
        <f t="shared" si="108"/>
        <v/>
      </c>
      <c r="R1033" t="str">
        <f t="shared" si="109"/>
        <v/>
      </c>
      <c r="T1033">
        <f t="shared" si="110"/>
        <v>2985</v>
      </c>
    </row>
    <row r="1034" spans="1:20" ht="14.1" customHeight="1" outlineLevel="3" x14ac:dyDescent="0.2">
      <c r="A1034" t="str">
        <f t="shared" si="106"/>
        <v/>
      </c>
      <c r="E1034" s="1"/>
      <c r="F1034" s="1"/>
      <c r="G1034" s="2"/>
      <c r="I1034" s="2"/>
      <c r="P1034" t="str">
        <f t="shared" si="107"/>
        <v/>
      </c>
      <c r="Q1034" t="str">
        <f t="shared" si="108"/>
        <v/>
      </c>
      <c r="R1034" t="str">
        <f t="shared" si="109"/>
        <v/>
      </c>
      <c r="T1034">
        <f t="shared" si="110"/>
        <v>2985</v>
      </c>
    </row>
    <row r="1035" spans="1:20" ht="14.1" customHeight="1" outlineLevel="3" x14ac:dyDescent="0.2">
      <c r="A1035" t="str">
        <f t="shared" si="106"/>
        <v/>
      </c>
      <c r="E1035" s="1"/>
      <c r="F1035" s="1"/>
      <c r="G1035" s="2"/>
      <c r="I1035" s="2"/>
      <c r="P1035" t="str">
        <f t="shared" si="107"/>
        <v/>
      </c>
      <c r="Q1035" t="str">
        <f t="shared" si="108"/>
        <v/>
      </c>
      <c r="R1035" t="str">
        <f t="shared" si="109"/>
        <v/>
      </c>
      <c r="T1035">
        <f t="shared" si="110"/>
        <v>2985</v>
      </c>
    </row>
    <row r="1036" spans="1:20" ht="14.1" customHeight="1" outlineLevel="3" x14ac:dyDescent="0.2">
      <c r="A1036" t="str">
        <f t="shared" si="106"/>
        <v/>
      </c>
      <c r="E1036" s="1"/>
      <c r="F1036" s="1"/>
      <c r="G1036" s="2"/>
      <c r="I1036" s="2"/>
      <c r="P1036" t="str">
        <f t="shared" si="107"/>
        <v/>
      </c>
      <c r="Q1036" t="str">
        <f t="shared" si="108"/>
        <v/>
      </c>
      <c r="R1036" t="str">
        <f t="shared" si="109"/>
        <v/>
      </c>
      <c r="T1036">
        <f t="shared" si="110"/>
        <v>2985</v>
      </c>
    </row>
    <row r="1037" spans="1:20" ht="14.1" customHeight="1" outlineLevel="3" x14ac:dyDescent="0.2">
      <c r="A1037" t="str">
        <f t="shared" si="106"/>
        <v/>
      </c>
      <c r="E1037" s="1"/>
      <c r="F1037" s="1"/>
      <c r="G1037" s="2"/>
      <c r="I1037" s="2"/>
      <c r="P1037" t="str">
        <f t="shared" si="107"/>
        <v/>
      </c>
      <c r="Q1037" t="str">
        <f t="shared" si="108"/>
        <v/>
      </c>
      <c r="R1037" t="str">
        <f t="shared" si="109"/>
        <v/>
      </c>
      <c r="T1037">
        <f t="shared" si="110"/>
        <v>2985</v>
      </c>
    </row>
    <row r="1038" spans="1:20" ht="14.1" customHeight="1" outlineLevel="3" x14ac:dyDescent="0.2">
      <c r="A1038" t="str">
        <f t="shared" si="106"/>
        <v/>
      </c>
      <c r="E1038" s="1"/>
      <c r="F1038" s="1"/>
      <c r="G1038" s="2"/>
      <c r="I1038" s="2"/>
      <c r="P1038" t="str">
        <f t="shared" si="107"/>
        <v/>
      </c>
      <c r="Q1038" t="str">
        <f t="shared" si="108"/>
        <v/>
      </c>
      <c r="R1038" t="str">
        <f t="shared" si="109"/>
        <v/>
      </c>
      <c r="T1038">
        <f t="shared" si="110"/>
        <v>2985</v>
      </c>
    </row>
    <row r="1039" spans="1:20" ht="14.1" customHeight="1" outlineLevel="3" x14ac:dyDescent="0.2">
      <c r="A1039" t="str">
        <f t="shared" si="106"/>
        <v/>
      </c>
      <c r="E1039" s="1"/>
      <c r="F1039" s="1"/>
      <c r="G1039" s="2"/>
      <c r="I1039" s="2"/>
      <c r="P1039" t="str">
        <f t="shared" si="107"/>
        <v/>
      </c>
      <c r="Q1039" t="str">
        <f t="shared" si="108"/>
        <v/>
      </c>
      <c r="R1039" t="str">
        <f t="shared" si="109"/>
        <v/>
      </c>
      <c r="T1039">
        <f t="shared" si="110"/>
        <v>2985</v>
      </c>
    </row>
    <row r="1040" spans="1:20" ht="14.1" customHeight="1" outlineLevel="3" x14ac:dyDescent="0.2">
      <c r="A1040" t="str">
        <f t="shared" si="106"/>
        <v/>
      </c>
      <c r="E1040" s="1"/>
      <c r="F1040" s="1"/>
      <c r="G1040" s="2"/>
      <c r="I1040" s="2"/>
      <c r="P1040" t="str">
        <f t="shared" si="107"/>
        <v/>
      </c>
      <c r="Q1040" t="str">
        <f t="shared" si="108"/>
        <v/>
      </c>
      <c r="R1040" t="str">
        <f t="shared" si="109"/>
        <v/>
      </c>
      <c r="T1040">
        <f t="shared" si="110"/>
        <v>2985</v>
      </c>
    </row>
    <row r="1041" spans="1:20" ht="14.1" customHeight="1" outlineLevel="3" x14ac:dyDescent="0.2">
      <c r="A1041" t="str">
        <f t="shared" si="106"/>
        <v/>
      </c>
      <c r="E1041" s="1"/>
      <c r="F1041" s="1"/>
      <c r="G1041" s="2"/>
      <c r="I1041" s="2"/>
      <c r="P1041" t="str">
        <f t="shared" si="107"/>
        <v/>
      </c>
      <c r="Q1041" t="str">
        <f t="shared" si="108"/>
        <v/>
      </c>
      <c r="R1041" t="str">
        <f t="shared" si="109"/>
        <v/>
      </c>
      <c r="T1041">
        <f t="shared" si="110"/>
        <v>2985</v>
      </c>
    </row>
    <row r="1042" spans="1:20" ht="14.1" customHeight="1" outlineLevel="3" x14ac:dyDescent="0.2">
      <c r="A1042" t="str">
        <f t="shared" si="106"/>
        <v/>
      </c>
      <c r="E1042" s="1"/>
      <c r="F1042" s="1"/>
      <c r="G1042" s="2"/>
      <c r="I1042" s="2"/>
      <c r="P1042" t="str">
        <f t="shared" si="107"/>
        <v/>
      </c>
      <c r="Q1042" t="str">
        <f t="shared" si="108"/>
        <v/>
      </c>
      <c r="R1042" t="str">
        <f t="shared" si="109"/>
        <v/>
      </c>
      <c r="T1042">
        <f t="shared" si="110"/>
        <v>2985</v>
      </c>
    </row>
    <row r="1043" spans="1:20" ht="14.1" customHeight="1" outlineLevel="3" x14ac:dyDescent="0.2">
      <c r="A1043" t="str">
        <f t="shared" si="106"/>
        <v/>
      </c>
      <c r="E1043" s="1"/>
      <c r="F1043" s="1"/>
      <c r="G1043" s="2"/>
      <c r="I1043" s="2"/>
      <c r="P1043" t="str">
        <f t="shared" si="107"/>
        <v/>
      </c>
      <c r="Q1043" t="str">
        <f t="shared" si="108"/>
        <v/>
      </c>
      <c r="R1043" t="str">
        <f t="shared" si="109"/>
        <v/>
      </c>
      <c r="T1043">
        <f t="shared" si="110"/>
        <v>2985</v>
      </c>
    </row>
    <row r="1044" spans="1:20" ht="14.1" customHeight="1" outlineLevel="3" x14ac:dyDescent="0.2">
      <c r="A1044" t="str">
        <f t="shared" si="106"/>
        <v/>
      </c>
      <c r="E1044" s="1"/>
      <c r="F1044" s="1"/>
      <c r="G1044" s="2"/>
      <c r="I1044" s="2"/>
      <c r="P1044" t="str">
        <f t="shared" si="107"/>
        <v/>
      </c>
      <c r="Q1044" t="str">
        <f t="shared" si="108"/>
        <v/>
      </c>
      <c r="R1044" t="str">
        <f t="shared" si="109"/>
        <v/>
      </c>
      <c r="T1044">
        <f t="shared" si="110"/>
        <v>2985</v>
      </c>
    </row>
    <row r="1045" spans="1:20" ht="14.1" customHeight="1" outlineLevel="3" x14ac:dyDescent="0.2">
      <c r="A1045" t="str">
        <f t="shared" si="106"/>
        <v/>
      </c>
      <c r="E1045" s="1"/>
      <c r="F1045" s="1"/>
      <c r="G1045" s="2"/>
      <c r="I1045" s="2"/>
      <c r="P1045" t="str">
        <f t="shared" si="107"/>
        <v/>
      </c>
      <c r="Q1045" t="str">
        <f t="shared" si="108"/>
        <v/>
      </c>
      <c r="R1045" t="str">
        <f t="shared" si="109"/>
        <v/>
      </c>
      <c r="T1045">
        <f t="shared" si="110"/>
        <v>2985</v>
      </c>
    </row>
    <row r="1046" spans="1:20" ht="14.1" customHeight="1" outlineLevel="3" x14ac:dyDescent="0.2">
      <c r="A1046" t="str">
        <f t="shared" si="106"/>
        <v/>
      </c>
      <c r="E1046" s="1"/>
      <c r="F1046" s="1"/>
      <c r="G1046" s="2"/>
      <c r="I1046" s="2"/>
      <c r="P1046" t="str">
        <f t="shared" si="107"/>
        <v/>
      </c>
      <c r="Q1046" t="str">
        <f t="shared" si="108"/>
        <v/>
      </c>
      <c r="R1046" t="str">
        <f t="shared" si="109"/>
        <v/>
      </c>
      <c r="T1046">
        <f t="shared" si="110"/>
        <v>2985</v>
      </c>
    </row>
    <row r="1047" spans="1:20" ht="14.1" customHeight="1" outlineLevel="3" x14ac:dyDescent="0.2">
      <c r="A1047" t="str">
        <f t="shared" si="106"/>
        <v/>
      </c>
      <c r="E1047" s="1"/>
      <c r="F1047" s="1"/>
      <c r="G1047" s="2"/>
      <c r="I1047" s="2"/>
      <c r="P1047" t="str">
        <f t="shared" si="107"/>
        <v/>
      </c>
      <c r="Q1047" t="str">
        <f t="shared" si="108"/>
        <v/>
      </c>
      <c r="R1047" t="str">
        <f t="shared" si="109"/>
        <v/>
      </c>
      <c r="T1047">
        <f t="shared" si="110"/>
        <v>2985</v>
      </c>
    </row>
    <row r="1048" spans="1:20" ht="14.1" customHeight="1" outlineLevel="3" x14ac:dyDescent="0.2">
      <c r="A1048" t="str">
        <f t="shared" si="106"/>
        <v/>
      </c>
      <c r="E1048" s="1"/>
      <c r="F1048" s="1"/>
      <c r="G1048" s="2"/>
      <c r="I1048" s="2"/>
      <c r="P1048" t="str">
        <f t="shared" si="107"/>
        <v/>
      </c>
      <c r="Q1048" t="str">
        <f t="shared" si="108"/>
        <v/>
      </c>
      <c r="R1048" t="str">
        <f t="shared" si="109"/>
        <v/>
      </c>
      <c r="T1048">
        <f t="shared" si="110"/>
        <v>2985</v>
      </c>
    </row>
    <row r="1049" spans="1:20" ht="14.1" customHeight="1" outlineLevel="3" x14ac:dyDescent="0.2">
      <c r="A1049" t="str">
        <f t="shared" si="106"/>
        <v/>
      </c>
      <c r="E1049" s="1"/>
      <c r="F1049" s="1"/>
      <c r="G1049" s="2"/>
      <c r="I1049" s="2"/>
      <c r="P1049" t="str">
        <f t="shared" si="107"/>
        <v/>
      </c>
      <c r="Q1049" t="str">
        <f t="shared" si="108"/>
        <v/>
      </c>
      <c r="R1049" t="str">
        <f t="shared" si="109"/>
        <v/>
      </c>
      <c r="T1049">
        <f t="shared" si="110"/>
        <v>2985</v>
      </c>
    </row>
    <row r="1050" spans="1:20" ht="14.1" customHeight="1" outlineLevel="3" x14ac:dyDescent="0.2">
      <c r="A1050" t="str">
        <f t="shared" si="106"/>
        <v/>
      </c>
      <c r="E1050" s="1"/>
      <c r="F1050" s="1"/>
      <c r="G1050" s="2"/>
      <c r="I1050" s="2"/>
      <c r="P1050" t="str">
        <f t="shared" si="107"/>
        <v/>
      </c>
      <c r="Q1050" t="str">
        <f t="shared" si="108"/>
        <v/>
      </c>
      <c r="R1050" t="str">
        <f t="shared" si="109"/>
        <v/>
      </c>
      <c r="T1050">
        <f t="shared" si="110"/>
        <v>2985</v>
      </c>
    </row>
    <row r="1051" spans="1:20" ht="14.1" customHeight="1" outlineLevel="3" x14ac:dyDescent="0.2">
      <c r="A1051" t="str">
        <f t="shared" si="106"/>
        <v/>
      </c>
      <c r="E1051" s="1"/>
      <c r="F1051" s="1"/>
      <c r="G1051" s="2"/>
      <c r="I1051" s="2"/>
      <c r="P1051" t="str">
        <f t="shared" si="107"/>
        <v/>
      </c>
      <c r="Q1051" t="str">
        <f t="shared" si="108"/>
        <v/>
      </c>
      <c r="R1051" t="str">
        <f t="shared" si="109"/>
        <v/>
      </c>
      <c r="T1051">
        <f t="shared" si="110"/>
        <v>2985</v>
      </c>
    </row>
    <row r="1052" spans="1:20" ht="14.1" customHeight="1" outlineLevel="3" x14ac:dyDescent="0.2">
      <c r="A1052" t="str">
        <f t="shared" si="106"/>
        <v/>
      </c>
      <c r="E1052" s="1"/>
      <c r="F1052" s="1"/>
      <c r="G1052" s="2"/>
      <c r="I1052" s="2"/>
      <c r="P1052" t="str">
        <f t="shared" si="107"/>
        <v/>
      </c>
      <c r="Q1052" t="str">
        <f t="shared" si="108"/>
        <v/>
      </c>
      <c r="R1052" t="str">
        <f t="shared" si="109"/>
        <v/>
      </c>
      <c r="T1052">
        <f t="shared" si="110"/>
        <v>2985</v>
      </c>
    </row>
    <row r="1053" spans="1:20" ht="14.1" customHeight="1" outlineLevel="3" x14ac:dyDescent="0.2">
      <c r="A1053" t="str">
        <f t="shared" si="106"/>
        <v/>
      </c>
      <c r="E1053" s="1"/>
      <c r="F1053" s="1"/>
      <c r="G1053" s="2"/>
      <c r="I1053" s="2"/>
      <c r="P1053" t="str">
        <f t="shared" si="107"/>
        <v/>
      </c>
      <c r="Q1053" t="str">
        <f t="shared" si="108"/>
        <v/>
      </c>
      <c r="R1053" t="str">
        <f t="shared" si="109"/>
        <v/>
      </c>
      <c r="T1053">
        <f t="shared" si="110"/>
        <v>2985</v>
      </c>
    </row>
    <row r="1054" spans="1:20" ht="14.1" customHeight="1" outlineLevel="3" x14ac:dyDescent="0.2">
      <c r="A1054" t="str">
        <f t="shared" si="106"/>
        <v/>
      </c>
      <c r="E1054" s="1"/>
      <c r="F1054" s="1"/>
      <c r="G1054" s="2"/>
      <c r="I1054" s="2"/>
      <c r="P1054" t="str">
        <f t="shared" si="107"/>
        <v/>
      </c>
      <c r="Q1054" t="str">
        <f t="shared" si="108"/>
        <v/>
      </c>
      <c r="R1054" t="str">
        <f t="shared" si="109"/>
        <v/>
      </c>
      <c r="T1054">
        <f t="shared" si="110"/>
        <v>2985</v>
      </c>
    </row>
    <row r="1055" spans="1:20" ht="14.1" customHeight="1" outlineLevel="3" x14ac:dyDescent="0.2">
      <c r="A1055" t="str">
        <f t="shared" si="106"/>
        <v/>
      </c>
      <c r="E1055" s="1"/>
      <c r="F1055" s="1"/>
      <c r="G1055" s="2"/>
      <c r="I1055" s="2"/>
      <c r="P1055" t="str">
        <f t="shared" si="107"/>
        <v/>
      </c>
      <c r="Q1055" t="str">
        <f t="shared" si="108"/>
        <v/>
      </c>
      <c r="R1055" t="str">
        <f t="shared" si="109"/>
        <v/>
      </c>
      <c r="T1055">
        <f t="shared" si="110"/>
        <v>2985</v>
      </c>
    </row>
    <row r="1056" spans="1:20" ht="14.1" customHeight="1" outlineLevel="3" x14ac:dyDescent="0.2">
      <c r="A1056" t="str">
        <f t="shared" si="106"/>
        <v/>
      </c>
      <c r="E1056" s="1"/>
      <c r="F1056" s="1"/>
      <c r="G1056" s="2"/>
      <c r="I1056" s="2"/>
      <c r="P1056" t="str">
        <f t="shared" si="107"/>
        <v/>
      </c>
      <c r="Q1056" t="str">
        <f t="shared" si="108"/>
        <v/>
      </c>
      <c r="R1056" t="str">
        <f t="shared" si="109"/>
        <v/>
      </c>
      <c r="T1056">
        <f t="shared" si="110"/>
        <v>2985</v>
      </c>
    </row>
    <row r="1057" spans="1:20" ht="14.1" customHeight="1" outlineLevel="3" x14ac:dyDescent="0.2">
      <c r="A1057" t="str">
        <f t="shared" si="106"/>
        <v/>
      </c>
      <c r="E1057" s="1"/>
      <c r="F1057" s="1"/>
      <c r="G1057" s="2"/>
      <c r="I1057" s="2"/>
      <c r="P1057" t="str">
        <f t="shared" si="107"/>
        <v/>
      </c>
      <c r="Q1057" t="str">
        <f t="shared" si="108"/>
        <v/>
      </c>
      <c r="R1057" t="str">
        <f t="shared" si="109"/>
        <v/>
      </c>
      <c r="T1057">
        <f t="shared" si="110"/>
        <v>2985</v>
      </c>
    </row>
    <row r="1058" spans="1:20" ht="14.1" customHeight="1" outlineLevel="3" x14ac:dyDescent="0.2">
      <c r="A1058" t="str">
        <f t="shared" si="106"/>
        <v/>
      </c>
      <c r="E1058" s="1"/>
      <c r="F1058" s="1"/>
      <c r="G1058" s="2"/>
      <c r="I1058" s="2"/>
      <c r="P1058" t="str">
        <f t="shared" si="107"/>
        <v/>
      </c>
      <c r="Q1058" t="str">
        <f t="shared" si="108"/>
        <v/>
      </c>
      <c r="R1058" t="str">
        <f t="shared" si="109"/>
        <v/>
      </c>
      <c r="T1058">
        <f t="shared" si="110"/>
        <v>2985</v>
      </c>
    </row>
    <row r="1059" spans="1:20" ht="14.1" customHeight="1" outlineLevel="3" x14ac:dyDescent="0.2">
      <c r="A1059" t="str">
        <f t="shared" si="106"/>
        <v/>
      </c>
      <c r="E1059" s="1"/>
      <c r="F1059" s="1"/>
      <c r="G1059" s="2"/>
      <c r="I1059" s="2"/>
      <c r="P1059" t="str">
        <f t="shared" si="107"/>
        <v/>
      </c>
      <c r="Q1059" t="str">
        <f t="shared" si="108"/>
        <v/>
      </c>
      <c r="R1059" t="str">
        <f t="shared" si="109"/>
        <v/>
      </c>
      <c r="T1059">
        <f t="shared" si="110"/>
        <v>2985</v>
      </c>
    </row>
    <row r="1060" spans="1:20" ht="14.1" customHeight="1" outlineLevel="3" x14ac:dyDescent="0.2">
      <c r="A1060" t="str">
        <f t="shared" si="106"/>
        <v/>
      </c>
      <c r="E1060" s="1"/>
      <c r="F1060" s="1"/>
      <c r="G1060" s="2"/>
      <c r="I1060" s="2"/>
      <c r="P1060" t="str">
        <f t="shared" si="107"/>
        <v/>
      </c>
      <c r="Q1060" t="str">
        <f t="shared" si="108"/>
        <v/>
      </c>
      <c r="R1060" t="str">
        <f t="shared" si="109"/>
        <v/>
      </c>
      <c r="T1060">
        <f t="shared" si="110"/>
        <v>2985</v>
      </c>
    </row>
    <row r="1061" spans="1:20" ht="14.1" customHeight="1" outlineLevel="3" x14ac:dyDescent="0.2">
      <c r="A1061" t="str">
        <f t="shared" si="106"/>
        <v/>
      </c>
      <c r="E1061" s="1"/>
      <c r="F1061" s="1"/>
      <c r="G1061" s="2"/>
      <c r="I1061" s="2"/>
      <c r="P1061" t="str">
        <f t="shared" si="107"/>
        <v/>
      </c>
      <c r="Q1061" t="str">
        <f t="shared" si="108"/>
        <v/>
      </c>
      <c r="R1061" t="str">
        <f t="shared" si="109"/>
        <v/>
      </c>
      <c r="T1061">
        <f t="shared" si="110"/>
        <v>2985</v>
      </c>
    </row>
    <row r="1062" spans="1:20" ht="14.1" customHeight="1" outlineLevel="3" x14ac:dyDescent="0.2">
      <c r="A1062" t="str">
        <f t="shared" si="106"/>
        <v/>
      </c>
      <c r="E1062" s="1"/>
      <c r="F1062" s="1"/>
      <c r="G1062" s="2"/>
      <c r="I1062" s="2"/>
      <c r="P1062" t="str">
        <f t="shared" si="107"/>
        <v/>
      </c>
      <c r="Q1062" t="str">
        <f t="shared" si="108"/>
        <v/>
      </c>
      <c r="R1062" t="str">
        <f t="shared" si="109"/>
        <v/>
      </c>
      <c r="T1062">
        <f t="shared" si="110"/>
        <v>2985</v>
      </c>
    </row>
    <row r="1063" spans="1:20" ht="14.1" customHeight="1" outlineLevel="3" x14ac:dyDescent="0.2">
      <c r="A1063" t="str">
        <f t="shared" si="106"/>
        <v/>
      </c>
      <c r="E1063" s="1"/>
      <c r="F1063" s="1"/>
      <c r="G1063" s="2"/>
      <c r="I1063" s="2"/>
      <c r="P1063" t="str">
        <f t="shared" si="107"/>
        <v/>
      </c>
      <c r="Q1063" t="str">
        <f t="shared" si="108"/>
        <v/>
      </c>
      <c r="R1063" t="str">
        <f t="shared" si="109"/>
        <v/>
      </c>
      <c r="T1063">
        <f t="shared" si="110"/>
        <v>2985</v>
      </c>
    </row>
    <row r="1064" spans="1:20" ht="14.1" customHeight="1" outlineLevel="3" x14ac:dyDescent="0.2">
      <c r="A1064" t="str">
        <f t="shared" si="106"/>
        <v/>
      </c>
      <c r="E1064" s="1"/>
      <c r="F1064" s="1"/>
      <c r="G1064" s="2"/>
      <c r="I1064" s="2"/>
      <c r="P1064" t="str">
        <f t="shared" si="107"/>
        <v/>
      </c>
      <c r="Q1064" t="str">
        <f t="shared" si="108"/>
        <v/>
      </c>
      <c r="R1064" t="str">
        <f t="shared" si="109"/>
        <v/>
      </c>
      <c r="T1064">
        <f t="shared" si="110"/>
        <v>2985</v>
      </c>
    </row>
    <row r="1065" spans="1:20" ht="14.1" customHeight="1" outlineLevel="3" x14ac:dyDescent="0.2">
      <c r="A1065" t="str">
        <f t="shared" si="106"/>
        <v/>
      </c>
      <c r="E1065" s="1"/>
      <c r="F1065" s="1"/>
      <c r="G1065" s="2"/>
      <c r="I1065" s="2"/>
      <c r="P1065" t="str">
        <f t="shared" si="107"/>
        <v/>
      </c>
      <c r="Q1065" t="str">
        <f t="shared" si="108"/>
        <v/>
      </c>
      <c r="R1065" t="str">
        <f t="shared" si="109"/>
        <v/>
      </c>
      <c r="T1065">
        <f t="shared" si="110"/>
        <v>2985</v>
      </c>
    </row>
    <row r="1066" spans="1:20" ht="14.1" customHeight="1" outlineLevel="3" x14ac:dyDescent="0.2">
      <c r="A1066" t="str">
        <f t="shared" si="106"/>
        <v/>
      </c>
      <c r="E1066" s="1"/>
      <c r="F1066" s="1"/>
      <c r="G1066" s="2"/>
      <c r="I1066" s="2"/>
      <c r="P1066" t="str">
        <f t="shared" si="107"/>
        <v/>
      </c>
      <c r="Q1066" t="str">
        <f t="shared" si="108"/>
        <v/>
      </c>
      <c r="R1066" t="str">
        <f t="shared" si="109"/>
        <v/>
      </c>
      <c r="T1066">
        <f t="shared" si="110"/>
        <v>2985</v>
      </c>
    </row>
    <row r="1067" spans="1:20" ht="14.1" customHeight="1" outlineLevel="3" x14ac:dyDescent="0.2">
      <c r="A1067" t="str">
        <f t="shared" si="106"/>
        <v/>
      </c>
      <c r="E1067" s="1"/>
      <c r="F1067" s="1"/>
      <c r="G1067" s="2"/>
      <c r="I1067" s="2"/>
      <c r="P1067" t="str">
        <f t="shared" si="107"/>
        <v/>
      </c>
      <c r="Q1067" t="str">
        <f t="shared" si="108"/>
        <v/>
      </c>
      <c r="R1067" t="str">
        <f t="shared" si="109"/>
        <v/>
      </c>
      <c r="T1067">
        <f t="shared" si="110"/>
        <v>2985</v>
      </c>
    </row>
    <row r="1068" spans="1:20" ht="14.1" customHeight="1" outlineLevel="3" x14ac:dyDescent="0.2">
      <c r="A1068" t="str">
        <f t="shared" si="106"/>
        <v/>
      </c>
      <c r="E1068" s="1"/>
      <c r="F1068" s="1"/>
      <c r="G1068" s="2"/>
      <c r="I1068" s="2"/>
      <c r="P1068" t="str">
        <f t="shared" ref="P1068:P1071" si="111">IF(OR(K1068="",K1068=0),"",D1068&amp;N1068&amp;K1068&amp;M1068&amp;F1068&amp;G1068)</f>
        <v/>
      </c>
      <c r="Q1068" t="str">
        <f t="shared" si="108"/>
        <v/>
      </c>
      <c r="R1068" t="str">
        <f t="shared" si="109"/>
        <v/>
      </c>
      <c r="T1068">
        <f t="shared" si="110"/>
        <v>2985</v>
      </c>
    </row>
    <row r="1069" spans="1:20" ht="14.1" customHeight="1" outlineLevel="3" x14ac:dyDescent="0.2">
      <c r="A1069" t="str">
        <f t="shared" si="106"/>
        <v/>
      </c>
      <c r="E1069" s="1"/>
      <c r="F1069" s="1"/>
      <c r="G1069" s="2"/>
      <c r="I1069" s="2"/>
      <c r="P1069" t="str">
        <f t="shared" si="111"/>
        <v/>
      </c>
      <c r="Q1069" t="str">
        <f t="shared" si="108"/>
        <v/>
      </c>
      <c r="R1069" t="str">
        <f t="shared" si="109"/>
        <v/>
      </c>
      <c r="T1069">
        <f t="shared" si="110"/>
        <v>2985</v>
      </c>
    </row>
    <row r="1070" spans="1:20" ht="14.1" customHeight="1" outlineLevel="3" x14ac:dyDescent="0.2">
      <c r="A1070" t="str">
        <f t="shared" si="106"/>
        <v/>
      </c>
      <c r="E1070" s="1"/>
      <c r="F1070" s="1"/>
      <c r="G1070" s="2"/>
      <c r="I1070" s="2"/>
      <c r="P1070" t="str">
        <f t="shared" si="111"/>
        <v/>
      </c>
      <c r="Q1070" t="str">
        <f t="shared" si="108"/>
        <v/>
      </c>
      <c r="R1070" t="str">
        <f t="shared" si="109"/>
        <v/>
      </c>
      <c r="T1070">
        <f t="shared" si="110"/>
        <v>2985</v>
      </c>
    </row>
    <row r="1071" spans="1:20" ht="14.1" customHeight="1" outlineLevel="3" x14ac:dyDescent="0.2">
      <c r="A1071" t="str">
        <f t="shared" si="106"/>
        <v/>
      </c>
      <c r="E1071" s="1"/>
      <c r="F1071" s="1"/>
      <c r="G1071" s="2"/>
      <c r="I1071" s="2"/>
      <c r="P1071" t="str">
        <f t="shared" si="111"/>
        <v/>
      </c>
      <c r="Q1071" t="str">
        <f t="shared" si="108"/>
        <v/>
      </c>
      <c r="R1071" t="str">
        <f t="shared" si="109"/>
        <v/>
      </c>
      <c r="T1071">
        <f t="shared" si="110"/>
        <v>2985</v>
      </c>
    </row>
    <row r="1072" spans="1:20" ht="14.1" customHeight="1" outlineLevel="3" x14ac:dyDescent="0.2">
      <c r="A1072" t="str">
        <f t="shared" si="106"/>
        <v/>
      </c>
      <c r="E1072" s="1"/>
      <c r="F1072" s="1"/>
      <c r="G1072" s="2"/>
      <c r="I1072" s="2"/>
      <c r="P1072" t="str">
        <f t="shared" si="107"/>
        <v/>
      </c>
      <c r="Q1072" t="str">
        <f t="shared" si="108"/>
        <v/>
      </c>
      <c r="R1072" t="str">
        <f t="shared" si="109"/>
        <v/>
      </c>
      <c r="T1072">
        <f t="shared" si="110"/>
        <v>2985</v>
      </c>
    </row>
    <row r="1073" spans="1:20" ht="14.1" customHeight="1" outlineLevel="3" x14ac:dyDescent="0.2">
      <c r="A1073" t="str">
        <f t="shared" si="106"/>
        <v/>
      </c>
      <c r="E1073" s="1"/>
      <c r="F1073" s="1"/>
      <c r="G1073" s="2"/>
      <c r="I1073" s="2"/>
      <c r="P1073" t="str">
        <f t="shared" si="107"/>
        <v/>
      </c>
      <c r="Q1073" t="str">
        <f t="shared" si="108"/>
        <v/>
      </c>
      <c r="R1073" t="str">
        <f t="shared" si="109"/>
        <v/>
      </c>
      <c r="T1073">
        <f t="shared" si="110"/>
        <v>2985</v>
      </c>
    </row>
    <row r="1074" spans="1:20" ht="14.1" customHeight="1" outlineLevel="3" x14ac:dyDescent="0.2">
      <c r="A1074" t="str">
        <f t="shared" si="106"/>
        <v/>
      </c>
      <c r="E1074" s="1"/>
      <c r="F1074" s="1"/>
      <c r="G1074" s="2"/>
      <c r="I1074" s="2"/>
      <c r="P1074" t="str">
        <f t="shared" si="107"/>
        <v/>
      </c>
      <c r="Q1074" t="str">
        <f t="shared" si="108"/>
        <v/>
      </c>
      <c r="R1074" t="str">
        <f t="shared" si="109"/>
        <v/>
      </c>
      <c r="T1074">
        <f t="shared" si="110"/>
        <v>2985</v>
      </c>
    </row>
    <row r="1075" spans="1:20" ht="14.1" customHeight="1" outlineLevel="3" x14ac:dyDescent="0.2">
      <c r="A1075" t="str">
        <f t="shared" si="106"/>
        <v/>
      </c>
      <c r="E1075" s="1"/>
      <c r="F1075" s="1"/>
      <c r="G1075" s="2"/>
      <c r="I1075" s="2"/>
      <c r="P1075" t="str">
        <f t="shared" si="107"/>
        <v/>
      </c>
      <c r="Q1075" t="str">
        <f t="shared" si="108"/>
        <v/>
      </c>
      <c r="R1075" t="str">
        <f t="shared" si="109"/>
        <v/>
      </c>
      <c r="T1075">
        <f t="shared" si="110"/>
        <v>2985</v>
      </c>
    </row>
    <row r="1076" spans="1:20" ht="14.1" customHeight="1" outlineLevel="3" x14ac:dyDescent="0.2">
      <c r="A1076" t="str">
        <f t="shared" si="106"/>
        <v/>
      </c>
      <c r="E1076" s="1"/>
      <c r="F1076" s="1"/>
      <c r="G1076" s="2"/>
      <c r="I1076" s="2"/>
      <c r="P1076" t="str">
        <f t="shared" si="107"/>
        <v/>
      </c>
      <c r="Q1076" t="str">
        <f t="shared" si="108"/>
        <v/>
      </c>
      <c r="R1076" t="str">
        <f t="shared" si="109"/>
        <v/>
      </c>
      <c r="T1076">
        <f t="shared" si="110"/>
        <v>2985</v>
      </c>
    </row>
    <row r="1077" spans="1:20" ht="14.1" customHeight="1" outlineLevel="3" x14ac:dyDescent="0.2">
      <c r="A1077" t="str">
        <f t="shared" si="106"/>
        <v/>
      </c>
      <c r="E1077" s="1"/>
      <c r="F1077" s="1"/>
      <c r="G1077" s="2"/>
      <c r="I1077" s="2"/>
      <c r="P1077" t="str">
        <f t="shared" si="107"/>
        <v/>
      </c>
      <c r="Q1077" t="str">
        <f t="shared" si="108"/>
        <v/>
      </c>
      <c r="R1077" t="str">
        <f t="shared" si="109"/>
        <v/>
      </c>
      <c r="T1077">
        <f t="shared" si="110"/>
        <v>2985</v>
      </c>
    </row>
    <row r="1078" spans="1:20" ht="14.1" customHeight="1" outlineLevel="3" x14ac:dyDescent="0.2">
      <c r="A1078" t="str">
        <f t="shared" si="106"/>
        <v/>
      </c>
      <c r="E1078" s="1"/>
      <c r="F1078" s="1"/>
      <c r="G1078" s="2"/>
      <c r="I1078" s="2"/>
      <c r="P1078" t="str">
        <f t="shared" si="107"/>
        <v/>
      </c>
      <c r="Q1078" t="str">
        <f t="shared" si="108"/>
        <v/>
      </c>
      <c r="R1078" t="str">
        <f t="shared" si="109"/>
        <v/>
      </c>
      <c r="T1078">
        <f t="shared" si="110"/>
        <v>2985</v>
      </c>
    </row>
    <row r="1079" spans="1:20" ht="14.1" customHeight="1" outlineLevel="3" x14ac:dyDescent="0.2">
      <c r="A1079" t="str">
        <f t="shared" si="106"/>
        <v/>
      </c>
      <c r="E1079" s="1"/>
      <c r="F1079" s="1"/>
      <c r="G1079" s="2"/>
      <c r="I1079" s="2"/>
      <c r="P1079" t="str">
        <f t="shared" si="107"/>
        <v/>
      </c>
      <c r="Q1079" t="str">
        <f t="shared" si="108"/>
        <v/>
      </c>
      <c r="R1079" t="str">
        <f t="shared" si="109"/>
        <v/>
      </c>
      <c r="T1079">
        <f t="shared" si="110"/>
        <v>2985</v>
      </c>
    </row>
    <row r="1080" spans="1:20" ht="14.1" customHeight="1" outlineLevel="3" x14ac:dyDescent="0.2">
      <c r="A1080" t="str">
        <f t="shared" si="106"/>
        <v/>
      </c>
      <c r="E1080" s="1"/>
      <c r="F1080" s="1"/>
      <c r="G1080" s="2"/>
      <c r="I1080" s="2"/>
      <c r="P1080" t="str">
        <f t="shared" si="107"/>
        <v/>
      </c>
      <c r="Q1080" t="str">
        <f t="shared" si="108"/>
        <v/>
      </c>
      <c r="R1080" t="str">
        <f t="shared" si="109"/>
        <v/>
      </c>
      <c r="T1080">
        <f t="shared" si="110"/>
        <v>2985</v>
      </c>
    </row>
    <row r="1081" spans="1:20" ht="14.1" customHeight="1" outlineLevel="3" x14ac:dyDescent="0.2">
      <c r="A1081" t="str">
        <f t="shared" si="106"/>
        <v/>
      </c>
      <c r="E1081" s="1"/>
      <c r="F1081" s="1"/>
      <c r="G1081" s="2"/>
      <c r="I1081" s="2"/>
      <c r="P1081" t="str">
        <f t="shared" si="107"/>
        <v/>
      </c>
      <c r="Q1081" t="str">
        <f t="shared" si="108"/>
        <v/>
      </c>
      <c r="R1081" t="str">
        <f t="shared" si="109"/>
        <v/>
      </c>
      <c r="T1081">
        <f t="shared" si="110"/>
        <v>2985</v>
      </c>
    </row>
    <row r="1082" spans="1:20" outlineLevel="2" x14ac:dyDescent="0.2">
      <c r="A1082" t="str">
        <f t="shared" si="106"/>
        <v/>
      </c>
      <c r="E1082" s="1"/>
      <c r="F1082" s="1"/>
      <c r="G1082" s="2"/>
      <c r="I1082" s="2"/>
      <c r="P1082" t="str">
        <f t="shared" si="107"/>
        <v/>
      </c>
      <c r="Q1082" t="str">
        <f t="shared" si="108"/>
        <v/>
      </c>
      <c r="R1082" t="str">
        <f t="shared" si="109"/>
        <v/>
      </c>
      <c r="T1082">
        <f t="shared" si="110"/>
        <v>2985</v>
      </c>
    </row>
    <row r="1083" spans="1:20" ht="14.1" customHeight="1" outlineLevel="3" x14ac:dyDescent="0.2">
      <c r="A1083" t="str">
        <f t="shared" si="106"/>
        <v/>
      </c>
      <c r="E1083" s="1"/>
      <c r="F1083" s="1"/>
      <c r="G1083" s="2"/>
      <c r="I1083" s="2"/>
      <c r="P1083" t="str">
        <f t="shared" si="107"/>
        <v/>
      </c>
      <c r="Q1083" t="str">
        <f t="shared" si="108"/>
        <v/>
      </c>
      <c r="R1083" t="str">
        <f t="shared" si="109"/>
        <v/>
      </c>
      <c r="T1083">
        <f t="shared" si="110"/>
        <v>2985</v>
      </c>
    </row>
    <row r="1084" spans="1:20" ht="14.1" customHeight="1" outlineLevel="3" x14ac:dyDescent="0.2">
      <c r="A1084" t="str">
        <f t="shared" si="106"/>
        <v/>
      </c>
      <c r="E1084" s="1"/>
      <c r="F1084" s="1"/>
      <c r="G1084" s="2"/>
      <c r="I1084" s="2"/>
      <c r="P1084" t="str">
        <f t="shared" si="107"/>
        <v/>
      </c>
      <c r="Q1084" t="str">
        <f t="shared" si="108"/>
        <v/>
      </c>
      <c r="R1084" t="str">
        <f t="shared" si="109"/>
        <v/>
      </c>
      <c r="T1084">
        <f t="shared" si="110"/>
        <v>2985</v>
      </c>
    </row>
    <row r="1085" spans="1:20" ht="14.1" customHeight="1" outlineLevel="3" x14ac:dyDescent="0.2">
      <c r="A1085" t="str">
        <f t="shared" si="106"/>
        <v/>
      </c>
      <c r="E1085" s="1"/>
      <c r="F1085" s="1"/>
      <c r="G1085" s="2"/>
      <c r="I1085" s="2"/>
      <c r="P1085" t="str">
        <f t="shared" ref="P1085:P1086" si="112">IF(OR(K1085="",K1085=0),"",D1085&amp;N1085&amp;K1085&amp;M1085&amp;F1085&amp;G1085)</f>
        <v/>
      </c>
      <c r="Q1085" t="str">
        <f t="shared" si="108"/>
        <v/>
      </c>
      <c r="R1085" t="str">
        <f t="shared" si="109"/>
        <v/>
      </c>
      <c r="T1085">
        <f t="shared" si="110"/>
        <v>2985</v>
      </c>
    </row>
    <row r="1086" spans="1:20" ht="14.1" customHeight="1" outlineLevel="3" x14ac:dyDescent="0.2">
      <c r="A1086" t="str">
        <f t="shared" si="106"/>
        <v/>
      </c>
      <c r="E1086" s="1"/>
      <c r="F1086" s="1"/>
      <c r="G1086" s="2"/>
      <c r="I1086" s="2"/>
      <c r="P1086" t="str">
        <f t="shared" si="112"/>
        <v/>
      </c>
      <c r="Q1086" t="str">
        <f t="shared" si="108"/>
        <v/>
      </c>
      <c r="R1086" t="str">
        <f t="shared" si="109"/>
        <v/>
      </c>
      <c r="T1086">
        <f t="shared" si="110"/>
        <v>2985</v>
      </c>
    </row>
    <row r="1087" spans="1:20" ht="14.1" customHeight="1" outlineLevel="3" x14ac:dyDescent="0.2">
      <c r="A1087" t="str">
        <f t="shared" si="106"/>
        <v/>
      </c>
      <c r="E1087" s="1"/>
      <c r="F1087" s="1"/>
      <c r="G1087" s="2"/>
      <c r="I1087" s="2"/>
      <c r="P1087" t="str">
        <f t="shared" si="107"/>
        <v/>
      </c>
      <c r="Q1087" t="str">
        <f t="shared" si="108"/>
        <v/>
      </c>
      <c r="R1087" t="str">
        <f t="shared" si="109"/>
        <v/>
      </c>
      <c r="T1087">
        <f t="shared" si="110"/>
        <v>2985</v>
      </c>
    </row>
    <row r="1088" spans="1:20" ht="14.1" customHeight="1" outlineLevel="3" x14ac:dyDescent="0.2">
      <c r="A1088" t="str">
        <f t="shared" si="106"/>
        <v/>
      </c>
      <c r="E1088" s="1"/>
      <c r="F1088" s="1"/>
      <c r="G1088" s="2"/>
      <c r="I1088" s="2"/>
      <c r="P1088" t="str">
        <f t="shared" ref="P1088:P1103" si="113">IF(OR(K1088="",K1088=0),"",D1088&amp;N1088&amp;K1088&amp;M1088&amp;F1088&amp;G1088)</f>
        <v/>
      </c>
      <c r="Q1088" t="str">
        <f t="shared" si="108"/>
        <v/>
      </c>
      <c r="R1088" t="str">
        <f t="shared" si="109"/>
        <v/>
      </c>
      <c r="T1088">
        <f t="shared" si="110"/>
        <v>2985</v>
      </c>
    </row>
    <row r="1089" spans="1:20" ht="14.1" customHeight="1" outlineLevel="3" x14ac:dyDescent="0.2">
      <c r="A1089" t="str">
        <f t="shared" si="106"/>
        <v/>
      </c>
      <c r="E1089" s="1"/>
      <c r="F1089" s="1"/>
      <c r="G1089" s="2"/>
      <c r="I1089" s="2"/>
      <c r="P1089" t="str">
        <f t="shared" si="113"/>
        <v/>
      </c>
      <c r="Q1089" t="str">
        <f t="shared" si="108"/>
        <v/>
      </c>
      <c r="R1089" t="str">
        <f t="shared" si="109"/>
        <v/>
      </c>
      <c r="T1089">
        <f t="shared" si="110"/>
        <v>2985</v>
      </c>
    </row>
    <row r="1090" spans="1:20" ht="14.1" customHeight="1" outlineLevel="3" x14ac:dyDescent="0.2">
      <c r="A1090" t="str">
        <f t="shared" si="106"/>
        <v/>
      </c>
      <c r="E1090" s="1"/>
      <c r="F1090" s="1"/>
      <c r="G1090" s="2"/>
      <c r="I1090" s="2"/>
      <c r="P1090" t="str">
        <f t="shared" si="113"/>
        <v/>
      </c>
      <c r="Q1090" t="str">
        <f t="shared" si="108"/>
        <v/>
      </c>
      <c r="R1090" t="str">
        <f t="shared" si="109"/>
        <v/>
      </c>
      <c r="T1090">
        <f t="shared" si="110"/>
        <v>2985</v>
      </c>
    </row>
    <row r="1091" spans="1:20" ht="14.1" customHeight="1" outlineLevel="3" x14ac:dyDescent="0.2">
      <c r="A1091" t="str">
        <f t="shared" ref="A1091:A1154" si="114">IFERROR(IF(OR(K1091="",I1091=0),"",D1091&amp;K1091&amp;I1091),"")</f>
        <v/>
      </c>
      <c r="E1091" s="1"/>
      <c r="F1091" s="1"/>
      <c r="G1091" s="2"/>
      <c r="I1091" s="2"/>
      <c r="P1091" t="str">
        <f t="shared" si="113"/>
        <v/>
      </c>
      <c r="Q1091" t="str">
        <f t="shared" ref="Q1091:Q1154" si="115">IF(P1091="","",COUNTIF($P$2:$P$1448,$P1091))</f>
        <v/>
      </c>
      <c r="R1091" t="str">
        <f t="shared" ref="R1091:R1154" si="116">G1091&amp;K1091&amp;N1091</f>
        <v/>
      </c>
      <c r="T1091">
        <f t="shared" ref="T1091:T1154" si="117">COUNTIF($R$2:$R$2986,$R1091)</f>
        <v>2985</v>
      </c>
    </row>
    <row r="1092" spans="1:20" ht="14.1" customHeight="1" outlineLevel="3" x14ac:dyDescent="0.2">
      <c r="A1092" t="str">
        <f t="shared" si="114"/>
        <v/>
      </c>
      <c r="E1092" s="1"/>
      <c r="F1092" s="1"/>
      <c r="G1092" s="2"/>
      <c r="I1092" s="2"/>
      <c r="P1092" t="str">
        <f t="shared" si="113"/>
        <v/>
      </c>
      <c r="Q1092" t="str">
        <f t="shared" si="115"/>
        <v/>
      </c>
      <c r="R1092" t="str">
        <f t="shared" si="116"/>
        <v/>
      </c>
      <c r="T1092">
        <f t="shared" si="117"/>
        <v>2985</v>
      </c>
    </row>
    <row r="1093" spans="1:20" ht="14.1" customHeight="1" outlineLevel="3" x14ac:dyDescent="0.2">
      <c r="A1093" t="str">
        <f t="shared" si="114"/>
        <v/>
      </c>
      <c r="E1093" s="1"/>
      <c r="F1093" s="1"/>
      <c r="G1093" s="2"/>
      <c r="I1093" s="2"/>
      <c r="P1093" t="str">
        <f t="shared" si="113"/>
        <v/>
      </c>
      <c r="Q1093" t="str">
        <f t="shared" si="115"/>
        <v/>
      </c>
      <c r="R1093" t="str">
        <f t="shared" si="116"/>
        <v/>
      </c>
      <c r="T1093">
        <f t="shared" si="117"/>
        <v>2985</v>
      </c>
    </row>
    <row r="1094" spans="1:20" ht="14.1" customHeight="1" outlineLevel="3" x14ac:dyDescent="0.2">
      <c r="A1094" t="str">
        <f t="shared" si="114"/>
        <v/>
      </c>
      <c r="E1094" s="1"/>
      <c r="F1094" s="1"/>
      <c r="G1094" s="2"/>
      <c r="I1094" s="2"/>
      <c r="P1094" t="str">
        <f t="shared" si="113"/>
        <v/>
      </c>
      <c r="Q1094" t="str">
        <f t="shared" si="115"/>
        <v/>
      </c>
      <c r="R1094" t="str">
        <f t="shared" si="116"/>
        <v/>
      </c>
      <c r="T1094">
        <f t="shared" si="117"/>
        <v>2985</v>
      </c>
    </row>
    <row r="1095" spans="1:20" ht="14.1" customHeight="1" outlineLevel="3" x14ac:dyDescent="0.2">
      <c r="A1095" t="str">
        <f t="shared" si="114"/>
        <v/>
      </c>
      <c r="E1095" s="1"/>
      <c r="F1095" s="1"/>
      <c r="G1095" s="2"/>
      <c r="I1095" s="2"/>
      <c r="P1095" t="str">
        <f t="shared" si="113"/>
        <v/>
      </c>
      <c r="Q1095" t="str">
        <f t="shared" si="115"/>
        <v/>
      </c>
      <c r="R1095" t="str">
        <f t="shared" si="116"/>
        <v/>
      </c>
      <c r="T1095">
        <f t="shared" si="117"/>
        <v>2985</v>
      </c>
    </row>
    <row r="1096" spans="1:20" ht="14.1" customHeight="1" outlineLevel="3" x14ac:dyDescent="0.2">
      <c r="A1096" t="str">
        <f t="shared" si="114"/>
        <v/>
      </c>
      <c r="E1096" s="1"/>
      <c r="F1096" s="1"/>
      <c r="G1096" s="2"/>
      <c r="I1096" s="2"/>
      <c r="P1096" t="str">
        <f t="shared" si="113"/>
        <v/>
      </c>
      <c r="Q1096" t="str">
        <f t="shared" si="115"/>
        <v/>
      </c>
      <c r="R1096" t="str">
        <f t="shared" si="116"/>
        <v/>
      </c>
      <c r="T1096">
        <f t="shared" si="117"/>
        <v>2985</v>
      </c>
    </row>
    <row r="1097" spans="1:20" ht="14.1" customHeight="1" outlineLevel="3" x14ac:dyDescent="0.2">
      <c r="A1097" t="str">
        <f t="shared" si="114"/>
        <v/>
      </c>
      <c r="E1097" s="1"/>
      <c r="F1097" s="1"/>
      <c r="G1097" s="2"/>
      <c r="I1097" s="2"/>
      <c r="P1097" t="str">
        <f t="shared" si="113"/>
        <v/>
      </c>
      <c r="Q1097" t="str">
        <f t="shared" si="115"/>
        <v/>
      </c>
      <c r="R1097" t="str">
        <f t="shared" si="116"/>
        <v/>
      </c>
      <c r="T1097">
        <f t="shared" si="117"/>
        <v>2985</v>
      </c>
    </row>
    <row r="1098" spans="1:20" ht="14.1" customHeight="1" outlineLevel="3" x14ac:dyDescent="0.2">
      <c r="A1098" t="str">
        <f t="shared" si="114"/>
        <v/>
      </c>
      <c r="E1098" s="1"/>
      <c r="F1098" s="1"/>
      <c r="G1098" s="2"/>
      <c r="I1098" s="2"/>
      <c r="P1098" t="str">
        <f t="shared" si="113"/>
        <v/>
      </c>
      <c r="Q1098" t="str">
        <f t="shared" si="115"/>
        <v/>
      </c>
      <c r="R1098" t="str">
        <f t="shared" si="116"/>
        <v/>
      </c>
      <c r="T1098">
        <f t="shared" si="117"/>
        <v>2985</v>
      </c>
    </row>
    <row r="1099" spans="1:20" ht="14.1" customHeight="1" outlineLevel="3" x14ac:dyDescent="0.2">
      <c r="A1099" t="str">
        <f t="shared" si="114"/>
        <v/>
      </c>
      <c r="E1099" s="1"/>
      <c r="F1099" s="1"/>
      <c r="G1099" s="2"/>
      <c r="I1099" s="2"/>
      <c r="P1099" t="str">
        <f t="shared" si="113"/>
        <v/>
      </c>
      <c r="Q1099" t="str">
        <f t="shared" si="115"/>
        <v/>
      </c>
      <c r="R1099" t="str">
        <f t="shared" si="116"/>
        <v/>
      </c>
      <c r="T1099">
        <f t="shared" si="117"/>
        <v>2985</v>
      </c>
    </row>
    <row r="1100" spans="1:20" ht="14.1" customHeight="1" outlineLevel="3" x14ac:dyDescent="0.2">
      <c r="A1100" t="str">
        <f t="shared" si="114"/>
        <v/>
      </c>
      <c r="E1100" s="1"/>
      <c r="F1100" s="1"/>
      <c r="G1100" s="2"/>
      <c r="I1100" s="2"/>
      <c r="P1100" t="str">
        <f t="shared" si="113"/>
        <v/>
      </c>
      <c r="Q1100" t="str">
        <f t="shared" si="115"/>
        <v/>
      </c>
      <c r="R1100" t="str">
        <f t="shared" si="116"/>
        <v/>
      </c>
      <c r="T1100">
        <f t="shared" si="117"/>
        <v>2985</v>
      </c>
    </row>
    <row r="1101" spans="1:20" outlineLevel="2" x14ac:dyDescent="0.2">
      <c r="A1101" t="str">
        <f t="shared" si="114"/>
        <v/>
      </c>
      <c r="E1101" s="1"/>
      <c r="F1101" s="1"/>
      <c r="G1101" s="2"/>
      <c r="I1101" s="2"/>
      <c r="P1101" t="str">
        <f t="shared" si="113"/>
        <v/>
      </c>
      <c r="Q1101" t="str">
        <f t="shared" si="115"/>
        <v/>
      </c>
      <c r="R1101" t="str">
        <f t="shared" si="116"/>
        <v/>
      </c>
      <c r="T1101">
        <f t="shared" si="117"/>
        <v>2985</v>
      </c>
    </row>
    <row r="1102" spans="1:20" ht="14.1" customHeight="1" outlineLevel="3" x14ac:dyDescent="0.2">
      <c r="A1102" t="str">
        <f t="shared" si="114"/>
        <v/>
      </c>
      <c r="E1102" s="1"/>
      <c r="F1102" s="1"/>
      <c r="G1102" s="2"/>
      <c r="I1102" s="2"/>
      <c r="P1102" t="str">
        <f t="shared" si="113"/>
        <v/>
      </c>
      <c r="Q1102" t="str">
        <f t="shared" si="115"/>
        <v/>
      </c>
      <c r="R1102" t="str">
        <f t="shared" si="116"/>
        <v/>
      </c>
      <c r="T1102">
        <f t="shared" si="117"/>
        <v>2985</v>
      </c>
    </row>
    <row r="1103" spans="1:20" ht="14.1" customHeight="1" outlineLevel="3" x14ac:dyDescent="0.2">
      <c r="A1103" t="str">
        <f t="shared" si="114"/>
        <v/>
      </c>
      <c r="E1103" s="1"/>
      <c r="F1103" s="1"/>
      <c r="G1103" s="2"/>
      <c r="I1103" s="2"/>
      <c r="P1103" t="str">
        <f t="shared" si="113"/>
        <v/>
      </c>
      <c r="Q1103" t="str">
        <f t="shared" si="115"/>
        <v/>
      </c>
      <c r="R1103" t="str">
        <f t="shared" si="116"/>
        <v/>
      </c>
      <c r="T1103">
        <f t="shared" si="117"/>
        <v>2985</v>
      </c>
    </row>
    <row r="1104" spans="1:20" ht="14.1" customHeight="1" outlineLevel="3" x14ac:dyDescent="0.2">
      <c r="A1104" t="str">
        <f t="shared" si="114"/>
        <v/>
      </c>
      <c r="E1104" s="1"/>
      <c r="F1104" s="1"/>
      <c r="G1104" s="2"/>
      <c r="I1104" s="2"/>
      <c r="P1104" t="str">
        <f t="shared" ref="P1104:P1154" si="118">IF(OR(K1104="",K1104=0),"",D1104&amp;N1104&amp;K1104&amp;M1104&amp;F1104)</f>
        <v/>
      </c>
      <c r="Q1104" t="str">
        <f t="shared" si="115"/>
        <v/>
      </c>
      <c r="R1104" t="str">
        <f t="shared" si="116"/>
        <v/>
      </c>
      <c r="T1104">
        <f t="shared" si="117"/>
        <v>2985</v>
      </c>
    </row>
    <row r="1105" spans="1:20" ht="14.1" customHeight="1" outlineLevel="3" x14ac:dyDescent="0.2">
      <c r="A1105" t="str">
        <f t="shared" si="114"/>
        <v/>
      </c>
      <c r="E1105" s="1"/>
      <c r="F1105" s="1"/>
      <c r="G1105" s="2"/>
      <c r="I1105" s="2"/>
      <c r="P1105" t="str">
        <f t="shared" ref="P1105:P1108" si="119">IF(OR(K1105="",K1105=0),"",D1105&amp;N1105&amp;K1105&amp;M1105&amp;F1105&amp;G1105)</f>
        <v/>
      </c>
      <c r="Q1105" t="str">
        <f t="shared" si="115"/>
        <v/>
      </c>
      <c r="R1105" t="str">
        <f t="shared" si="116"/>
        <v/>
      </c>
      <c r="T1105">
        <f t="shared" si="117"/>
        <v>2985</v>
      </c>
    </row>
    <row r="1106" spans="1:20" ht="14.1" customHeight="1" outlineLevel="3" x14ac:dyDescent="0.2">
      <c r="A1106" t="str">
        <f t="shared" si="114"/>
        <v/>
      </c>
      <c r="E1106" s="1"/>
      <c r="F1106" s="1"/>
      <c r="G1106" s="2"/>
      <c r="I1106" s="2"/>
      <c r="P1106" t="str">
        <f t="shared" si="119"/>
        <v/>
      </c>
      <c r="Q1106" t="str">
        <f t="shared" si="115"/>
        <v/>
      </c>
      <c r="R1106" t="str">
        <f t="shared" si="116"/>
        <v/>
      </c>
      <c r="T1106">
        <f t="shared" si="117"/>
        <v>2985</v>
      </c>
    </row>
    <row r="1107" spans="1:20" ht="14.1" customHeight="1" outlineLevel="3" x14ac:dyDescent="0.2">
      <c r="A1107" t="str">
        <f t="shared" si="114"/>
        <v/>
      </c>
      <c r="E1107" s="1"/>
      <c r="F1107" s="1"/>
      <c r="G1107" s="2"/>
      <c r="I1107" s="2"/>
      <c r="P1107" t="str">
        <f t="shared" si="119"/>
        <v/>
      </c>
      <c r="Q1107" t="str">
        <f t="shared" si="115"/>
        <v/>
      </c>
      <c r="R1107" t="str">
        <f t="shared" si="116"/>
        <v/>
      </c>
      <c r="T1107">
        <f t="shared" si="117"/>
        <v>2985</v>
      </c>
    </row>
    <row r="1108" spans="1:20" outlineLevel="2" collapsed="1" x14ac:dyDescent="0.2">
      <c r="A1108" t="str">
        <f t="shared" si="114"/>
        <v/>
      </c>
      <c r="E1108" s="1"/>
      <c r="F1108" s="1"/>
      <c r="G1108" s="2"/>
      <c r="I1108" s="2"/>
      <c r="P1108" t="str">
        <f t="shared" si="119"/>
        <v/>
      </c>
      <c r="Q1108" t="str">
        <f t="shared" si="115"/>
        <v/>
      </c>
      <c r="R1108" t="str">
        <f t="shared" si="116"/>
        <v/>
      </c>
      <c r="T1108">
        <f t="shared" si="117"/>
        <v>2985</v>
      </c>
    </row>
    <row r="1109" spans="1:20" ht="14.1" customHeight="1" outlineLevel="3" x14ac:dyDescent="0.2">
      <c r="A1109" t="str">
        <f t="shared" si="114"/>
        <v/>
      </c>
      <c r="E1109" s="1"/>
      <c r="F1109" s="1"/>
      <c r="G1109" s="2"/>
      <c r="I1109" s="2"/>
      <c r="P1109" t="str">
        <f t="shared" si="118"/>
        <v/>
      </c>
      <c r="Q1109" t="str">
        <f t="shared" si="115"/>
        <v/>
      </c>
      <c r="R1109" t="str">
        <f t="shared" si="116"/>
        <v/>
      </c>
      <c r="T1109">
        <f t="shared" si="117"/>
        <v>2985</v>
      </c>
    </row>
    <row r="1110" spans="1:20" ht="14.1" customHeight="1" outlineLevel="3" x14ac:dyDescent="0.2">
      <c r="A1110" t="str">
        <f t="shared" si="114"/>
        <v/>
      </c>
      <c r="E1110" s="1"/>
      <c r="F1110" s="1"/>
      <c r="G1110" s="2"/>
      <c r="I1110" s="2"/>
      <c r="P1110" t="str">
        <f t="shared" si="118"/>
        <v/>
      </c>
      <c r="Q1110" t="str">
        <f t="shared" si="115"/>
        <v/>
      </c>
      <c r="R1110" t="str">
        <f t="shared" si="116"/>
        <v/>
      </c>
      <c r="T1110">
        <f t="shared" si="117"/>
        <v>2985</v>
      </c>
    </row>
    <row r="1111" spans="1:20" outlineLevel="2" x14ac:dyDescent="0.2">
      <c r="A1111" t="str">
        <f t="shared" si="114"/>
        <v/>
      </c>
      <c r="E1111" s="1"/>
      <c r="F1111" s="1"/>
      <c r="G1111" s="2"/>
      <c r="I1111" s="2"/>
      <c r="P1111" t="str">
        <f t="shared" ref="P1111:P1116" si="120">IF(OR(K1111="",K1111=0),"",D1111&amp;N1111&amp;K1111&amp;M1111&amp;F1111&amp;G1111)</f>
        <v/>
      </c>
      <c r="Q1111" t="str">
        <f t="shared" si="115"/>
        <v/>
      </c>
      <c r="R1111" t="str">
        <f t="shared" si="116"/>
        <v/>
      </c>
      <c r="T1111">
        <f t="shared" si="117"/>
        <v>2985</v>
      </c>
    </row>
    <row r="1112" spans="1:20" ht="14.1" customHeight="1" outlineLevel="3" x14ac:dyDescent="0.2">
      <c r="A1112" t="str">
        <f t="shared" si="114"/>
        <v/>
      </c>
      <c r="E1112" s="1"/>
      <c r="F1112" s="1"/>
      <c r="G1112" s="2"/>
      <c r="I1112" s="2"/>
      <c r="P1112" t="str">
        <f t="shared" si="120"/>
        <v/>
      </c>
      <c r="Q1112" t="str">
        <f t="shared" si="115"/>
        <v/>
      </c>
      <c r="R1112" t="str">
        <f t="shared" si="116"/>
        <v/>
      </c>
      <c r="T1112">
        <f t="shared" si="117"/>
        <v>2985</v>
      </c>
    </row>
    <row r="1113" spans="1:20" ht="14.1" customHeight="1" outlineLevel="3" x14ac:dyDescent="0.2">
      <c r="A1113" t="str">
        <f t="shared" si="114"/>
        <v/>
      </c>
      <c r="E1113" s="1"/>
      <c r="F1113" s="1"/>
      <c r="G1113" s="2"/>
      <c r="I1113" s="2"/>
      <c r="P1113" t="str">
        <f t="shared" si="120"/>
        <v/>
      </c>
      <c r="Q1113" t="str">
        <f t="shared" si="115"/>
        <v/>
      </c>
      <c r="R1113" t="str">
        <f t="shared" si="116"/>
        <v/>
      </c>
      <c r="T1113">
        <f t="shared" si="117"/>
        <v>2985</v>
      </c>
    </row>
    <row r="1114" spans="1:20" ht="14.1" customHeight="1" outlineLevel="3" x14ac:dyDescent="0.2">
      <c r="A1114" t="str">
        <f t="shared" si="114"/>
        <v/>
      </c>
      <c r="E1114" s="1"/>
      <c r="F1114" s="1"/>
      <c r="G1114" s="2"/>
      <c r="I1114" s="2"/>
      <c r="P1114" t="str">
        <f t="shared" si="120"/>
        <v/>
      </c>
      <c r="Q1114" t="str">
        <f t="shared" si="115"/>
        <v/>
      </c>
      <c r="R1114" t="str">
        <f t="shared" si="116"/>
        <v/>
      </c>
      <c r="T1114">
        <f t="shared" si="117"/>
        <v>2985</v>
      </c>
    </row>
    <row r="1115" spans="1:20" ht="14.1" customHeight="1" outlineLevel="3" x14ac:dyDescent="0.2">
      <c r="A1115" t="str">
        <f t="shared" si="114"/>
        <v/>
      </c>
      <c r="E1115" s="1"/>
      <c r="F1115" s="1"/>
      <c r="G1115" s="2"/>
      <c r="I1115" s="2"/>
      <c r="P1115" t="str">
        <f t="shared" si="120"/>
        <v/>
      </c>
      <c r="Q1115" t="str">
        <f t="shared" si="115"/>
        <v/>
      </c>
      <c r="R1115" t="str">
        <f t="shared" si="116"/>
        <v/>
      </c>
      <c r="T1115">
        <f t="shared" si="117"/>
        <v>2985</v>
      </c>
    </row>
    <row r="1116" spans="1:20" ht="14.1" customHeight="1" outlineLevel="3" x14ac:dyDescent="0.2">
      <c r="A1116" t="str">
        <f t="shared" si="114"/>
        <v/>
      </c>
      <c r="E1116" s="1"/>
      <c r="F1116" s="1"/>
      <c r="G1116" s="2"/>
      <c r="I1116" s="2"/>
      <c r="P1116" t="str">
        <f t="shared" si="120"/>
        <v/>
      </c>
      <c r="Q1116" t="str">
        <f t="shared" si="115"/>
        <v/>
      </c>
      <c r="R1116" t="str">
        <f t="shared" si="116"/>
        <v/>
      </c>
      <c r="T1116">
        <f t="shared" si="117"/>
        <v>2985</v>
      </c>
    </row>
    <row r="1117" spans="1:20" ht="14.1" customHeight="1" outlineLevel="3" x14ac:dyDescent="0.2">
      <c r="A1117" t="str">
        <f t="shared" si="114"/>
        <v/>
      </c>
      <c r="E1117" s="1"/>
      <c r="F1117" s="1"/>
      <c r="G1117" s="2"/>
      <c r="I1117" s="2"/>
      <c r="P1117" t="str">
        <f t="shared" si="118"/>
        <v/>
      </c>
      <c r="Q1117" t="str">
        <f t="shared" si="115"/>
        <v/>
      </c>
      <c r="R1117" t="str">
        <f t="shared" si="116"/>
        <v/>
      </c>
      <c r="T1117">
        <f t="shared" si="117"/>
        <v>2985</v>
      </c>
    </row>
    <row r="1118" spans="1:20" outlineLevel="2" x14ac:dyDescent="0.2">
      <c r="A1118" t="str">
        <f t="shared" si="114"/>
        <v/>
      </c>
      <c r="E1118" s="1"/>
      <c r="F1118" s="1"/>
      <c r="G1118" s="2"/>
      <c r="I1118" s="2"/>
      <c r="P1118" t="str">
        <f t="shared" si="118"/>
        <v/>
      </c>
      <c r="Q1118" t="str">
        <f t="shared" si="115"/>
        <v/>
      </c>
      <c r="R1118" t="str">
        <f t="shared" si="116"/>
        <v/>
      </c>
      <c r="T1118">
        <f t="shared" si="117"/>
        <v>2985</v>
      </c>
    </row>
    <row r="1119" spans="1:20" ht="14.1" customHeight="1" outlineLevel="3" x14ac:dyDescent="0.2">
      <c r="A1119" t="str">
        <f t="shared" si="114"/>
        <v/>
      </c>
      <c r="E1119" s="1"/>
      <c r="F1119" s="1"/>
      <c r="G1119" s="2"/>
      <c r="I1119" s="2"/>
      <c r="P1119" t="str">
        <f t="shared" si="118"/>
        <v/>
      </c>
      <c r="Q1119" t="str">
        <f t="shared" si="115"/>
        <v/>
      </c>
      <c r="R1119" t="str">
        <f t="shared" si="116"/>
        <v/>
      </c>
      <c r="T1119">
        <f t="shared" si="117"/>
        <v>2985</v>
      </c>
    </row>
    <row r="1120" spans="1:20" outlineLevel="2" x14ac:dyDescent="0.2">
      <c r="A1120" t="str">
        <f t="shared" si="114"/>
        <v/>
      </c>
      <c r="E1120" s="1"/>
      <c r="F1120" s="1"/>
      <c r="G1120" s="2"/>
      <c r="I1120" s="2"/>
      <c r="P1120" t="str">
        <f t="shared" si="118"/>
        <v/>
      </c>
      <c r="Q1120" t="str">
        <f t="shared" si="115"/>
        <v/>
      </c>
      <c r="R1120" t="str">
        <f t="shared" si="116"/>
        <v/>
      </c>
      <c r="T1120">
        <f t="shared" si="117"/>
        <v>2985</v>
      </c>
    </row>
    <row r="1121" spans="1:20" ht="14.1" customHeight="1" outlineLevel="3" x14ac:dyDescent="0.2">
      <c r="A1121" t="str">
        <f t="shared" si="114"/>
        <v/>
      </c>
      <c r="E1121" s="1"/>
      <c r="F1121" s="1"/>
      <c r="G1121" s="2"/>
      <c r="I1121" s="2"/>
      <c r="P1121" t="str">
        <f t="shared" si="118"/>
        <v/>
      </c>
      <c r="Q1121" t="str">
        <f t="shared" si="115"/>
        <v/>
      </c>
      <c r="R1121" t="str">
        <f t="shared" si="116"/>
        <v/>
      </c>
      <c r="T1121">
        <f t="shared" si="117"/>
        <v>2985</v>
      </c>
    </row>
    <row r="1122" spans="1:20" ht="14.1" customHeight="1" outlineLevel="3" x14ac:dyDescent="0.2">
      <c r="A1122" t="str">
        <f t="shared" si="114"/>
        <v/>
      </c>
      <c r="E1122" s="1"/>
      <c r="F1122" s="1"/>
      <c r="G1122" s="2"/>
      <c r="I1122" s="2"/>
      <c r="P1122" t="str">
        <f t="shared" si="118"/>
        <v/>
      </c>
      <c r="Q1122" t="str">
        <f t="shared" si="115"/>
        <v/>
      </c>
      <c r="R1122" t="str">
        <f t="shared" si="116"/>
        <v/>
      </c>
      <c r="T1122">
        <f t="shared" si="117"/>
        <v>2985</v>
      </c>
    </row>
    <row r="1123" spans="1:20" ht="14.1" customHeight="1" outlineLevel="3" x14ac:dyDescent="0.2">
      <c r="A1123" t="str">
        <f t="shared" si="114"/>
        <v/>
      </c>
      <c r="E1123" s="1"/>
      <c r="F1123" s="1"/>
      <c r="G1123" s="2"/>
      <c r="I1123" s="2"/>
      <c r="P1123" t="str">
        <f t="shared" si="118"/>
        <v/>
      </c>
      <c r="Q1123" t="str">
        <f t="shared" si="115"/>
        <v/>
      </c>
      <c r="R1123" t="str">
        <f t="shared" si="116"/>
        <v/>
      </c>
      <c r="T1123">
        <f t="shared" si="117"/>
        <v>2985</v>
      </c>
    </row>
    <row r="1124" spans="1:20" ht="14.1" customHeight="1" outlineLevel="3" x14ac:dyDescent="0.2">
      <c r="A1124" t="str">
        <f t="shared" si="114"/>
        <v/>
      </c>
      <c r="E1124" s="1"/>
      <c r="F1124" s="1"/>
      <c r="G1124" s="2"/>
      <c r="I1124" s="2"/>
      <c r="P1124" t="str">
        <f t="shared" si="118"/>
        <v/>
      </c>
      <c r="Q1124" t="str">
        <f t="shared" si="115"/>
        <v/>
      </c>
      <c r="R1124" t="str">
        <f t="shared" si="116"/>
        <v/>
      </c>
      <c r="T1124">
        <f t="shared" si="117"/>
        <v>2985</v>
      </c>
    </row>
    <row r="1125" spans="1:20" ht="14.1" customHeight="1" outlineLevel="3" x14ac:dyDescent="0.2">
      <c r="A1125" t="str">
        <f t="shared" si="114"/>
        <v/>
      </c>
      <c r="E1125" s="1"/>
      <c r="F1125" s="1"/>
      <c r="G1125" s="2"/>
      <c r="I1125" s="2"/>
      <c r="P1125" t="str">
        <f t="shared" si="118"/>
        <v/>
      </c>
      <c r="Q1125" t="str">
        <f t="shared" si="115"/>
        <v/>
      </c>
      <c r="R1125" t="str">
        <f t="shared" si="116"/>
        <v/>
      </c>
      <c r="T1125">
        <f t="shared" si="117"/>
        <v>2985</v>
      </c>
    </row>
    <row r="1126" spans="1:20" ht="14.1" customHeight="1" outlineLevel="3" x14ac:dyDescent="0.2">
      <c r="A1126" t="str">
        <f t="shared" si="114"/>
        <v/>
      </c>
      <c r="E1126" s="1"/>
      <c r="F1126" s="1"/>
      <c r="G1126" s="2"/>
      <c r="I1126" s="2"/>
      <c r="P1126" t="str">
        <f t="shared" si="118"/>
        <v/>
      </c>
      <c r="Q1126" t="str">
        <f t="shared" si="115"/>
        <v/>
      </c>
      <c r="R1126" t="str">
        <f t="shared" si="116"/>
        <v/>
      </c>
      <c r="T1126">
        <f t="shared" si="117"/>
        <v>2985</v>
      </c>
    </row>
    <row r="1127" spans="1:20" ht="14.1" customHeight="1" outlineLevel="3" x14ac:dyDescent="0.2">
      <c r="A1127" t="str">
        <f t="shared" si="114"/>
        <v/>
      </c>
      <c r="E1127" s="1"/>
      <c r="F1127" s="1"/>
      <c r="G1127" s="2"/>
      <c r="I1127" s="2"/>
      <c r="P1127" t="str">
        <f t="shared" si="118"/>
        <v/>
      </c>
      <c r="Q1127" t="str">
        <f t="shared" si="115"/>
        <v/>
      </c>
      <c r="R1127" t="str">
        <f t="shared" si="116"/>
        <v/>
      </c>
      <c r="T1127">
        <f t="shared" si="117"/>
        <v>2985</v>
      </c>
    </row>
    <row r="1128" spans="1:20" ht="14.1" customHeight="1" outlineLevel="3" x14ac:dyDescent="0.2">
      <c r="A1128" t="str">
        <f t="shared" si="114"/>
        <v/>
      </c>
      <c r="E1128" s="1"/>
      <c r="F1128" s="1"/>
      <c r="G1128" s="2"/>
      <c r="I1128" s="2"/>
      <c r="P1128" t="str">
        <f t="shared" si="118"/>
        <v/>
      </c>
      <c r="Q1128" t="str">
        <f t="shared" si="115"/>
        <v/>
      </c>
      <c r="R1128" t="str">
        <f t="shared" si="116"/>
        <v/>
      </c>
      <c r="T1128">
        <f t="shared" si="117"/>
        <v>2985</v>
      </c>
    </row>
    <row r="1129" spans="1:20" outlineLevel="2" x14ac:dyDescent="0.2">
      <c r="A1129" t="str">
        <f t="shared" si="114"/>
        <v/>
      </c>
      <c r="E1129" s="1"/>
      <c r="F1129" s="1"/>
      <c r="G1129" s="2"/>
      <c r="I1129" s="2"/>
      <c r="P1129" t="str">
        <f t="shared" si="118"/>
        <v/>
      </c>
      <c r="Q1129" t="str">
        <f t="shared" si="115"/>
        <v/>
      </c>
      <c r="R1129" t="str">
        <f t="shared" si="116"/>
        <v/>
      </c>
      <c r="T1129">
        <f t="shared" si="117"/>
        <v>2985</v>
      </c>
    </row>
    <row r="1130" spans="1:20" ht="14.1" customHeight="1" outlineLevel="3" x14ac:dyDescent="0.2">
      <c r="A1130" t="str">
        <f t="shared" si="114"/>
        <v/>
      </c>
      <c r="E1130" s="1"/>
      <c r="F1130" s="1"/>
      <c r="G1130" s="2"/>
      <c r="I1130" s="2"/>
      <c r="P1130" t="str">
        <f t="shared" si="118"/>
        <v/>
      </c>
      <c r="Q1130" t="str">
        <f t="shared" si="115"/>
        <v/>
      </c>
      <c r="R1130" t="str">
        <f t="shared" si="116"/>
        <v/>
      </c>
      <c r="T1130">
        <f t="shared" si="117"/>
        <v>2985</v>
      </c>
    </row>
    <row r="1131" spans="1:20" ht="14.1" customHeight="1" outlineLevel="3" x14ac:dyDescent="0.2">
      <c r="A1131" t="str">
        <f t="shared" si="114"/>
        <v/>
      </c>
      <c r="E1131" s="1"/>
      <c r="F1131" s="1"/>
      <c r="G1131" s="2"/>
      <c r="I1131" s="2"/>
      <c r="P1131" t="str">
        <f t="shared" si="118"/>
        <v/>
      </c>
      <c r="Q1131" t="str">
        <f t="shared" si="115"/>
        <v/>
      </c>
      <c r="R1131" t="str">
        <f t="shared" si="116"/>
        <v/>
      </c>
      <c r="T1131">
        <f t="shared" si="117"/>
        <v>2985</v>
      </c>
    </row>
    <row r="1132" spans="1:20" ht="14.1" customHeight="1" outlineLevel="3" x14ac:dyDescent="0.2">
      <c r="A1132" t="str">
        <f t="shared" si="114"/>
        <v/>
      </c>
      <c r="E1132" s="1"/>
      <c r="F1132" s="1"/>
      <c r="G1132" s="2"/>
      <c r="I1132" s="2"/>
      <c r="P1132" t="str">
        <f t="shared" si="118"/>
        <v/>
      </c>
      <c r="Q1132" t="str">
        <f t="shared" si="115"/>
        <v/>
      </c>
      <c r="R1132" t="str">
        <f t="shared" si="116"/>
        <v/>
      </c>
      <c r="T1132">
        <f t="shared" si="117"/>
        <v>2985</v>
      </c>
    </row>
    <row r="1133" spans="1:20" outlineLevel="2" x14ac:dyDescent="0.2">
      <c r="A1133" t="str">
        <f t="shared" si="114"/>
        <v/>
      </c>
      <c r="E1133" s="1"/>
      <c r="F1133" s="1"/>
      <c r="G1133" s="2"/>
      <c r="I1133" s="2"/>
      <c r="P1133" t="str">
        <f t="shared" si="118"/>
        <v/>
      </c>
      <c r="Q1133" t="str">
        <f t="shared" si="115"/>
        <v/>
      </c>
      <c r="R1133" t="str">
        <f t="shared" si="116"/>
        <v/>
      </c>
      <c r="T1133">
        <f t="shared" si="117"/>
        <v>2985</v>
      </c>
    </row>
    <row r="1134" spans="1:20" ht="14.1" customHeight="1" outlineLevel="3" x14ac:dyDescent="0.2">
      <c r="A1134" t="str">
        <f t="shared" si="114"/>
        <v/>
      </c>
      <c r="E1134" s="1"/>
      <c r="F1134" s="1"/>
      <c r="G1134" s="2"/>
      <c r="I1134" s="2"/>
      <c r="P1134" t="str">
        <f t="shared" si="118"/>
        <v/>
      </c>
      <c r="Q1134" t="str">
        <f t="shared" si="115"/>
        <v/>
      </c>
      <c r="R1134" t="str">
        <f t="shared" si="116"/>
        <v/>
      </c>
      <c r="T1134">
        <f t="shared" si="117"/>
        <v>2985</v>
      </c>
    </row>
    <row r="1135" spans="1:20" ht="14.1" customHeight="1" outlineLevel="3" x14ac:dyDescent="0.2">
      <c r="A1135" t="str">
        <f t="shared" si="114"/>
        <v/>
      </c>
      <c r="E1135" s="1"/>
      <c r="F1135" s="1"/>
      <c r="G1135" s="2"/>
      <c r="I1135" s="2"/>
      <c r="P1135" t="str">
        <f t="shared" si="118"/>
        <v/>
      </c>
      <c r="Q1135" t="str">
        <f t="shared" si="115"/>
        <v/>
      </c>
      <c r="R1135" t="str">
        <f t="shared" si="116"/>
        <v/>
      </c>
      <c r="T1135">
        <f t="shared" si="117"/>
        <v>2985</v>
      </c>
    </row>
    <row r="1136" spans="1:20" ht="14.1" customHeight="1" outlineLevel="3" x14ac:dyDescent="0.2">
      <c r="A1136" t="str">
        <f t="shared" si="114"/>
        <v/>
      </c>
      <c r="E1136" s="1"/>
      <c r="F1136" s="1"/>
      <c r="G1136" s="2"/>
      <c r="I1136" s="2"/>
      <c r="P1136" t="str">
        <f t="shared" si="118"/>
        <v/>
      </c>
      <c r="Q1136" t="str">
        <f t="shared" si="115"/>
        <v/>
      </c>
      <c r="R1136" t="str">
        <f t="shared" si="116"/>
        <v/>
      </c>
      <c r="T1136">
        <f t="shared" si="117"/>
        <v>2985</v>
      </c>
    </row>
    <row r="1137" spans="1:20" ht="14.1" customHeight="1" outlineLevel="3" x14ac:dyDescent="0.2">
      <c r="A1137" t="str">
        <f t="shared" si="114"/>
        <v/>
      </c>
      <c r="E1137" s="1"/>
      <c r="F1137" s="1"/>
      <c r="G1137" s="2"/>
      <c r="I1137" s="2"/>
      <c r="P1137" t="str">
        <f t="shared" si="118"/>
        <v/>
      </c>
      <c r="Q1137" t="str">
        <f t="shared" si="115"/>
        <v/>
      </c>
      <c r="R1137" t="str">
        <f t="shared" si="116"/>
        <v/>
      </c>
      <c r="T1137">
        <f t="shared" si="117"/>
        <v>2985</v>
      </c>
    </row>
    <row r="1138" spans="1:20" ht="14.1" customHeight="1" outlineLevel="3" x14ac:dyDescent="0.2">
      <c r="A1138" t="str">
        <f t="shared" si="114"/>
        <v/>
      </c>
      <c r="E1138" s="1"/>
      <c r="F1138" s="1"/>
      <c r="G1138" s="2"/>
      <c r="I1138" s="2"/>
      <c r="P1138" t="str">
        <f t="shared" si="118"/>
        <v/>
      </c>
      <c r="Q1138" t="str">
        <f t="shared" si="115"/>
        <v/>
      </c>
      <c r="R1138" t="str">
        <f t="shared" si="116"/>
        <v/>
      </c>
      <c r="T1138">
        <f t="shared" si="117"/>
        <v>2985</v>
      </c>
    </row>
    <row r="1139" spans="1:20" ht="14.1" customHeight="1" outlineLevel="3" x14ac:dyDescent="0.2">
      <c r="A1139" t="str">
        <f t="shared" si="114"/>
        <v/>
      </c>
      <c r="E1139" s="1"/>
      <c r="F1139" s="1"/>
      <c r="G1139" s="2"/>
      <c r="I1139" s="2"/>
      <c r="P1139" t="str">
        <f t="shared" si="118"/>
        <v/>
      </c>
      <c r="Q1139" t="str">
        <f t="shared" si="115"/>
        <v/>
      </c>
      <c r="R1139" t="str">
        <f t="shared" si="116"/>
        <v/>
      </c>
      <c r="T1139">
        <f t="shared" si="117"/>
        <v>2985</v>
      </c>
    </row>
    <row r="1140" spans="1:20" ht="14.1" customHeight="1" outlineLevel="3" x14ac:dyDescent="0.2">
      <c r="A1140" t="str">
        <f t="shared" si="114"/>
        <v/>
      </c>
      <c r="E1140" s="1"/>
      <c r="F1140" s="1"/>
      <c r="G1140" s="2"/>
      <c r="I1140" s="2"/>
      <c r="P1140" t="str">
        <f t="shared" si="118"/>
        <v/>
      </c>
      <c r="Q1140" t="str">
        <f t="shared" si="115"/>
        <v/>
      </c>
      <c r="R1140" t="str">
        <f t="shared" si="116"/>
        <v/>
      </c>
      <c r="T1140">
        <f t="shared" si="117"/>
        <v>2985</v>
      </c>
    </row>
    <row r="1141" spans="1:20" ht="14.1" customHeight="1" outlineLevel="3" x14ac:dyDescent="0.2">
      <c r="A1141" t="str">
        <f t="shared" si="114"/>
        <v/>
      </c>
      <c r="E1141" s="1"/>
      <c r="F1141" s="1"/>
      <c r="G1141" s="2"/>
      <c r="I1141" s="2"/>
      <c r="P1141" t="str">
        <f t="shared" si="118"/>
        <v/>
      </c>
      <c r="Q1141" t="str">
        <f t="shared" si="115"/>
        <v/>
      </c>
      <c r="R1141" t="str">
        <f t="shared" si="116"/>
        <v/>
      </c>
      <c r="T1141">
        <f t="shared" si="117"/>
        <v>2985</v>
      </c>
    </row>
    <row r="1142" spans="1:20" ht="14.1" customHeight="1" outlineLevel="3" x14ac:dyDescent="0.2">
      <c r="A1142" t="str">
        <f t="shared" si="114"/>
        <v/>
      </c>
      <c r="E1142" s="1"/>
      <c r="F1142" s="1"/>
      <c r="G1142" s="2"/>
      <c r="I1142" s="2"/>
      <c r="P1142" t="str">
        <f t="shared" si="118"/>
        <v/>
      </c>
      <c r="Q1142" t="str">
        <f t="shared" si="115"/>
        <v/>
      </c>
      <c r="R1142" t="str">
        <f t="shared" si="116"/>
        <v/>
      </c>
      <c r="T1142">
        <f t="shared" si="117"/>
        <v>2985</v>
      </c>
    </row>
    <row r="1143" spans="1:20" ht="14.1" customHeight="1" outlineLevel="3" x14ac:dyDescent="0.2">
      <c r="A1143" t="str">
        <f t="shared" si="114"/>
        <v/>
      </c>
      <c r="E1143" s="1"/>
      <c r="F1143" s="1"/>
      <c r="G1143" s="2"/>
      <c r="I1143" s="2"/>
      <c r="P1143" t="str">
        <f t="shared" si="118"/>
        <v/>
      </c>
      <c r="Q1143" t="str">
        <f t="shared" si="115"/>
        <v/>
      </c>
      <c r="R1143" t="str">
        <f t="shared" si="116"/>
        <v/>
      </c>
      <c r="T1143">
        <f t="shared" si="117"/>
        <v>2985</v>
      </c>
    </row>
    <row r="1144" spans="1:20" ht="14.1" customHeight="1" outlineLevel="3" x14ac:dyDescent="0.2">
      <c r="A1144" t="str">
        <f t="shared" si="114"/>
        <v/>
      </c>
      <c r="E1144" s="1"/>
      <c r="F1144" s="1"/>
      <c r="G1144" s="2"/>
      <c r="I1144" s="2"/>
      <c r="P1144" t="str">
        <f t="shared" si="118"/>
        <v/>
      </c>
      <c r="Q1144" t="str">
        <f t="shared" si="115"/>
        <v/>
      </c>
      <c r="R1144" t="str">
        <f t="shared" si="116"/>
        <v/>
      </c>
      <c r="T1144">
        <f t="shared" si="117"/>
        <v>2985</v>
      </c>
    </row>
    <row r="1145" spans="1:20" ht="14.1" customHeight="1" outlineLevel="3" x14ac:dyDescent="0.2">
      <c r="A1145" t="str">
        <f t="shared" si="114"/>
        <v/>
      </c>
      <c r="E1145" s="1"/>
      <c r="F1145" s="1"/>
      <c r="G1145" s="2"/>
      <c r="I1145" s="2"/>
      <c r="P1145" t="str">
        <f t="shared" si="118"/>
        <v/>
      </c>
      <c r="Q1145" t="str">
        <f t="shared" si="115"/>
        <v/>
      </c>
      <c r="R1145" t="str">
        <f t="shared" si="116"/>
        <v/>
      </c>
      <c r="T1145">
        <f t="shared" si="117"/>
        <v>2985</v>
      </c>
    </row>
    <row r="1146" spans="1:20" ht="14.1" customHeight="1" outlineLevel="3" x14ac:dyDescent="0.2">
      <c r="A1146" t="str">
        <f t="shared" si="114"/>
        <v/>
      </c>
      <c r="E1146" s="1"/>
      <c r="F1146" s="1"/>
      <c r="G1146" s="2"/>
      <c r="I1146" s="2"/>
      <c r="P1146" t="str">
        <f t="shared" si="118"/>
        <v/>
      </c>
      <c r="Q1146" t="str">
        <f t="shared" si="115"/>
        <v/>
      </c>
      <c r="R1146" t="str">
        <f t="shared" si="116"/>
        <v/>
      </c>
      <c r="T1146">
        <f t="shared" si="117"/>
        <v>2985</v>
      </c>
    </row>
    <row r="1147" spans="1:20" ht="14.1" customHeight="1" outlineLevel="3" x14ac:dyDescent="0.2">
      <c r="A1147" t="str">
        <f t="shared" si="114"/>
        <v/>
      </c>
      <c r="E1147" s="1"/>
      <c r="F1147" s="1"/>
      <c r="G1147" s="2"/>
      <c r="I1147" s="2"/>
      <c r="P1147" t="str">
        <f t="shared" si="118"/>
        <v/>
      </c>
      <c r="Q1147" t="str">
        <f t="shared" si="115"/>
        <v/>
      </c>
      <c r="R1147" t="str">
        <f t="shared" si="116"/>
        <v/>
      </c>
      <c r="T1147">
        <f t="shared" si="117"/>
        <v>2985</v>
      </c>
    </row>
    <row r="1148" spans="1:20" ht="14.1" customHeight="1" outlineLevel="3" x14ac:dyDescent="0.2">
      <c r="A1148" t="str">
        <f t="shared" si="114"/>
        <v/>
      </c>
      <c r="E1148" s="1"/>
      <c r="F1148" s="1"/>
      <c r="G1148" s="2"/>
      <c r="I1148" s="2"/>
      <c r="P1148" t="str">
        <f t="shared" si="118"/>
        <v/>
      </c>
      <c r="Q1148" t="str">
        <f t="shared" si="115"/>
        <v/>
      </c>
      <c r="R1148" t="str">
        <f t="shared" si="116"/>
        <v/>
      </c>
      <c r="T1148">
        <f t="shared" si="117"/>
        <v>2985</v>
      </c>
    </row>
    <row r="1149" spans="1:20" ht="14.1" customHeight="1" outlineLevel="3" x14ac:dyDescent="0.2">
      <c r="A1149" t="str">
        <f t="shared" si="114"/>
        <v/>
      </c>
      <c r="E1149" s="1"/>
      <c r="F1149" s="1"/>
      <c r="G1149" s="2"/>
      <c r="I1149" s="2"/>
      <c r="P1149" t="str">
        <f t="shared" si="118"/>
        <v/>
      </c>
      <c r="Q1149" t="str">
        <f t="shared" si="115"/>
        <v/>
      </c>
      <c r="R1149" t="str">
        <f t="shared" si="116"/>
        <v/>
      </c>
      <c r="T1149">
        <f t="shared" si="117"/>
        <v>2985</v>
      </c>
    </row>
    <row r="1150" spans="1:20" ht="14.1" customHeight="1" outlineLevel="3" x14ac:dyDescent="0.2">
      <c r="A1150" t="str">
        <f t="shared" si="114"/>
        <v/>
      </c>
      <c r="E1150" s="1"/>
      <c r="F1150" s="1"/>
      <c r="G1150" s="2"/>
      <c r="I1150" s="2"/>
      <c r="P1150" t="str">
        <f t="shared" si="118"/>
        <v/>
      </c>
      <c r="Q1150" t="str">
        <f t="shared" si="115"/>
        <v/>
      </c>
      <c r="R1150" t="str">
        <f t="shared" si="116"/>
        <v/>
      </c>
      <c r="T1150">
        <f t="shared" si="117"/>
        <v>2985</v>
      </c>
    </row>
    <row r="1151" spans="1:20" ht="14.1" customHeight="1" outlineLevel="3" x14ac:dyDescent="0.2">
      <c r="A1151" t="str">
        <f t="shared" si="114"/>
        <v/>
      </c>
      <c r="E1151" s="1"/>
      <c r="F1151" s="1"/>
      <c r="G1151" s="2"/>
      <c r="I1151" s="2"/>
      <c r="P1151" t="str">
        <f t="shared" si="118"/>
        <v/>
      </c>
      <c r="Q1151" t="str">
        <f t="shared" si="115"/>
        <v/>
      </c>
      <c r="R1151" t="str">
        <f t="shared" si="116"/>
        <v/>
      </c>
      <c r="T1151">
        <f t="shared" si="117"/>
        <v>2985</v>
      </c>
    </row>
    <row r="1152" spans="1:20" ht="14.1" customHeight="1" outlineLevel="3" x14ac:dyDescent="0.2">
      <c r="A1152" t="str">
        <f t="shared" si="114"/>
        <v/>
      </c>
      <c r="E1152" s="1"/>
      <c r="F1152" s="1"/>
      <c r="G1152" s="2"/>
      <c r="I1152" s="2"/>
      <c r="P1152" t="str">
        <f t="shared" si="118"/>
        <v/>
      </c>
      <c r="Q1152" t="str">
        <f t="shared" si="115"/>
        <v/>
      </c>
      <c r="R1152" t="str">
        <f t="shared" si="116"/>
        <v/>
      </c>
      <c r="T1152">
        <f t="shared" si="117"/>
        <v>2985</v>
      </c>
    </row>
    <row r="1153" spans="1:20" ht="14.1" customHeight="1" outlineLevel="3" x14ac:dyDescent="0.2">
      <c r="A1153" t="str">
        <f t="shared" si="114"/>
        <v/>
      </c>
      <c r="E1153" s="1"/>
      <c r="F1153" s="1"/>
      <c r="G1153" s="2"/>
      <c r="I1153" s="2"/>
      <c r="P1153" t="str">
        <f t="shared" si="118"/>
        <v/>
      </c>
      <c r="Q1153" t="str">
        <f t="shared" si="115"/>
        <v/>
      </c>
      <c r="R1153" t="str">
        <f t="shared" si="116"/>
        <v/>
      </c>
      <c r="T1153">
        <f t="shared" si="117"/>
        <v>2985</v>
      </c>
    </row>
    <row r="1154" spans="1:20" ht="14.1" customHeight="1" outlineLevel="3" x14ac:dyDescent="0.2">
      <c r="A1154" t="str">
        <f t="shared" si="114"/>
        <v/>
      </c>
      <c r="E1154" s="1"/>
      <c r="F1154" s="1"/>
      <c r="G1154" s="2"/>
      <c r="I1154" s="2"/>
      <c r="P1154" t="str">
        <f t="shared" si="118"/>
        <v/>
      </c>
      <c r="Q1154" t="str">
        <f t="shared" si="115"/>
        <v/>
      </c>
      <c r="R1154" t="str">
        <f t="shared" si="116"/>
        <v/>
      </c>
      <c r="T1154">
        <f t="shared" si="117"/>
        <v>2985</v>
      </c>
    </row>
    <row r="1155" spans="1:20" ht="14.1" customHeight="1" outlineLevel="3" x14ac:dyDescent="0.2">
      <c r="A1155" t="str">
        <f t="shared" ref="A1155:A1218" si="121">IFERROR(IF(OR(K1155="",I1155=0),"",D1155&amp;K1155&amp;I1155),"")</f>
        <v/>
      </c>
      <c r="E1155" s="1"/>
      <c r="F1155" s="1"/>
      <c r="G1155" s="2"/>
      <c r="I1155" s="2"/>
      <c r="P1155" t="str">
        <f t="shared" ref="P1155:P1218" si="122">IF(OR(K1155="",K1155=0),"",D1155&amp;N1155&amp;K1155&amp;M1155&amp;F1155)</f>
        <v/>
      </c>
      <c r="Q1155" t="str">
        <f t="shared" ref="Q1155:Q1218" si="123">IF(P1155="","",COUNTIF($P$2:$P$1448,$P1155))</f>
        <v/>
      </c>
      <c r="R1155" t="str">
        <f t="shared" ref="R1155:R1218" si="124">G1155&amp;K1155&amp;N1155</f>
        <v/>
      </c>
      <c r="T1155">
        <f t="shared" ref="T1155:T1218" si="125">COUNTIF($R$2:$R$2986,$R1155)</f>
        <v>2985</v>
      </c>
    </row>
    <row r="1156" spans="1:20" ht="14.1" customHeight="1" outlineLevel="3" x14ac:dyDescent="0.2">
      <c r="A1156" t="str">
        <f t="shared" si="121"/>
        <v/>
      </c>
      <c r="E1156" s="1"/>
      <c r="F1156" s="1"/>
      <c r="G1156" s="2"/>
      <c r="I1156" s="2"/>
      <c r="P1156" t="str">
        <f t="shared" si="122"/>
        <v/>
      </c>
      <c r="Q1156" t="str">
        <f t="shared" si="123"/>
        <v/>
      </c>
      <c r="R1156" t="str">
        <f t="shared" si="124"/>
        <v/>
      </c>
      <c r="T1156">
        <f t="shared" si="125"/>
        <v>2985</v>
      </c>
    </row>
    <row r="1157" spans="1:20" ht="14.1" customHeight="1" outlineLevel="3" x14ac:dyDescent="0.2">
      <c r="A1157" t="str">
        <f t="shared" si="121"/>
        <v/>
      </c>
      <c r="E1157" s="1"/>
      <c r="F1157" s="1"/>
      <c r="G1157" s="2"/>
      <c r="I1157" s="2"/>
      <c r="P1157" t="str">
        <f t="shared" si="122"/>
        <v/>
      </c>
      <c r="Q1157" t="str">
        <f t="shared" si="123"/>
        <v/>
      </c>
      <c r="R1157" t="str">
        <f t="shared" si="124"/>
        <v/>
      </c>
      <c r="T1157">
        <f t="shared" si="125"/>
        <v>2985</v>
      </c>
    </row>
    <row r="1158" spans="1:20" ht="14.1" customHeight="1" outlineLevel="3" x14ac:dyDescent="0.2">
      <c r="A1158" t="str">
        <f t="shared" si="121"/>
        <v/>
      </c>
      <c r="E1158" s="1"/>
      <c r="F1158" s="1"/>
      <c r="G1158" s="2"/>
      <c r="I1158" s="2"/>
      <c r="P1158" t="str">
        <f t="shared" si="122"/>
        <v/>
      </c>
      <c r="Q1158" t="str">
        <f t="shared" si="123"/>
        <v/>
      </c>
      <c r="R1158" t="str">
        <f t="shared" si="124"/>
        <v/>
      </c>
      <c r="T1158">
        <f t="shared" si="125"/>
        <v>2985</v>
      </c>
    </row>
    <row r="1159" spans="1:20" ht="14.1" customHeight="1" outlineLevel="3" x14ac:dyDescent="0.2">
      <c r="A1159" t="str">
        <f t="shared" si="121"/>
        <v/>
      </c>
      <c r="E1159" s="1"/>
      <c r="F1159" s="1"/>
      <c r="G1159" s="2"/>
      <c r="I1159" s="2"/>
      <c r="P1159" t="str">
        <f t="shared" si="122"/>
        <v/>
      </c>
      <c r="Q1159" t="str">
        <f t="shared" si="123"/>
        <v/>
      </c>
      <c r="R1159" t="str">
        <f t="shared" si="124"/>
        <v/>
      </c>
      <c r="T1159">
        <f t="shared" si="125"/>
        <v>2985</v>
      </c>
    </row>
    <row r="1160" spans="1:20" ht="14.1" customHeight="1" outlineLevel="3" x14ac:dyDescent="0.2">
      <c r="A1160" t="str">
        <f t="shared" si="121"/>
        <v/>
      </c>
      <c r="E1160" s="1"/>
      <c r="F1160" s="1"/>
      <c r="G1160" s="2"/>
      <c r="I1160" s="2"/>
      <c r="P1160" t="str">
        <f t="shared" si="122"/>
        <v/>
      </c>
      <c r="Q1160" t="str">
        <f t="shared" si="123"/>
        <v/>
      </c>
      <c r="R1160" t="str">
        <f t="shared" si="124"/>
        <v/>
      </c>
      <c r="T1160">
        <f t="shared" si="125"/>
        <v>2985</v>
      </c>
    </row>
    <row r="1161" spans="1:20" ht="14.1" customHeight="1" outlineLevel="3" x14ac:dyDescent="0.2">
      <c r="A1161" t="str">
        <f t="shared" si="121"/>
        <v/>
      </c>
      <c r="E1161" s="1"/>
      <c r="F1161" s="1"/>
      <c r="G1161" s="2"/>
      <c r="I1161" s="2"/>
      <c r="P1161" t="str">
        <f t="shared" si="122"/>
        <v/>
      </c>
      <c r="Q1161" t="str">
        <f t="shared" si="123"/>
        <v/>
      </c>
      <c r="R1161" t="str">
        <f t="shared" si="124"/>
        <v/>
      </c>
      <c r="T1161">
        <f t="shared" si="125"/>
        <v>2985</v>
      </c>
    </row>
    <row r="1162" spans="1:20" ht="14.1" customHeight="1" outlineLevel="3" x14ac:dyDescent="0.2">
      <c r="A1162" t="str">
        <f t="shared" si="121"/>
        <v/>
      </c>
      <c r="E1162" s="1"/>
      <c r="F1162" s="1"/>
      <c r="G1162" s="2"/>
      <c r="I1162" s="2"/>
      <c r="P1162" t="str">
        <f t="shared" si="122"/>
        <v/>
      </c>
      <c r="Q1162" t="str">
        <f t="shared" si="123"/>
        <v/>
      </c>
      <c r="R1162" t="str">
        <f t="shared" si="124"/>
        <v/>
      </c>
      <c r="T1162">
        <f t="shared" si="125"/>
        <v>2985</v>
      </c>
    </row>
    <row r="1163" spans="1:20" ht="14.1" customHeight="1" outlineLevel="3" x14ac:dyDescent="0.2">
      <c r="A1163" t="str">
        <f t="shared" si="121"/>
        <v/>
      </c>
      <c r="E1163" s="1"/>
      <c r="F1163" s="1"/>
      <c r="G1163" s="2"/>
      <c r="I1163" s="2"/>
      <c r="P1163" t="str">
        <f t="shared" si="122"/>
        <v/>
      </c>
      <c r="Q1163" t="str">
        <f t="shared" si="123"/>
        <v/>
      </c>
      <c r="R1163" t="str">
        <f t="shared" si="124"/>
        <v/>
      </c>
      <c r="T1163">
        <f t="shared" si="125"/>
        <v>2985</v>
      </c>
    </row>
    <row r="1164" spans="1:20" outlineLevel="2" x14ac:dyDescent="0.2">
      <c r="A1164" t="str">
        <f t="shared" si="121"/>
        <v/>
      </c>
      <c r="E1164" s="1"/>
      <c r="F1164" s="1"/>
      <c r="G1164" s="2"/>
      <c r="I1164" s="2"/>
      <c r="P1164" t="str">
        <f t="shared" si="122"/>
        <v/>
      </c>
      <c r="Q1164" t="str">
        <f t="shared" si="123"/>
        <v/>
      </c>
      <c r="R1164" t="str">
        <f t="shared" si="124"/>
        <v/>
      </c>
      <c r="T1164">
        <f t="shared" si="125"/>
        <v>2985</v>
      </c>
    </row>
    <row r="1165" spans="1:20" ht="14.1" customHeight="1" outlineLevel="3" x14ac:dyDescent="0.2">
      <c r="A1165" t="str">
        <f t="shared" si="121"/>
        <v/>
      </c>
      <c r="E1165" s="1"/>
      <c r="F1165" s="1"/>
      <c r="G1165" s="2"/>
      <c r="I1165" s="2"/>
      <c r="P1165" t="str">
        <f t="shared" si="122"/>
        <v/>
      </c>
      <c r="Q1165" t="str">
        <f t="shared" si="123"/>
        <v/>
      </c>
      <c r="R1165" t="str">
        <f t="shared" si="124"/>
        <v/>
      </c>
      <c r="T1165">
        <f t="shared" si="125"/>
        <v>2985</v>
      </c>
    </row>
    <row r="1166" spans="1:20" ht="14.1" customHeight="1" outlineLevel="3" x14ac:dyDescent="0.2">
      <c r="A1166" t="str">
        <f t="shared" si="121"/>
        <v/>
      </c>
      <c r="E1166" s="1"/>
      <c r="F1166" s="1"/>
      <c r="G1166" s="2"/>
      <c r="I1166" s="2"/>
      <c r="P1166" t="str">
        <f t="shared" si="122"/>
        <v/>
      </c>
      <c r="Q1166" t="str">
        <f t="shared" si="123"/>
        <v/>
      </c>
      <c r="R1166" t="str">
        <f t="shared" si="124"/>
        <v/>
      </c>
      <c r="T1166">
        <f t="shared" si="125"/>
        <v>2985</v>
      </c>
    </row>
    <row r="1167" spans="1:20" outlineLevel="2" x14ac:dyDescent="0.2">
      <c r="A1167" t="str">
        <f t="shared" si="121"/>
        <v/>
      </c>
      <c r="E1167" s="1"/>
      <c r="F1167" s="1"/>
      <c r="G1167" s="2"/>
      <c r="I1167" s="2"/>
      <c r="P1167" t="str">
        <f t="shared" si="122"/>
        <v/>
      </c>
      <c r="Q1167" t="str">
        <f t="shared" si="123"/>
        <v/>
      </c>
      <c r="R1167" t="str">
        <f t="shared" si="124"/>
        <v/>
      </c>
      <c r="T1167">
        <f t="shared" si="125"/>
        <v>2985</v>
      </c>
    </row>
    <row r="1168" spans="1:20" ht="14.1" customHeight="1" outlineLevel="3" x14ac:dyDescent="0.2">
      <c r="A1168" t="str">
        <f t="shared" si="121"/>
        <v/>
      </c>
      <c r="E1168" s="1"/>
      <c r="F1168" s="1"/>
      <c r="G1168" s="2"/>
      <c r="I1168" s="2"/>
      <c r="P1168" t="str">
        <f t="shared" si="122"/>
        <v/>
      </c>
      <c r="Q1168" t="str">
        <f t="shared" si="123"/>
        <v/>
      </c>
      <c r="R1168" t="str">
        <f t="shared" si="124"/>
        <v/>
      </c>
      <c r="T1168">
        <f t="shared" si="125"/>
        <v>2985</v>
      </c>
    </row>
    <row r="1169" spans="1:20" outlineLevel="2" collapsed="1" x14ac:dyDescent="0.2">
      <c r="A1169" t="str">
        <f t="shared" si="121"/>
        <v/>
      </c>
      <c r="E1169" s="1"/>
      <c r="F1169" s="1"/>
      <c r="G1169" s="2"/>
      <c r="I1169" s="2"/>
      <c r="P1169" t="str">
        <f t="shared" si="122"/>
        <v/>
      </c>
      <c r="Q1169" t="str">
        <f t="shared" si="123"/>
        <v/>
      </c>
      <c r="R1169" t="str">
        <f t="shared" si="124"/>
        <v/>
      </c>
      <c r="T1169">
        <f t="shared" si="125"/>
        <v>2985</v>
      </c>
    </row>
    <row r="1170" spans="1:20" outlineLevel="1" x14ac:dyDescent="0.2">
      <c r="A1170" t="str">
        <f t="shared" si="121"/>
        <v/>
      </c>
      <c r="E1170" s="1"/>
      <c r="F1170" s="1"/>
      <c r="G1170" s="2"/>
      <c r="I1170" s="2"/>
      <c r="P1170" t="str">
        <f t="shared" si="122"/>
        <v/>
      </c>
      <c r="Q1170" t="str">
        <f t="shared" si="123"/>
        <v/>
      </c>
      <c r="R1170" t="str">
        <f t="shared" si="124"/>
        <v/>
      </c>
      <c r="T1170">
        <f t="shared" si="125"/>
        <v>2985</v>
      </c>
    </row>
    <row r="1171" spans="1:20" ht="14.1" customHeight="1" outlineLevel="3" x14ac:dyDescent="0.2">
      <c r="A1171" t="str">
        <f t="shared" si="121"/>
        <v/>
      </c>
      <c r="E1171" s="1"/>
      <c r="F1171" s="1"/>
      <c r="G1171" s="2"/>
      <c r="I1171" s="2"/>
      <c r="P1171" t="str">
        <f t="shared" si="122"/>
        <v/>
      </c>
      <c r="Q1171" t="str">
        <f t="shared" si="123"/>
        <v/>
      </c>
      <c r="R1171" t="str">
        <f t="shared" si="124"/>
        <v/>
      </c>
      <c r="T1171">
        <f t="shared" si="125"/>
        <v>2985</v>
      </c>
    </row>
    <row r="1172" spans="1:20" ht="14.1" customHeight="1" outlineLevel="3" x14ac:dyDescent="0.2">
      <c r="A1172" t="str">
        <f t="shared" si="121"/>
        <v/>
      </c>
      <c r="E1172" s="1"/>
      <c r="F1172" s="1"/>
      <c r="G1172" s="2"/>
      <c r="I1172" s="2"/>
      <c r="P1172" t="str">
        <f t="shared" si="122"/>
        <v/>
      </c>
      <c r="Q1172" t="str">
        <f t="shared" si="123"/>
        <v/>
      </c>
      <c r="R1172" t="str">
        <f t="shared" si="124"/>
        <v/>
      </c>
      <c r="T1172">
        <f t="shared" si="125"/>
        <v>2985</v>
      </c>
    </row>
    <row r="1173" spans="1:20" ht="14.1" customHeight="1" outlineLevel="3" x14ac:dyDescent="0.2">
      <c r="A1173" t="str">
        <f t="shared" si="121"/>
        <v/>
      </c>
      <c r="E1173" s="1"/>
      <c r="F1173" s="1"/>
      <c r="G1173" s="2"/>
      <c r="I1173" s="2"/>
      <c r="P1173" t="str">
        <f t="shared" si="122"/>
        <v/>
      </c>
      <c r="Q1173" t="str">
        <f t="shared" si="123"/>
        <v/>
      </c>
      <c r="R1173" t="str">
        <f t="shared" si="124"/>
        <v/>
      </c>
      <c r="T1173">
        <f t="shared" si="125"/>
        <v>2985</v>
      </c>
    </row>
    <row r="1174" spans="1:20" ht="14.1" customHeight="1" outlineLevel="3" x14ac:dyDescent="0.2">
      <c r="A1174" t="str">
        <f t="shared" si="121"/>
        <v/>
      </c>
      <c r="E1174" s="1"/>
      <c r="F1174" s="1"/>
      <c r="G1174" s="2"/>
      <c r="I1174" s="2"/>
      <c r="P1174" t="str">
        <f t="shared" si="122"/>
        <v/>
      </c>
      <c r="Q1174" t="str">
        <f t="shared" si="123"/>
        <v/>
      </c>
      <c r="R1174" t="str">
        <f t="shared" si="124"/>
        <v/>
      </c>
      <c r="T1174">
        <f t="shared" si="125"/>
        <v>2985</v>
      </c>
    </row>
    <row r="1175" spans="1:20" ht="14.1" customHeight="1" outlineLevel="3" x14ac:dyDescent="0.2">
      <c r="A1175" t="str">
        <f t="shared" si="121"/>
        <v/>
      </c>
      <c r="E1175" s="1"/>
      <c r="F1175" s="1"/>
      <c r="G1175" s="2"/>
      <c r="I1175" s="2"/>
      <c r="P1175" t="str">
        <f t="shared" si="122"/>
        <v/>
      </c>
      <c r="Q1175" t="str">
        <f t="shared" si="123"/>
        <v/>
      </c>
      <c r="R1175" t="str">
        <f t="shared" si="124"/>
        <v/>
      </c>
      <c r="T1175">
        <f t="shared" si="125"/>
        <v>2985</v>
      </c>
    </row>
    <row r="1176" spans="1:20" ht="14.1" customHeight="1" outlineLevel="3" x14ac:dyDescent="0.2">
      <c r="A1176" t="str">
        <f t="shared" si="121"/>
        <v/>
      </c>
      <c r="E1176" s="1"/>
      <c r="F1176" s="1"/>
      <c r="G1176" s="2"/>
      <c r="I1176" s="2"/>
      <c r="P1176" t="str">
        <f t="shared" si="122"/>
        <v/>
      </c>
      <c r="Q1176" t="str">
        <f t="shared" si="123"/>
        <v/>
      </c>
      <c r="R1176" t="str">
        <f t="shared" si="124"/>
        <v/>
      </c>
      <c r="T1176">
        <f t="shared" si="125"/>
        <v>2985</v>
      </c>
    </row>
    <row r="1177" spans="1:20" ht="14.1" customHeight="1" outlineLevel="3" x14ac:dyDescent="0.2">
      <c r="A1177" t="str">
        <f t="shared" si="121"/>
        <v/>
      </c>
      <c r="E1177" s="1"/>
      <c r="F1177" s="1"/>
      <c r="G1177" s="2"/>
      <c r="I1177" s="2"/>
      <c r="P1177" t="str">
        <f t="shared" si="122"/>
        <v/>
      </c>
      <c r="Q1177" t="str">
        <f t="shared" si="123"/>
        <v/>
      </c>
      <c r="R1177" t="str">
        <f t="shared" si="124"/>
        <v/>
      </c>
      <c r="T1177">
        <f t="shared" si="125"/>
        <v>2985</v>
      </c>
    </row>
    <row r="1178" spans="1:20" ht="14.1" customHeight="1" outlineLevel="3" x14ac:dyDescent="0.2">
      <c r="A1178" t="str">
        <f t="shared" si="121"/>
        <v/>
      </c>
      <c r="E1178" s="1"/>
      <c r="F1178" s="1"/>
      <c r="G1178" s="2"/>
      <c r="I1178" s="2"/>
      <c r="P1178" t="str">
        <f t="shared" si="122"/>
        <v/>
      </c>
      <c r="Q1178" t="str">
        <f t="shared" si="123"/>
        <v/>
      </c>
      <c r="R1178" t="str">
        <f t="shared" si="124"/>
        <v/>
      </c>
      <c r="T1178">
        <f t="shared" si="125"/>
        <v>2985</v>
      </c>
    </row>
    <row r="1179" spans="1:20" ht="14.1" customHeight="1" outlineLevel="3" x14ac:dyDescent="0.2">
      <c r="A1179" t="str">
        <f t="shared" si="121"/>
        <v/>
      </c>
      <c r="E1179" s="1"/>
      <c r="F1179" s="1"/>
      <c r="G1179" s="2"/>
      <c r="I1179" s="2"/>
      <c r="P1179" t="str">
        <f t="shared" si="122"/>
        <v/>
      </c>
      <c r="Q1179" t="str">
        <f t="shared" si="123"/>
        <v/>
      </c>
      <c r="R1179" t="str">
        <f t="shared" si="124"/>
        <v/>
      </c>
      <c r="T1179">
        <f t="shared" si="125"/>
        <v>2985</v>
      </c>
    </row>
    <row r="1180" spans="1:20" ht="14.1" customHeight="1" outlineLevel="3" x14ac:dyDescent="0.2">
      <c r="A1180" t="str">
        <f t="shared" si="121"/>
        <v/>
      </c>
      <c r="E1180" s="1"/>
      <c r="F1180" s="1"/>
      <c r="G1180" s="2"/>
      <c r="I1180" s="2"/>
      <c r="P1180" t="str">
        <f t="shared" si="122"/>
        <v/>
      </c>
      <c r="Q1180" t="str">
        <f t="shared" si="123"/>
        <v/>
      </c>
      <c r="R1180" t="str">
        <f t="shared" si="124"/>
        <v/>
      </c>
      <c r="T1180">
        <f t="shared" si="125"/>
        <v>2985</v>
      </c>
    </row>
    <row r="1181" spans="1:20" ht="14.1" customHeight="1" outlineLevel="3" x14ac:dyDescent="0.2">
      <c r="A1181" t="str">
        <f t="shared" si="121"/>
        <v/>
      </c>
      <c r="E1181" s="1"/>
      <c r="F1181" s="1"/>
      <c r="G1181" s="2"/>
      <c r="I1181" s="2"/>
      <c r="P1181" t="str">
        <f t="shared" si="122"/>
        <v/>
      </c>
      <c r="Q1181" t="str">
        <f t="shared" si="123"/>
        <v/>
      </c>
      <c r="R1181" t="str">
        <f t="shared" si="124"/>
        <v/>
      </c>
      <c r="T1181">
        <f t="shared" si="125"/>
        <v>2985</v>
      </c>
    </row>
    <row r="1182" spans="1:20" ht="14.1" customHeight="1" outlineLevel="3" x14ac:dyDescent="0.2">
      <c r="A1182" t="str">
        <f t="shared" si="121"/>
        <v/>
      </c>
      <c r="E1182" s="1"/>
      <c r="F1182" s="1"/>
      <c r="G1182" s="2"/>
      <c r="I1182" s="2"/>
      <c r="P1182" t="str">
        <f t="shared" si="122"/>
        <v/>
      </c>
      <c r="Q1182" t="str">
        <f t="shared" si="123"/>
        <v/>
      </c>
      <c r="R1182" t="str">
        <f t="shared" si="124"/>
        <v/>
      </c>
      <c r="T1182">
        <f t="shared" si="125"/>
        <v>2985</v>
      </c>
    </row>
    <row r="1183" spans="1:20" ht="14.1" customHeight="1" outlineLevel="3" x14ac:dyDescent="0.2">
      <c r="A1183" t="str">
        <f t="shared" si="121"/>
        <v/>
      </c>
      <c r="E1183" s="1"/>
      <c r="F1183" s="1"/>
      <c r="G1183" s="2"/>
      <c r="I1183" s="2"/>
      <c r="P1183" t="str">
        <f t="shared" si="122"/>
        <v/>
      </c>
      <c r="Q1183" t="str">
        <f t="shared" si="123"/>
        <v/>
      </c>
      <c r="R1183" t="str">
        <f t="shared" si="124"/>
        <v/>
      </c>
      <c r="T1183">
        <f t="shared" si="125"/>
        <v>2985</v>
      </c>
    </row>
    <row r="1184" spans="1:20" ht="14.1" customHeight="1" outlineLevel="3" x14ac:dyDescent="0.2">
      <c r="A1184" t="str">
        <f t="shared" si="121"/>
        <v/>
      </c>
      <c r="E1184" s="1"/>
      <c r="F1184" s="1"/>
      <c r="G1184" s="2"/>
      <c r="I1184" s="2"/>
      <c r="P1184" t="str">
        <f t="shared" si="122"/>
        <v/>
      </c>
      <c r="Q1184" t="str">
        <f t="shared" si="123"/>
        <v/>
      </c>
      <c r="R1184" t="str">
        <f t="shared" si="124"/>
        <v/>
      </c>
      <c r="T1184">
        <f t="shared" si="125"/>
        <v>2985</v>
      </c>
    </row>
    <row r="1185" spans="1:20" ht="14.1" customHeight="1" outlineLevel="3" x14ac:dyDescent="0.2">
      <c r="A1185" t="str">
        <f t="shared" si="121"/>
        <v/>
      </c>
      <c r="E1185" s="1"/>
      <c r="F1185" s="1"/>
      <c r="G1185" s="2"/>
      <c r="I1185" s="2"/>
      <c r="P1185" t="str">
        <f t="shared" si="122"/>
        <v/>
      </c>
      <c r="Q1185" t="str">
        <f t="shared" si="123"/>
        <v/>
      </c>
      <c r="R1185" t="str">
        <f t="shared" si="124"/>
        <v/>
      </c>
      <c r="T1185">
        <f t="shared" si="125"/>
        <v>2985</v>
      </c>
    </row>
    <row r="1186" spans="1:20" ht="14.1" customHeight="1" outlineLevel="3" x14ac:dyDescent="0.2">
      <c r="A1186" t="str">
        <f t="shared" si="121"/>
        <v/>
      </c>
      <c r="E1186" s="1"/>
      <c r="F1186" s="1"/>
      <c r="G1186" s="2"/>
      <c r="I1186" s="2"/>
      <c r="P1186" t="str">
        <f t="shared" si="122"/>
        <v/>
      </c>
      <c r="Q1186" t="str">
        <f t="shared" si="123"/>
        <v/>
      </c>
      <c r="R1186" t="str">
        <f t="shared" si="124"/>
        <v/>
      </c>
      <c r="T1186">
        <f t="shared" si="125"/>
        <v>2985</v>
      </c>
    </row>
    <row r="1187" spans="1:20" ht="14.1" customHeight="1" outlineLevel="3" x14ac:dyDescent="0.2">
      <c r="A1187" t="str">
        <f t="shared" si="121"/>
        <v/>
      </c>
      <c r="E1187" s="1"/>
      <c r="F1187" s="1"/>
      <c r="G1187" s="2"/>
      <c r="I1187" s="2"/>
      <c r="P1187" t="str">
        <f t="shared" si="122"/>
        <v/>
      </c>
      <c r="Q1187" t="str">
        <f t="shared" si="123"/>
        <v/>
      </c>
      <c r="R1187" t="str">
        <f t="shared" si="124"/>
        <v/>
      </c>
      <c r="T1187">
        <f t="shared" si="125"/>
        <v>2985</v>
      </c>
    </row>
    <row r="1188" spans="1:20" ht="14.1" customHeight="1" outlineLevel="3" x14ac:dyDescent="0.2">
      <c r="A1188" t="str">
        <f t="shared" si="121"/>
        <v/>
      </c>
      <c r="E1188" s="1"/>
      <c r="F1188" s="1"/>
      <c r="G1188" s="2"/>
      <c r="I1188" s="2"/>
      <c r="P1188" t="str">
        <f t="shared" si="122"/>
        <v/>
      </c>
      <c r="Q1188" t="str">
        <f t="shared" si="123"/>
        <v/>
      </c>
      <c r="R1188" t="str">
        <f t="shared" si="124"/>
        <v/>
      </c>
      <c r="T1188">
        <f t="shared" si="125"/>
        <v>2985</v>
      </c>
    </row>
    <row r="1189" spans="1:20" ht="14.1" customHeight="1" outlineLevel="3" x14ac:dyDescent="0.2">
      <c r="A1189" t="str">
        <f t="shared" si="121"/>
        <v/>
      </c>
      <c r="E1189" s="1"/>
      <c r="F1189" s="1"/>
      <c r="G1189" s="2"/>
      <c r="I1189" s="2"/>
      <c r="P1189" t="str">
        <f t="shared" si="122"/>
        <v/>
      </c>
      <c r="Q1189" t="str">
        <f t="shared" si="123"/>
        <v/>
      </c>
      <c r="R1189" t="str">
        <f t="shared" si="124"/>
        <v/>
      </c>
      <c r="T1189">
        <f t="shared" si="125"/>
        <v>2985</v>
      </c>
    </row>
    <row r="1190" spans="1:20" ht="14.1" customHeight="1" outlineLevel="3" x14ac:dyDescent="0.2">
      <c r="A1190" t="str">
        <f t="shared" si="121"/>
        <v/>
      </c>
      <c r="E1190" s="1"/>
      <c r="F1190" s="1"/>
      <c r="G1190" s="2"/>
      <c r="I1190" s="2"/>
      <c r="P1190" t="str">
        <f t="shared" si="122"/>
        <v/>
      </c>
      <c r="Q1190" t="str">
        <f t="shared" si="123"/>
        <v/>
      </c>
      <c r="R1190" t="str">
        <f t="shared" si="124"/>
        <v/>
      </c>
      <c r="T1190">
        <f t="shared" si="125"/>
        <v>2985</v>
      </c>
    </row>
    <row r="1191" spans="1:20" outlineLevel="2" x14ac:dyDescent="0.2">
      <c r="A1191" t="str">
        <f t="shared" si="121"/>
        <v/>
      </c>
      <c r="E1191" s="1"/>
      <c r="F1191" s="1"/>
      <c r="G1191" s="2"/>
      <c r="I1191" s="2"/>
      <c r="P1191" t="str">
        <f t="shared" si="122"/>
        <v/>
      </c>
      <c r="Q1191" t="str">
        <f t="shared" si="123"/>
        <v/>
      </c>
      <c r="R1191" t="str">
        <f t="shared" si="124"/>
        <v/>
      </c>
      <c r="T1191">
        <f t="shared" si="125"/>
        <v>2985</v>
      </c>
    </row>
    <row r="1192" spans="1:20" ht="14.1" customHeight="1" outlineLevel="3" x14ac:dyDescent="0.2">
      <c r="A1192" t="str">
        <f t="shared" si="121"/>
        <v/>
      </c>
      <c r="E1192" s="1"/>
      <c r="F1192" s="1"/>
      <c r="G1192" s="2"/>
      <c r="I1192" s="2"/>
      <c r="P1192" t="str">
        <f t="shared" si="122"/>
        <v/>
      </c>
      <c r="Q1192" t="str">
        <f t="shared" si="123"/>
        <v/>
      </c>
      <c r="R1192" t="str">
        <f t="shared" si="124"/>
        <v/>
      </c>
      <c r="T1192">
        <f t="shared" si="125"/>
        <v>2985</v>
      </c>
    </row>
    <row r="1193" spans="1:20" ht="14.1" customHeight="1" outlineLevel="3" x14ac:dyDescent="0.2">
      <c r="A1193" t="str">
        <f t="shared" si="121"/>
        <v/>
      </c>
      <c r="E1193" s="1"/>
      <c r="F1193" s="1"/>
      <c r="G1193" s="2"/>
      <c r="I1193" s="2"/>
      <c r="P1193" t="str">
        <f t="shared" si="122"/>
        <v/>
      </c>
      <c r="Q1193" t="str">
        <f t="shared" si="123"/>
        <v/>
      </c>
      <c r="R1193" t="str">
        <f t="shared" si="124"/>
        <v/>
      </c>
      <c r="T1193">
        <f t="shared" si="125"/>
        <v>2985</v>
      </c>
    </row>
    <row r="1194" spans="1:20" ht="14.1" customHeight="1" outlineLevel="3" x14ac:dyDescent="0.2">
      <c r="A1194" t="str">
        <f t="shared" si="121"/>
        <v/>
      </c>
      <c r="E1194" s="1"/>
      <c r="F1194" s="1"/>
      <c r="G1194" s="2"/>
      <c r="I1194" s="2"/>
      <c r="P1194" t="str">
        <f t="shared" si="122"/>
        <v/>
      </c>
      <c r="Q1194" t="str">
        <f t="shared" si="123"/>
        <v/>
      </c>
      <c r="R1194" t="str">
        <f t="shared" si="124"/>
        <v/>
      </c>
      <c r="T1194">
        <f t="shared" si="125"/>
        <v>2985</v>
      </c>
    </row>
    <row r="1195" spans="1:20" ht="14.1" customHeight="1" outlineLevel="3" x14ac:dyDescent="0.2">
      <c r="A1195" t="str">
        <f t="shared" si="121"/>
        <v/>
      </c>
      <c r="E1195" s="1"/>
      <c r="F1195" s="1"/>
      <c r="G1195" s="2"/>
      <c r="I1195" s="2"/>
      <c r="P1195" t="str">
        <f t="shared" si="122"/>
        <v/>
      </c>
      <c r="Q1195" t="str">
        <f t="shared" si="123"/>
        <v/>
      </c>
      <c r="R1195" t="str">
        <f t="shared" si="124"/>
        <v/>
      </c>
      <c r="T1195">
        <f t="shared" si="125"/>
        <v>2985</v>
      </c>
    </row>
    <row r="1196" spans="1:20" ht="14.1" customHeight="1" outlineLevel="3" x14ac:dyDescent="0.2">
      <c r="A1196" t="str">
        <f t="shared" si="121"/>
        <v/>
      </c>
      <c r="E1196" s="1"/>
      <c r="F1196" s="1"/>
      <c r="G1196" s="2"/>
      <c r="I1196" s="2"/>
      <c r="P1196" t="str">
        <f t="shared" si="122"/>
        <v/>
      </c>
      <c r="Q1196" t="str">
        <f t="shared" si="123"/>
        <v/>
      </c>
      <c r="R1196" t="str">
        <f t="shared" si="124"/>
        <v/>
      </c>
      <c r="T1196">
        <f t="shared" si="125"/>
        <v>2985</v>
      </c>
    </row>
    <row r="1197" spans="1:20" ht="14.1" customHeight="1" outlineLevel="3" x14ac:dyDescent="0.2">
      <c r="A1197" t="str">
        <f t="shared" si="121"/>
        <v/>
      </c>
      <c r="E1197" s="1"/>
      <c r="F1197" s="1"/>
      <c r="G1197" s="2"/>
      <c r="I1197" s="2"/>
      <c r="P1197" t="str">
        <f t="shared" si="122"/>
        <v/>
      </c>
      <c r="Q1197" t="str">
        <f t="shared" si="123"/>
        <v/>
      </c>
      <c r="R1197" t="str">
        <f t="shared" si="124"/>
        <v/>
      </c>
      <c r="T1197">
        <f t="shared" si="125"/>
        <v>2985</v>
      </c>
    </row>
    <row r="1198" spans="1:20" ht="14.1" customHeight="1" outlineLevel="3" x14ac:dyDescent="0.2">
      <c r="A1198" t="str">
        <f t="shared" si="121"/>
        <v/>
      </c>
      <c r="E1198" s="1"/>
      <c r="F1198" s="1"/>
      <c r="G1198" s="2"/>
      <c r="I1198" s="2"/>
      <c r="P1198" t="str">
        <f t="shared" si="122"/>
        <v/>
      </c>
      <c r="Q1198" t="str">
        <f t="shared" si="123"/>
        <v/>
      </c>
      <c r="R1198" t="str">
        <f t="shared" si="124"/>
        <v/>
      </c>
      <c r="T1198">
        <f t="shared" si="125"/>
        <v>2985</v>
      </c>
    </row>
    <row r="1199" spans="1:20" outlineLevel="2" x14ac:dyDescent="0.2">
      <c r="A1199" t="str">
        <f t="shared" si="121"/>
        <v/>
      </c>
      <c r="E1199" s="1"/>
      <c r="F1199" s="1"/>
      <c r="G1199" s="2"/>
      <c r="I1199" s="2"/>
      <c r="P1199" t="str">
        <f t="shared" si="122"/>
        <v/>
      </c>
      <c r="Q1199" t="str">
        <f t="shared" si="123"/>
        <v/>
      </c>
      <c r="R1199" t="str">
        <f t="shared" si="124"/>
        <v/>
      </c>
      <c r="T1199">
        <f t="shared" si="125"/>
        <v>2985</v>
      </c>
    </row>
    <row r="1200" spans="1:20" ht="14.1" customHeight="1" outlineLevel="3" x14ac:dyDescent="0.2">
      <c r="A1200" t="str">
        <f t="shared" si="121"/>
        <v/>
      </c>
      <c r="E1200" s="1"/>
      <c r="F1200" s="1"/>
      <c r="G1200" s="2"/>
      <c r="I1200" s="2"/>
      <c r="P1200" t="str">
        <f t="shared" si="122"/>
        <v/>
      </c>
      <c r="Q1200" t="str">
        <f t="shared" si="123"/>
        <v/>
      </c>
      <c r="R1200" t="str">
        <f t="shared" si="124"/>
        <v/>
      </c>
      <c r="T1200">
        <f t="shared" si="125"/>
        <v>2985</v>
      </c>
    </row>
    <row r="1201" spans="1:20" ht="14.1" customHeight="1" outlineLevel="3" x14ac:dyDescent="0.2">
      <c r="A1201" t="str">
        <f t="shared" si="121"/>
        <v/>
      </c>
      <c r="E1201" s="1"/>
      <c r="F1201" s="1"/>
      <c r="G1201" s="2"/>
      <c r="I1201" s="2"/>
      <c r="P1201" t="str">
        <f t="shared" si="122"/>
        <v/>
      </c>
      <c r="Q1201" t="str">
        <f t="shared" si="123"/>
        <v/>
      </c>
      <c r="R1201" t="str">
        <f t="shared" si="124"/>
        <v/>
      </c>
      <c r="T1201">
        <f t="shared" si="125"/>
        <v>2985</v>
      </c>
    </row>
    <row r="1202" spans="1:20" outlineLevel="2" x14ac:dyDescent="0.2">
      <c r="A1202" t="str">
        <f t="shared" si="121"/>
        <v/>
      </c>
      <c r="E1202" s="1"/>
      <c r="F1202" s="1"/>
      <c r="G1202" s="2"/>
      <c r="I1202" s="2"/>
      <c r="P1202" t="str">
        <f t="shared" si="122"/>
        <v/>
      </c>
      <c r="Q1202" t="str">
        <f t="shared" si="123"/>
        <v/>
      </c>
      <c r="R1202" t="str">
        <f t="shared" si="124"/>
        <v/>
      </c>
      <c r="T1202">
        <f t="shared" si="125"/>
        <v>2985</v>
      </c>
    </row>
    <row r="1203" spans="1:20" ht="14.1" customHeight="1" outlineLevel="3" x14ac:dyDescent="0.2">
      <c r="A1203" t="str">
        <f t="shared" si="121"/>
        <v/>
      </c>
      <c r="E1203" s="1"/>
      <c r="F1203" s="1"/>
      <c r="G1203" s="2"/>
      <c r="I1203" s="2"/>
      <c r="P1203" t="str">
        <f t="shared" si="122"/>
        <v/>
      </c>
      <c r="Q1203" t="str">
        <f t="shared" si="123"/>
        <v/>
      </c>
      <c r="R1203" t="str">
        <f t="shared" si="124"/>
        <v/>
      </c>
      <c r="T1203">
        <f t="shared" si="125"/>
        <v>2985</v>
      </c>
    </row>
    <row r="1204" spans="1:20" ht="14.1" customHeight="1" outlineLevel="3" x14ac:dyDescent="0.2">
      <c r="A1204" t="str">
        <f t="shared" si="121"/>
        <v/>
      </c>
      <c r="E1204" s="1"/>
      <c r="F1204" s="1"/>
      <c r="G1204" s="2"/>
      <c r="I1204" s="2"/>
      <c r="P1204" t="str">
        <f t="shared" ref="P1204:P1205" si="126">IF(OR(K1204="",K1204=0),"",D1204&amp;N1204&amp;K1204&amp;M1204&amp;F1204&amp;G1204)</f>
        <v/>
      </c>
      <c r="Q1204" t="str">
        <f t="shared" si="123"/>
        <v/>
      </c>
      <c r="R1204" t="str">
        <f t="shared" si="124"/>
        <v/>
      </c>
      <c r="T1204">
        <f t="shared" si="125"/>
        <v>2985</v>
      </c>
    </row>
    <row r="1205" spans="1:20" ht="14.1" customHeight="1" outlineLevel="3" x14ac:dyDescent="0.2">
      <c r="A1205" t="str">
        <f t="shared" si="121"/>
        <v/>
      </c>
      <c r="E1205" s="1"/>
      <c r="F1205" s="1"/>
      <c r="G1205" s="2"/>
      <c r="I1205" s="2"/>
      <c r="P1205" t="str">
        <f t="shared" si="126"/>
        <v/>
      </c>
      <c r="Q1205" t="str">
        <f t="shared" si="123"/>
        <v/>
      </c>
      <c r="R1205" t="str">
        <f t="shared" si="124"/>
        <v/>
      </c>
      <c r="T1205">
        <f t="shared" si="125"/>
        <v>2985</v>
      </c>
    </row>
    <row r="1206" spans="1:20" ht="14.1" customHeight="1" outlineLevel="3" x14ac:dyDescent="0.2">
      <c r="A1206" t="str">
        <f t="shared" si="121"/>
        <v/>
      </c>
      <c r="E1206" s="1"/>
      <c r="F1206" s="1"/>
      <c r="G1206" s="2"/>
      <c r="I1206" s="2"/>
      <c r="P1206" t="str">
        <f t="shared" si="122"/>
        <v/>
      </c>
      <c r="Q1206" t="str">
        <f t="shared" si="123"/>
        <v/>
      </c>
      <c r="R1206" t="str">
        <f t="shared" si="124"/>
        <v/>
      </c>
      <c r="T1206">
        <f t="shared" si="125"/>
        <v>2985</v>
      </c>
    </row>
    <row r="1207" spans="1:20" ht="14.1" customHeight="1" outlineLevel="3" x14ac:dyDescent="0.2">
      <c r="A1207" t="str">
        <f t="shared" si="121"/>
        <v/>
      </c>
      <c r="E1207" s="1"/>
      <c r="F1207" s="1"/>
      <c r="G1207" s="2"/>
      <c r="I1207" s="2"/>
      <c r="P1207" t="str">
        <f t="shared" si="122"/>
        <v/>
      </c>
      <c r="Q1207" t="str">
        <f t="shared" si="123"/>
        <v/>
      </c>
      <c r="R1207" t="str">
        <f t="shared" si="124"/>
        <v/>
      </c>
      <c r="T1207">
        <f t="shared" si="125"/>
        <v>2985</v>
      </c>
    </row>
    <row r="1208" spans="1:20" ht="14.1" customHeight="1" outlineLevel="3" x14ac:dyDescent="0.2">
      <c r="A1208" t="str">
        <f t="shared" si="121"/>
        <v/>
      </c>
      <c r="E1208" s="1"/>
      <c r="F1208" s="1"/>
      <c r="G1208" s="2"/>
      <c r="I1208" s="2"/>
      <c r="P1208" t="str">
        <f t="shared" si="122"/>
        <v/>
      </c>
      <c r="Q1208" t="str">
        <f t="shared" si="123"/>
        <v/>
      </c>
      <c r="R1208" t="str">
        <f t="shared" si="124"/>
        <v/>
      </c>
      <c r="T1208">
        <f t="shared" si="125"/>
        <v>2985</v>
      </c>
    </row>
    <row r="1209" spans="1:20" ht="14.1" customHeight="1" outlineLevel="3" x14ac:dyDescent="0.2">
      <c r="A1209" t="str">
        <f t="shared" si="121"/>
        <v/>
      </c>
      <c r="E1209" s="1"/>
      <c r="F1209" s="1"/>
      <c r="G1209" s="2"/>
      <c r="I1209" s="2"/>
      <c r="P1209" t="str">
        <f t="shared" si="122"/>
        <v/>
      </c>
      <c r="Q1209" t="str">
        <f t="shared" si="123"/>
        <v/>
      </c>
      <c r="R1209" t="str">
        <f t="shared" si="124"/>
        <v/>
      </c>
      <c r="T1209">
        <f t="shared" si="125"/>
        <v>2985</v>
      </c>
    </row>
    <row r="1210" spans="1:20" ht="14.1" customHeight="1" outlineLevel="3" x14ac:dyDescent="0.2">
      <c r="A1210" t="str">
        <f t="shared" si="121"/>
        <v/>
      </c>
      <c r="E1210" s="1"/>
      <c r="F1210" s="1"/>
      <c r="G1210" s="2"/>
      <c r="I1210" s="2"/>
      <c r="P1210" t="str">
        <f t="shared" si="122"/>
        <v/>
      </c>
      <c r="Q1210" t="str">
        <f t="shared" si="123"/>
        <v/>
      </c>
      <c r="R1210" t="str">
        <f t="shared" si="124"/>
        <v/>
      </c>
      <c r="T1210">
        <f t="shared" si="125"/>
        <v>2985</v>
      </c>
    </row>
    <row r="1211" spans="1:20" ht="14.1" customHeight="1" outlineLevel="3" x14ac:dyDescent="0.2">
      <c r="A1211" t="str">
        <f t="shared" si="121"/>
        <v/>
      </c>
      <c r="E1211" s="1"/>
      <c r="F1211" s="1"/>
      <c r="G1211" s="2"/>
      <c r="I1211" s="2"/>
      <c r="P1211" t="str">
        <f t="shared" si="122"/>
        <v/>
      </c>
      <c r="Q1211" t="str">
        <f t="shared" si="123"/>
        <v/>
      </c>
      <c r="R1211" t="str">
        <f t="shared" si="124"/>
        <v/>
      </c>
      <c r="T1211">
        <f t="shared" si="125"/>
        <v>2985</v>
      </c>
    </row>
    <row r="1212" spans="1:20" ht="14.1" customHeight="1" outlineLevel="3" x14ac:dyDescent="0.2">
      <c r="A1212" t="str">
        <f t="shared" si="121"/>
        <v/>
      </c>
      <c r="E1212" s="1"/>
      <c r="F1212" s="1"/>
      <c r="G1212" s="2"/>
      <c r="I1212" s="2"/>
      <c r="P1212" t="str">
        <f t="shared" si="122"/>
        <v/>
      </c>
      <c r="Q1212" t="str">
        <f t="shared" si="123"/>
        <v/>
      </c>
      <c r="R1212" t="str">
        <f t="shared" si="124"/>
        <v/>
      </c>
      <c r="T1212">
        <f t="shared" si="125"/>
        <v>2985</v>
      </c>
    </row>
    <row r="1213" spans="1:20" ht="14.1" customHeight="1" outlineLevel="3" x14ac:dyDescent="0.2">
      <c r="A1213" t="str">
        <f t="shared" si="121"/>
        <v/>
      </c>
      <c r="E1213" s="1"/>
      <c r="F1213" s="1"/>
      <c r="G1213" s="2"/>
      <c r="I1213" s="2"/>
      <c r="P1213" t="str">
        <f t="shared" si="122"/>
        <v/>
      </c>
      <c r="Q1213" t="str">
        <f t="shared" si="123"/>
        <v/>
      </c>
      <c r="R1213" t="str">
        <f t="shared" si="124"/>
        <v/>
      </c>
      <c r="T1213">
        <f t="shared" si="125"/>
        <v>2985</v>
      </c>
    </row>
    <row r="1214" spans="1:20" ht="14.1" customHeight="1" outlineLevel="3" x14ac:dyDescent="0.2">
      <c r="A1214" t="str">
        <f t="shared" si="121"/>
        <v/>
      </c>
      <c r="E1214" s="1"/>
      <c r="F1214" s="1"/>
      <c r="G1214" s="2"/>
      <c r="I1214" s="2"/>
      <c r="P1214" t="str">
        <f t="shared" si="122"/>
        <v/>
      </c>
      <c r="Q1214" t="str">
        <f t="shared" si="123"/>
        <v/>
      </c>
      <c r="R1214" t="str">
        <f t="shared" si="124"/>
        <v/>
      </c>
      <c r="T1214">
        <f t="shared" si="125"/>
        <v>2985</v>
      </c>
    </row>
    <row r="1215" spans="1:20" ht="14.1" customHeight="1" outlineLevel="3" x14ac:dyDescent="0.2">
      <c r="A1215" t="str">
        <f t="shared" si="121"/>
        <v/>
      </c>
      <c r="E1215" s="1"/>
      <c r="F1215" s="1"/>
      <c r="G1215" s="2"/>
      <c r="I1215" s="2"/>
      <c r="P1215" t="str">
        <f t="shared" si="122"/>
        <v/>
      </c>
      <c r="Q1215" t="str">
        <f t="shared" si="123"/>
        <v/>
      </c>
      <c r="R1215" t="str">
        <f t="shared" si="124"/>
        <v/>
      </c>
      <c r="T1215">
        <f t="shared" si="125"/>
        <v>2985</v>
      </c>
    </row>
    <row r="1216" spans="1:20" ht="14.1" customHeight="1" outlineLevel="3" x14ac:dyDescent="0.2">
      <c r="A1216" t="str">
        <f t="shared" si="121"/>
        <v/>
      </c>
      <c r="E1216" s="1"/>
      <c r="F1216" s="1"/>
      <c r="G1216" s="2"/>
      <c r="I1216" s="2"/>
      <c r="P1216" t="str">
        <f t="shared" si="122"/>
        <v/>
      </c>
      <c r="Q1216" t="str">
        <f t="shared" si="123"/>
        <v/>
      </c>
      <c r="R1216" t="str">
        <f t="shared" si="124"/>
        <v/>
      </c>
      <c r="T1216">
        <f t="shared" si="125"/>
        <v>2985</v>
      </c>
    </row>
    <row r="1217" spans="1:20" ht="14.1" customHeight="1" outlineLevel="3" x14ac:dyDescent="0.2">
      <c r="A1217" t="str">
        <f t="shared" si="121"/>
        <v/>
      </c>
      <c r="E1217" s="1"/>
      <c r="F1217" s="1"/>
      <c r="G1217" s="2"/>
      <c r="I1217" s="2"/>
      <c r="P1217" t="str">
        <f t="shared" si="122"/>
        <v/>
      </c>
      <c r="Q1217" t="str">
        <f t="shared" si="123"/>
        <v/>
      </c>
      <c r="R1217" t="str">
        <f t="shared" si="124"/>
        <v/>
      </c>
      <c r="T1217">
        <f t="shared" si="125"/>
        <v>2985</v>
      </c>
    </row>
    <row r="1218" spans="1:20" ht="14.1" customHeight="1" outlineLevel="3" x14ac:dyDescent="0.2">
      <c r="A1218" t="str">
        <f t="shared" si="121"/>
        <v/>
      </c>
      <c r="E1218" s="1"/>
      <c r="F1218" s="1"/>
      <c r="G1218" s="2"/>
      <c r="I1218" s="2"/>
      <c r="P1218" t="str">
        <f t="shared" si="122"/>
        <v/>
      </c>
      <c r="Q1218" t="str">
        <f t="shared" si="123"/>
        <v/>
      </c>
      <c r="R1218" t="str">
        <f t="shared" si="124"/>
        <v/>
      </c>
      <c r="T1218">
        <f t="shared" si="125"/>
        <v>2985</v>
      </c>
    </row>
    <row r="1219" spans="1:20" ht="14.1" customHeight="1" outlineLevel="3" x14ac:dyDescent="0.2">
      <c r="A1219" t="str">
        <f t="shared" ref="A1219:A1282" si="127">IFERROR(IF(OR(K1219="",I1219=0),"",D1219&amp;K1219&amp;I1219),"")</f>
        <v/>
      </c>
      <c r="E1219" s="1"/>
      <c r="F1219" s="1"/>
      <c r="G1219" s="2"/>
      <c r="I1219" s="2"/>
      <c r="P1219" t="str">
        <f t="shared" ref="P1219:P1282" si="128">IF(OR(K1219="",K1219=0),"",D1219&amp;N1219&amp;K1219&amp;M1219&amp;F1219)</f>
        <v/>
      </c>
      <c r="Q1219" t="str">
        <f t="shared" ref="Q1219:Q1282" si="129">IF(P1219="","",COUNTIF($P$2:$P$1448,$P1219))</f>
        <v/>
      </c>
      <c r="R1219" t="str">
        <f t="shared" ref="R1219:R1282" si="130">G1219&amp;K1219&amp;N1219</f>
        <v/>
      </c>
      <c r="T1219">
        <f t="shared" ref="T1219:T1282" si="131">COUNTIF($R$2:$R$2986,$R1219)</f>
        <v>2985</v>
      </c>
    </row>
    <row r="1220" spans="1:20" outlineLevel="2" x14ac:dyDescent="0.2">
      <c r="A1220" t="str">
        <f t="shared" si="127"/>
        <v/>
      </c>
      <c r="E1220" s="1"/>
      <c r="F1220" s="1"/>
      <c r="G1220" s="2"/>
      <c r="I1220" s="2"/>
      <c r="P1220" t="str">
        <f t="shared" si="128"/>
        <v/>
      </c>
      <c r="Q1220" t="str">
        <f t="shared" si="129"/>
        <v/>
      </c>
      <c r="R1220" t="str">
        <f t="shared" si="130"/>
        <v/>
      </c>
      <c r="T1220">
        <f t="shared" si="131"/>
        <v>2985</v>
      </c>
    </row>
    <row r="1221" spans="1:20" ht="14.1" customHeight="1" outlineLevel="3" x14ac:dyDescent="0.2">
      <c r="A1221" t="str">
        <f t="shared" si="127"/>
        <v/>
      </c>
      <c r="E1221" s="1"/>
      <c r="F1221" s="1"/>
      <c r="G1221" s="2"/>
      <c r="I1221" s="2"/>
      <c r="P1221" t="str">
        <f t="shared" si="128"/>
        <v/>
      </c>
      <c r="Q1221" t="str">
        <f t="shared" si="129"/>
        <v/>
      </c>
      <c r="R1221" t="str">
        <f t="shared" si="130"/>
        <v/>
      </c>
      <c r="T1221">
        <f t="shared" si="131"/>
        <v>2985</v>
      </c>
    </row>
    <row r="1222" spans="1:20" outlineLevel="2" x14ac:dyDescent="0.2">
      <c r="A1222" t="str">
        <f t="shared" si="127"/>
        <v/>
      </c>
      <c r="E1222" s="1"/>
      <c r="F1222" s="1"/>
      <c r="G1222" s="2"/>
      <c r="I1222" s="2"/>
      <c r="P1222" t="str">
        <f t="shared" si="128"/>
        <v/>
      </c>
      <c r="Q1222" t="str">
        <f t="shared" si="129"/>
        <v/>
      </c>
      <c r="R1222" t="str">
        <f t="shared" si="130"/>
        <v/>
      </c>
      <c r="T1222">
        <f t="shared" si="131"/>
        <v>2985</v>
      </c>
    </row>
    <row r="1223" spans="1:20" ht="14.1" customHeight="1" outlineLevel="3" x14ac:dyDescent="0.2">
      <c r="A1223" t="str">
        <f t="shared" si="127"/>
        <v/>
      </c>
      <c r="E1223" s="1"/>
      <c r="F1223" s="1"/>
      <c r="G1223" s="2"/>
      <c r="I1223" s="2"/>
      <c r="P1223" t="str">
        <f t="shared" si="128"/>
        <v/>
      </c>
      <c r="Q1223" t="str">
        <f t="shared" si="129"/>
        <v/>
      </c>
      <c r="R1223" t="str">
        <f t="shared" si="130"/>
        <v/>
      </c>
      <c r="T1223">
        <f t="shared" si="131"/>
        <v>2985</v>
      </c>
    </row>
    <row r="1224" spans="1:20" ht="14.1" customHeight="1" outlineLevel="3" x14ac:dyDescent="0.2">
      <c r="A1224" t="str">
        <f t="shared" si="127"/>
        <v/>
      </c>
      <c r="E1224" s="1"/>
      <c r="F1224" s="1"/>
      <c r="G1224" s="2"/>
      <c r="I1224" s="2"/>
      <c r="P1224" t="str">
        <f t="shared" si="128"/>
        <v/>
      </c>
      <c r="Q1224" t="str">
        <f t="shared" si="129"/>
        <v/>
      </c>
      <c r="R1224" t="str">
        <f t="shared" si="130"/>
        <v/>
      </c>
      <c r="T1224">
        <f t="shared" si="131"/>
        <v>2985</v>
      </c>
    </row>
    <row r="1225" spans="1:20" ht="14.1" customHeight="1" outlineLevel="3" x14ac:dyDescent="0.2">
      <c r="A1225" t="str">
        <f t="shared" si="127"/>
        <v/>
      </c>
      <c r="E1225" s="1"/>
      <c r="F1225" s="1"/>
      <c r="G1225" s="2"/>
      <c r="I1225" s="2"/>
      <c r="P1225" t="str">
        <f t="shared" si="128"/>
        <v/>
      </c>
      <c r="Q1225" t="str">
        <f t="shared" si="129"/>
        <v/>
      </c>
      <c r="R1225" t="str">
        <f t="shared" si="130"/>
        <v/>
      </c>
      <c r="T1225">
        <f t="shared" si="131"/>
        <v>2985</v>
      </c>
    </row>
    <row r="1226" spans="1:20" ht="14.1" customHeight="1" outlineLevel="3" x14ac:dyDescent="0.2">
      <c r="A1226" t="str">
        <f t="shared" si="127"/>
        <v/>
      </c>
      <c r="E1226" s="1"/>
      <c r="F1226" s="1"/>
      <c r="G1226" s="2"/>
      <c r="I1226" s="2"/>
      <c r="P1226" t="str">
        <f t="shared" si="128"/>
        <v/>
      </c>
      <c r="Q1226" t="str">
        <f t="shared" si="129"/>
        <v/>
      </c>
      <c r="R1226" t="str">
        <f t="shared" si="130"/>
        <v/>
      </c>
      <c r="T1226">
        <f t="shared" si="131"/>
        <v>2985</v>
      </c>
    </row>
    <row r="1227" spans="1:20" outlineLevel="2" x14ac:dyDescent="0.2">
      <c r="A1227" t="str">
        <f t="shared" si="127"/>
        <v/>
      </c>
      <c r="E1227" s="1"/>
      <c r="F1227" s="1"/>
      <c r="G1227" s="2"/>
      <c r="I1227" s="2"/>
      <c r="P1227" t="str">
        <f t="shared" si="128"/>
        <v/>
      </c>
      <c r="Q1227" t="str">
        <f t="shared" si="129"/>
        <v/>
      </c>
      <c r="R1227" t="str">
        <f t="shared" si="130"/>
        <v/>
      </c>
      <c r="T1227">
        <f t="shared" si="131"/>
        <v>2985</v>
      </c>
    </row>
    <row r="1228" spans="1:20" ht="14.1" customHeight="1" outlineLevel="3" x14ac:dyDescent="0.2">
      <c r="A1228" t="str">
        <f t="shared" si="127"/>
        <v/>
      </c>
      <c r="E1228" s="1"/>
      <c r="F1228" s="1"/>
      <c r="G1228" s="2"/>
      <c r="I1228" s="2"/>
      <c r="P1228" t="str">
        <f t="shared" ref="P1228:P1234" si="132">IF(OR(K1228="",K1228=0),"",D1228&amp;N1228&amp;K1228&amp;M1228&amp;F1228&amp;G1228)</f>
        <v/>
      </c>
      <c r="Q1228" t="str">
        <f t="shared" si="129"/>
        <v/>
      </c>
      <c r="R1228" t="str">
        <f t="shared" si="130"/>
        <v/>
      </c>
      <c r="T1228">
        <f t="shared" si="131"/>
        <v>2985</v>
      </c>
    </row>
    <row r="1229" spans="1:20" outlineLevel="2" x14ac:dyDescent="0.2">
      <c r="A1229" t="str">
        <f t="shared" si="127"/>
        <v/>
      </c>
      <c r="E1229" s="1"/>
      <c r="F1229" s="1"/>
      <c r="G1229" s="2"/>
      <c r="I1229" s="2"/>
      <c r="P1229" t="str">
        <f t="shared" si="132"/>
        <v/>
      </c>
      <c r="Q1229" t="str">
        <f t="shared" si="129"/>
        <v/>
      </c>
      <c r="R1229" t="str">
        <f t="shared" si="130"/>
        <v/>
      </c>
      <c r="T1229">
        <f t="shared" si="131"/>
        <v>2985</v>
      </c>
    </row>
    <row r="1230" spans="1:20" ht="14.1" customHeight="1" outlineLevel="3" x14ac:dyDescent="0.2">
      <c r="A1230" t="str">
        <f t="shared" si="127"/>
        <v/>
      </c>
      <c r="E1230" s="1"/>
      <c r="F1230" s="1"/>
      <c r="G1230" s="2"/>
      <c r="I1230" s="2"/>
      <c r="P1230" t="str">
        <f t="shared" si="132"/>
        <v/>
      </c>
      <c r="Q1230" t="str">
        <f t="shared" si="129"/>
        <v/>
      </c>
      <c r="R1230" t="str">
        <f t="shared" si="130"/>
        <v/>
      </c>
      <c r="T1230">
        <f t="shared" si="131"/>
        <v>2985</v>
      </c>
    </row>
    <row r="1231" spans="1:20" outlineLevel="2" x14ac:dyDescent="0.2">
      <c r="A1231" t="str">
        <f t="shared" si="127"/>
        <v/>
      </c>
      <c r="E1231" s="1"/>
      <c r="F1231" s="1"/>
      <c r="G1231" s="2"/>
      <c r="I1231" s="2"/>
      <c r="P1231" t="str">
        <f t="shared" si="132"/>
        <v/>
      </c>
      <c r="Q1231" t="str">
        <f t="shared" si="129"/>
        <v/>
      </c>
      <c r="R1231" t="str">
        <f t="shared" si="130"/>
        <v/>
      </c>
      <c r="T1231">
        <f t="shared" si="131"/>
        <v>2985</v>
      </c>
    </row>
    <row r="1232" spans="1:20" ht="14.1" customHeight="1" outlineLevel="3" x14ac:dyDescent="0.2">
      <c r="A1232" t="str">
        <f t="shared" si="127"/>
        <v/>
      </c>
      <c r="E1232" s="1"/>
      <c r="F1232" s="1"/>
      <c r="G1232" s="2"/>
      <c r="I1232" s="2"/>
      <c r="P1232" t="str">
        <f t="shared" si="132"/>
        <v/>
      </c>
      <c r="Q1232" t="str">
        <f t="shared" si="129"/>
        <v/>
      </c>
      <c r="R1232" t="str">
        <f t="shared" si="130"/>
        <v/>
      </c>
      <c r="T1232">
        <f t="shared" si="131"/>
        <v>2985</v>
      </c>
    </row>
    <row r="1233" spans="1:20" ht="14.1" customHeight="1" outlineLevel="3" x14ac:dyDescent="0.2">
      <c r="A1233" t="str">
        <f t="shared" si="127"/>
        <v/>
      </c>
      <c r="E1233" s="1"/>
      <c r="F1233" s="1"/>
      <c r="G1233" s="2"/>
      <c r="I1233" s="2"/>
      <c r="P1233" t="str">
        <f t="shared" si="132"/>
        <v/>
      </c>
      <c r="Q1233" t="str">
        <f t="shared" si="129"/>
        <v/>
      </c>
      <c r="R1233" t="str">
        <f t="shared" si="130"/>
        <v/>
      </c>
      <c r="T1233">
        <f t="shared" si="131"/>
        <v>2985</v>
      </c>
    </row>
    <row r="1234" spans="1:20" ht="14.1" customHeight="1" outlineLevel="3" x14ac:dyDescent="0.2">
      <c r="A1234" t="str">
        <f t="shared" si="127"/>
        <v/>
      </c>
      <c r="E1234" s="1"/>
      <c r="F1234" s="1"/>
      <c r="G1234" s="2"/>
      <c r="I1234" s="2"/>
      <c r="P1234" t="str">
        <f t="shared" si="132"/>
        <v/>
      </c>
      <c r="Q1234" t="str">
        <f t="shared" si="129"/>
        <v/>
      </c>
      <c r="R1234" t="str">
        <f t="shared" si="130"/>
        <v/>
      </c>
      <c r="T1234">
        <f t="shared" si="131"/>
        <v>2985</v>
      </c>
    </row>
    <row r="1235" spans="1:20" ht="14.1" customHeight="1" outlineLevel="3" x14ac:dyDescent="0.2">
      <c r="A1235" t="str">
        <f t="shared" si="127"/>
        <v/>
      </c>
      <c r="E1235" s="1"/>
      <c r="F1235" s="1"/>
      <c r="G1235" s="2"/>
      <c r="I1235" s="2"/>
      <c r="P1235" t="str">
        <f t="shared" si="128"/>
        <v/>
      </c>
      <c r="Q1235" t="str">
        <f t="shared" si="129"/>
        <v/>
      </c>
      <c r="R1235" t="str">
        <f t="shared" si="130"/>
        <v/>
      </c>
      <c r="T1235">
        <f t="shared" si="131"/>
        <v>2985</v>
      </c>
    </row>
    <row r="1236" spans="1:20" outlineLevel="2" x14ac:dyDescent="0.2">
      <c r="A1236" t="str">
        <f t="shared" si="127"/>
        <v/>
      </c>
      <c r="E1236" s="1"/>
      <c r="F1236" s="1"/>
      <c r="G1236" s="2"/>
      <c r="I1236" s="2"/>
      <c r="P1236" t="str">
        <f t="shared" si="128"/>
        <v/>
      </c>
      <c r="Q1236" t="str">
        <f t="shared" si="129"/>
        <v/>
      </c>
      <c r="R1236" t="str">
        <f t="shared" si="130"/>
        <v/>
      </c>
      <c r="T1236">
        <f t="shared" si="131"/>
        <v>2985</v>
      </c>
    </row>
    <row r="1237" spans="1:20" ht="14.1" customHeight="1" outlineLevel="3" x14ac:dyDescent="0.2">
      <c r="A1237" t="str">
        <f t="shared" si="127"/>
        <v/>
      </c>
      <c r="E1237" s="1"/>
      <c r="F1237" s="1"/>
      <c r="G1237" s="2"/>
      <c r="I1237" s="2"/>
      <c r="P1237" t="str">
        <f t="shared" si="128"/>
        <v/>
      </c>
      <c r="Q1237" t="str">
        <f t="shared" si="129"/>
        <v/>
      </c>
      <c r="R1237" t="str">
        <f t="shared" si="130"/>
        <v/>
      </c>
      <c r="T1237">
        <f t="shared" si="131"/>
        <v>2985</v>
      </c>
    </row>
    <row r="1238" spans="1:20" ht="14.1" customHeight="1" outlineLevel="3" x14ac:dyDescent="0.2">
      <c r="A1238" t="str">
        <f t="shared" si="127"/>
        <v/>
      </c>
      <c r="E1238" s="1"/>
      <c r="F1238" s="1"/>
      <c r="G1238" s="2"/>
      <c r="I1238" s="2"/>
      <c r="P1238" t="str">
        <f t="shared" si="128"/>
        <v/>
      </c>
      <c r="Q1238" t="str">
        <f t="shared" si="129"/>
        <v/>
      </c>
      <c r="R1238" t="str">
        <f t="shared" si="130"/>
        <v/>
      </c>
      <c r="T1238">
        <f t="shared" si="131"/>
        <v>2985</v>
      </c>
    </row>
    <row r="1239" spans="1:20" ht="14.1" customHeight="1" outlineLevel="3" x14ac:dyDescent="0.2">
      <c r="A1239" t="str">
        <f t="shared" si="127"/>
        <v/>
      </c>
      <c r="E1239" s="1"/>
      <c r="F1239" s="1"/>
      <c r="G1239" s="2"/>
      <c r="I1239" s="2"/>
      <c r="P1239" t="str">
        <f t="shared" si="128"/>
        <v/>
      </c>
      <c r="Q1239" t="str">
        <f t="shared" si="129"/>
        <v/>
      </c>
      <c r="R1239" t="str">
        <f t="shared" si="130"/>
        <v/>
      </c>
      <c r="T1239">
        <f t="shared" si="131"/>
        <v>2985</v>
      </c>
    </row>
    <row r="1240" spans="1:20" ht="14.1" customHeight="1" outlineLevel="3" x14ac:dyDescent="0.2">
      <c r="A1240" t="str">
        <f t="shared" si="127"/>
        <v/>
      </c>
      <c r="E1240" s="1"/>
      <c r="F1240" s="1"/>
      <c r="G1240" s="2"/>
      <c r="I1240" s="2"/>
      <c r="P1240" t="str">
        <f t="shared" si="128"/>
        <v/>
      </c>
      <c r="Q1240" t="str">
        <f t="shared" si="129"/>
        <v/>
      </c>
      <c r="R1240" t="str">
        <f t="shared" si="130"/>
        <v/>
      </c>
      <c r="T1240">
        <f t="shared" si="131"/>
        <v>2985</v>
      </c>
    </row>
    <row r="1241" spans="1:20" ht="14.1" customHeight="1" outlineLevel="3" x14ac:dyDescent="0.2">
      <c r="A1241" t="str">
        <f t="shared" si="127"/>
        <v/>
      </c>
      <c r="E1241" s="1"/>
      <c r="F1241" s="1"/>
      <c r="G1241" s="2"/>
      <c r="I1241" s="2"/>
      <c r="P1241" t="str">
        <f t="shared" si="128"/>
        <v/>
      </c>
      <c r="Q1241" t="str">
        <f t="shared" si="129"/>
        <v/>
      </c>
      <c r="R1241" t="str">
        <f t="shared" si="130"/>
        <v/>
      </c>
      <c r="T1241">
        <f t="shared" si="131"/>
        <v>2985</v>
      </c>
    </row>
    <row r="1242" spans="1:20" ht="14.1" customHeight="1" outlineLevel="3" x14ac:dyDescent="0.2">
      <c r="A1242" t="str">
        <f t="shared" si="127"/>
        <v/>
      </c>
      <c r="E1242" s="1"/>
      <c r="F1242" s="1"/>
      <c r="G1242" s="2"/>
      <c r="I1242" s="2"/>
      <c r="P1242" t="str">
        <f t="shared" ref="P1242:P1261" si="133">IF(OR(K1242="",K1242=0),"",D1242&amp;N1242&amp;K1242&amp;M1242&amp;F1242&amp;G1242)</f>
        <v/>
      </c>
      <c r="Q1242" t="str">
        <f t="shared" si="129"/>
        <v/>
      </c>
      <c r="R1242" t="str">
        <f t="shared" si="130"/>
        <v/>
      </c>
      <c r="T1242">
        <f t="shared" si="131"/>
        <v>2985</v>
      </c>
    </row>
    <row r="1243" spans="1:20" ht="14.1" customHeight="1" outlineLevel="3" x14ac:dyDescent="0.2">
      <c r="A1243" t="str">
        <f t="shared" si="127"/>
        <v/>
      </c>
      <c r="E1243" s="1"/>
      <c r="F1243" s="1"/>
      <c r="G1243" s="2"/>
      <c r="I1243" s="2"/>
      <c r="P1243" t="str">
        <f t="shared" si="133"/>
        <v/>
      </c>
      <c r="Q1243" t="str">
        <f t="shared" si="129"/>
        <v/>
      </c>
      <c r="R1243" t="str">
        <f t="shared" si="130"/>
        <v/>
      </c>
      <c r="T1243">
        <f t="shared" si="131"/>
        <v>2985</v>
      </c>
    </row>
    <row r="1244" spans="1:20" ht="14.1" customHeight="1" outlineLevel="3" x14ac:dyDescent="0.2">
      <c r="A1244" t="str">
        <f t="shared" si="127"/>
        <v/>
      </c>
      <c r="E1244" s="1"/>
      <c r="F1244" s="1"/>
      <c r="G1244" s="2"/>
      <c r="I1244" s="2"/>
      <c r="P1244" t="str">
        <f t="shared" si="133"/>
        <v/>
      </c>
      <c r="Q1244" t="str">
        <f t="shared" si="129"/>
        <v/>
      </c>
      <c r="R1244" t="str">
        <f t="shared" si="130"/>
        <v/>
      </c>
      <c r="T1244">
        <f t="shared" si="131"/>
        <v>2985</v>
      </c>
    </row>
    <row r="1245" spans="1:20" ht="14.1" customHeight="1" outlineLevel="3" x14ac:dyDescent="0.2">
      <c r="A1245" t="str">
        <f t="shared" si="127"/>
        <v/>
      </c>
      <c r="E1245" s="1"/>
      <c r="F1245" s="1"/>
      <c r="G1245" s="2"/>
      <c r="I1245" s="2"/>
      <c r="P1245" t="str">
        <f t="shared" si="133"/>
        <v/>
      </c>
      <c r="Q1245" t="str">
        <f t="shared" si="129"/>
        <v/>
      </c>
      <c r="R1245" t="str">
        <f t="shared" si="130"/>
        <v/>
      </c>
      <c r="T1245">
        <f t="shared" si="131"/>
        <v>2985</v>
      </c>
    </row>
    <row r="1246" spans="1:20" ht="14.1" customHeight="1" outlineLevel="3" x14ac:dyDescent="0.2">
      <c r="A1246" t="str">
        <f t="shared" si="127"/>
        <v/>
      </c>
      <c r="E1246" s="1"/>
      <c r="F1246" s="1"/>
      <c r="G1246" s="2"/>
      <c r="I1246" s="2"/>
      <c r="P1246" t="str">
        <f t="shared" si="133"/>
        <v/>
      </c>
      <c r="Q1246" t="str">
        <f t="shared" si="129"/>
        <v/>
      </c>
      <c r="R1246" t="str">
        <f t="shared" si="130"/>
        <v/>
      </c>
      <c r="T1246">
        <f t="shared" si="131"/>
        <v>2985</v>
      </c>
    </row>
    <row r="1247" spans="1:20" ht="14.1" customHeight="1" outlineLevel="3" x14ac:dyDescent="0.2">
      <c r="A1247" t="str">
        <f t="shared" si="127"/>
        <v/>
      </c>
      <c r="E1247" s="1"/>
      <c r="F1247" s="1"/>
      <c r="G1247" s="2"/>
      <c r="I1247" s="2"/>
      <c r="P1247" t="str">
        <f t="shared" si="133"/>
        <v/>
      </c>
      <c r="Q1247" t="str">
        <f t="shared" si="129"/>
        <v/>
      </c>
      <c r="R1247" t="str">
        <f t="shared" si="130"/>
        <v/>
      </c>
      <c r="T1247">
        <f t="shared" si="131"/>
        <v>2985</v>
      </c>
    </row>
    <row r="1248" spans="1:20" ht="14.1" customHeight="1" outlineLevel="3" x14ac:dyDescent="0.2">
      <c r="A1248" t="str">
        <f t="shared" si="127"/>
        <v/>
      </c>
      <c r="E1248" s="1"/>
      <c r="F1248" s="1"/>
      <c r="G1248" s="2"/>
      <c r="I1248" s="2"/>
      <c r="P1248" t="str">
        <f t="shared" si="133"/>
        <v/>
      </c>
      <c r="Q1248" t="str">
        <f t="shared" si="129"/>
        <v/>
      </c>
      <c r="R1248" t="str">
        <f t="shared" si="130"/>
        <v/>
      </c>
      <c r="T1248">
        <f t="shared" si="131"/>
        <v>2985</v>
      </c>
    </row>
    <row r="1249" spans="1:20" ht="14.1" customHeight="1" outlineLevel="3" x14ac:dyDescent="0.2">
      <c r="A1249" t="str">
        <f t="shared" si="127"/>
        <v/>
      </c>
      <c r="E1249" s="1"/>
      <c r="F1249" s="1"/>
      <c r="G1249" s="2"/>
      <c r="I1249" s="2"/>
      <c r="P1249" t="str">
        <f t="shared" si="133"/>
        <v/>
      </c>
      <c r="Q1249" t="str">
        <f t="shared" si="129"/>
        <v/>
      </c>
      <c r="R1249" t="str">
        <f t="shared" si="130"/>
        <v/>
      </c>
      <c r="T1249">
        <f t="shared" si="131"/>
        <v>2985</v>
      </c>
    </row>
    <row r="1250" spans="1:20" ht="14.1" customHeight="1" outlineLevel="3" x14ac:dyDescent="0.2">
      <c r="A1250" t="str">
        <f t="shared" si="127"/>
        <v/>
      </c>
      <c r="E1250" s="1"/>
      <c r="F1250" s="1"/>
      <c r="G1250" s="2"/>
      <c r="I1250" s="2"/>
      <c r="P1250" t="str">
        <f t="shared" si="133"/>
        <v/>
      </c>
      <c r="Q1250" t="str">
        <f t="shared" si="129"/>
        <v/>
      </c>
      <c r="R1250" t="str">
        <f t="shared" si="130"/>
        <v/>
      </c>
      <c r="T1250">
        <f t="shared" si="131"/>
        <v>2985</v>
      </c>
    </row>
    <row r="1251" spans="1:20" ht="14.1" customHeight="1" outlineLevel="3" x14ac:dyDescent="0.2">
      <c r="A1251" t="str">
        <f t="shared" si="127"/>
        <v/>
      </c>
      <c r="E1251" s="1"/>
      <c r="F1251" s="1"/>
      <c r="G1251" s="2"/>
      <c r="I1251" s="2"/>
      <c r="P1251" t="str">
        <f t="shared" si="133"/>
        <v/>
      </c>
      <c r="Q1251" t="str">
        <f t="shared" si="129"/>
        <v/>
      </c>
      <c r="R1251" t="str">
        <f t="shared" si="130"/>
        <v/>
      </c>
      <c r="T1251">
        <f t="shared" si="131"/>
        <v>2985</v>
      </c>
    </row>
    <row r="1252" spans="1:20" ht="14.1" customHeight="1" outlineLevel="3" x14ac:dyDescent="0.2">
      <c r="A1252" t="str">
        <f t="shared" si="127"/>
        <v/>
      </c>
      <c r="E1252" s="1"/>
      <c r="F1252" s="1"/>
      <c r="G1252" s="2"/>
      <c r="I1252" s="2"/>
      <c r="P1252" t="str">
        <f t="shared" si="133"/>
        <v/>
      </c>
      <c r="Q1252" t="str">
        <f t="shared" si="129"/>
        <v/>
      </c>
      <c r="R1252" t="str">
        <f t="shared" si="130"/>
        <v/>
      </c>
      <c r="T1252">
        <f t="shared" si="131"/>
        <v>2985</v>
      </c>
    </row>
    <row r="1253" spans="1:20" ht="14.1" customHeight="1" outlineLevel="3" x14ac:dyDescent="0.2">
      <c r="A1253" t="str">
        <f t="shared" si="127"/>
        <v/>
      </c>
      <c r="E1253" s="1"/>
      <c r="F1253" s="1"/>
      <c r="G1253" s="2"/>
      <c r="I1253" s="2"/>
      <c r="P1253" t="str">
        <f t="shared" si="133"/>
        <v/>
      </c>
      <c r="Q1253" t="str">
        <f t="shared" si="129"/>
        <v/>
      </c>
      <c r="R1253" t="str">
        <f t="shared" si="130"/>
        <v/>
      </c>
      <c r="T1253">
        <f t="shared" si="131"/>
        <v>2985</v>
      </c>
    </row>
    <row r="1254" spans="1:20" ht="14.1" customHeight="1" outlineLevel="3" x14ac:dyDescent="0.2">
      <c r="A1254" t="str">
        <f t="shared" si="127"/>
        <v/>
      </c>
      <c r="E1254" s="1"/>
      <c r="F1254" s="1"/>
      <c r="G1254" s="2"/>
      <c r="I1254" s="2"/>
      <c r="P1254" t="str">
        <f t="shared" si="133"/>
        <v/>
      </c>
      <c r="Q1254" t="str">
        <f t="shared" si="129"/>
        <v/>
      </c>
      <c r="R1254" t="str">
        <f t="shared" si="130"/>
        <v/>
      </c>
      <c r="T1254">
        <f t="shared" si="131"/>
        <v>2985</v>
      </c>
    </row>
    <row r="1255" spans="1:20" ht="14.1" customHeight="1" outlineLevel="3" x14ac:dyDescent="0.2">
      <c r="A1255" t="str">
        <f t="shared" si="127"/>
        <v/>
      </c>
      <c r="E1255" s="1"/>
      <c r="F1255" s="1"/>
      <c r="G1255" s="2"/>
      <c r="I1255" s="2"/>
      <c r="P1255" t="str">
        <f t="shared" si="133"/>
        <v/>
      </c>
      <c r="Q1255" t="str">
        <f t="shared" si="129"/>
        <v/>
      </c>
      <c r="R1255" t="str">
        <f t="shared" si="130"/>
        <v/>
      </c>
      <c r="T1255">
        <f t="shared" si="131"/>
        <v>2985</v>
      </c>
    </row>
    <row r="1256" spans="1:20" outlineLevel="2" x14ac:dyDescent="0.2">
      <c r="A1256" t="str">
        <f t="shared" si="127"/>
        <v/>
      </c>
      <c r="E1256" s="1"/>
      <c r="F1256" s="1"/>
      <c r="G1256" s="2"/>
      <c r="I1256" s="2"/>
      <c r="P1256" t="str">
        <f t="shared" si="133"/>
        <v/>
      </c>
      <c r="Q1256" t="str">
        <f t="shared" si="129"/>
        <v/>
      </c>
      <c r="R1256" t="str">
        <f t="shared" si="130"/>
        <v/>
      </c>
      <c r="T1256">
        <f t="shared" si="131"/>
        <v>2985</v>
      </c>
    </row>
    <row r="1257" spans="1:20" ht="14.1" customHeight="1" outlineLevel="3" x14ac:dyDescent="0.2">
      <c r="A1257" t="str">
        <f t="shared" si="127"/>
        <v/>
      </c>
      <c r="E1257" s="1"/>
      <c r="F1257" s="1"/>
      <c r="G1257" s="2"/>
      <c r="I1257" s="2"/>
      <c r="P1257" t="str">
        <f t="shared" si="133"/>
        <v/>
      </c>
      <c r="Q1257" t="str">
        <f t="shared" si="129"/>
        <v/>
      </c>
      <c r="R1257" t="str">
        <f t="shared" si="130"/>
        <v/>
      </c>
      <c r="T1257">
        <f t="shared" si="131"/>
        <v>2985</v>
      </c>
    </row>
    <row r="1258" spans="1:20" ht="14.1" customHeight="1" outlineLevel="3" x14ac:dyDescent="0.2">
      <c r="A1258" t="str">
        <f t="shared" si="127"/>
        <v/>
      </c>
      <c r="E1258" s="1"/>
      <c r="F1258" s="1"/>
      <c r="G1258" s="2"/>
      <c r="I1258" s="2"/>
      <c r="P1258" t="str">
        <f t="shared" si="133"/>
        <v/>
      </c>
      <c r="Q1258" t="str">
        <f t="shared" si="129"/>
        <v/>
      </c>
      <c r="R1258" t="str">
        <f t="shared" si="130"/>
        <v/>
      </c>
      <c r="T1258">
        <f t="shared" si="131"/>
        <v>2985</v>
      </c>
    </row>
    <row r="1259" spans="1:20" ht="14.1" customHeight="1" outlineLevel="3" x14ac:dyDescent="0.2">
      <c r="A1259" t="str">
        <f t="shared" si="127"/>
        <v/>
      </c>
      <c r="E1259" s="1"/>
      <c r="F1259" s="1"/>
      <c r="G1259" s="2"/>
      <c r="I1259" s="2"/>
      <c r="P1259" t="str">
        <f t="shared" si="133"/>
        <v/>
      </c>
      <c r="Q1259" t="str">
        <f t="shared" si="129"/>
        <v/>
      </c>
      <c r="R1259" t="str">
        <f t="shared" si="130"/>
        <v/>
      </c>
      <c r="T1259">
        <f t="shared" si="131"/>
        <v>2985</v>
      </c>
    </row>
    <row r="1260" spans="1:20" ht="14.1" customHeight="1" outlineLevel="3" x14ac:dyDescent="0.2">
      <c r="A1260" t="str">
        <f t="shared" si="127"/>
        <v/>
      </c>
      <c r="E1260" s="1"/>
      <c r="F1260" s="1"/>
      <c r="G1260" s="2"/>
      <c r="I1260" s="2"/>
      <c r="P1260" t="str">
        <f t="shared" si="133"/>
        <v/>
      </c>
      <c r="Q1260" t="str">
        <f t="shared" si="129"/>
        <v/>
      </c>
      <c r="R1260" t="str">
        <f t="shared" si="130"/>
        <v/>
      </c>
      <c r="T1260">
        <f t="shared" si="131"/>
        <v>2985</v>
      </c>
    </row>
    <row r="1261" spans="1:20" ht="14.1" customHeight="1" outlineLevel="3" x14ac:dyDescent="0.2">
      <c r="A1261" t="str">
        <f t="shared" si="127"/>
        <v/>
      </c>
      <c r="E1261" s="1"/>
      <c r="F1261" s="1"/>
      <c r="G1261" s="2"/>
      <c r="I1261" s="2"/>
      <c r="P1261" t="str">
        <f t="shared" si="133"/>
        <v/>
      </c>
      <c r="Q1261" t="str">
        <f t="shared" si="129"/>
        <v/>
      </c>
      <c r="R1261" t="str">
        <f t="shared" si="130"/>
        <v/>
      </c>
      <c r="T1261">
        <f t="shared" si="131"/>
        <v>2985</v>
      </c>
    </row>
    <row r="1262" spans="1:20" ht="14.1" customHeight="1" outlineLevel="3" x14ac:dyDescent="0.2">
      <c r="A1262" t="str">
        <f t="shared" si="127"/>
        <v/>
      </c>
      <c r="E1262" s="1"/>
      <c r="F1262" s="1"/>
      <c r="G1262" s="2"/>
      <c r="I1262" s="2"/>
      <c r="P1262" t="str">
        <f t="shared" si="128"/>
        <v/>
      </c>
      <c r="Q1262" t="str">
        <f t="shared" si="129"/>
        <v/>
      </c>
      <c r="R1262" t="str">
        <f t="shared" si="130"/>
        <v/>
      </c>
      <c r="T1262">
        <f t="shared" si="131"/>
        <v>2985</v>
      </c>
    </row>
    <row r="1263" spans="1:20" ht="14.1" customHeight="1" outlineLevel="3" x14ac:dyDescent="0.2">
      <c r="A1263" t="str">
        <f t="shared" si="127"/>
        <v/>
      </c>
      <c r="E1263" s="1"/>
      <c r="F1263" s="1"/>
      <c r="G1263" s="2"/>
      <c r="I1263" s="2"/>
      <c r="P1263" t="str">
        <f t="shared" ref="P1263:P1272" si="134">IF(OR(K1263="",K1263=0),"",D1263&amp;N1263&amp;K1263&amp;M1263&amp;F1263&amp;G1263)</f>
        <v/>
      </c>
      <c r="Q1263" t="str">
        <f t="shared" si="129"/>
        <v/>
      </c>
      <c r="R1263" t="str">
        <f t="shared" si="130"/>
        <v/>
      </c>
      <c r="T1263">
        <f t="shared" si="131"/>
        <v>2985</v>
      </c>
    </row>
    <row r="1264" spans="1:20" ht="14.1" customHeight="1" outlineLevel="3" x14ac:dyDescent="0.2">
      <c r="A1264" t="str">
        <f t="shared" si="127"/>
        <v/>
      </c>
      <c r="E1264" s="1"/>
      <c r="F1264" s="1"/>
      <c r="G1264" s="2"/>
      <c r="I1264" s="2"/>
      <c r="P1264" t="str">
        <f t="shared" si="134"/>
        <v/>
      </c>
      <c r="Q1264" t="str">
        <f t="shared" si="129"/>
        <v/>
      </c>
      <c r="R1264" t="str">
        <f t="shared" si="130"/>
        <v/>
      </c>
      <c r="T1264">
        <f t="shared" si="131"/>
        <v>2985</v>
      </c>
    </row>
    <row r="1265" spans="1:20" ht="14.1" customHeight="1" outlineLevel="3" x14ac:dyDescent="0.2">
      <c r="A1265" t="str">
        <f t="shared" si="127"/>
        <v/>
      </c>
      <c r="E1265" s="1"/>
      <c r="F1265" s="1"/>
      <c r="G1265" s="2"/>
      <c r="I1265" s="2"/>
      <c r="P1265" t="str">
        <f t="shared" si="134"/>
        <v/>
      </c>
      <c r="Q1265" t="str">
        <f t="shared" si="129"/>
        <v/>
      </c>
      <c r="R1265" t="str">
        <f t="shared" si="130"/>
        <v/>
      </c>
      <c r="T1265">
        <f t="shared" si="131"/>
        <v>2985</v>
      </c>
    </row>
    <row r="1266" spans="1:20" ht="14.1" customHeight="1" outlineLevel="3" x14ac:dyDescent="0.2">
      <c r="A1266" t="str">
        <f t="shared" si="127"/>
        <v/>
      </c>
      <c r="E1266" s="1"/>
      <c r="F1266" s="1"/>
      <c r="G1266" s="2"/>
      <c r="I1266" s="2"/>
      <c r="P1266" t="str">
        <f t="shared" si="134"/>
        <v/>
      </c>
      <c r="Q1266" t="str">
        <f t="shared" si="129"/>
        <v/>
      </c>
      <c r="R1266" t="str">
        <f t="shared" si="130"/>
        <v/>
      </c>
      <c r="T1266">
        <f t="shared" si="131"/>
        <v>2985</v>
      </c>
    </row>
    <row r="1267" spans="1:20" ht="14.1" customHeight="1" outlineLevel="3" x14ac:dyDescent="0.2">
      <c r="A1267" t="str">
        <f t="shared" si="127"/>
        <v/>
      </c>
      <c r="E1267" s="1"/>
      <c r="F1267" s="1"/>
      <c r="G1267" s="2"/>
      <c r="I1267" s="2"/>
      <c r="P1267" t="str">
        <f t="shared" si="134"/>
        <v/>
      </c>
      <c r="Q1267" t="str">
        <f t="shared" si="129"/>
        <v/>
      </c>
      <c r="R1267" t="str">
        <f t="shared" si="130"/>
        <v/>
      </c>
      <c r="T1267">
        <f t="shared" si="131"/>
        <v>2985</v>
      </c>
    </row>
    <row r="1268" spans="1:20" ht="14.1" customHeight="1" outlineLevel="3" x14ac:dyDescent="0.2">
      <c r="A1268" t="str">
        <f t="shared" si="127"/>
        <v/>
      </c>
      <c r="E1268" s="1"/>
      <c r="F1268" s="1"/>
      <c r="G1268" s="2"/>
      <c r="I1268" s="2"/>
      <c r="P1268" t="str">
        <f t="shared" si="134"/>
        <v/>
      </c>
      <c r="Q1268" t="str">
        <f t="shared" si="129"/>
        <v/>
      </c>
      <c r="R1268" t="str">
        <f t="shared" si="130"/>
        <v/>
      </c>
      <c r="T1268">
        <f t="shared" si="131"/>
        <v>2985</v>
      </c>
    </row>
    <row r="1269" spans="1:20" outlineLevel="2" x14ac:dyDescent="0.2">
      <c r="A1269" t="str">
        <f t="shared" si="127"/>
        <v/>
      </c>
      <c r="E1269" s="1"/>
      <c r="F1269" s="1"/>
      <c r="G1269" s="2"/>
      <c r="I1269" s="2"/>
      <c r="P1269" t="str">
        <f t="shared" si="134"/>
        <v/>
      </c>
      <c r="Q1269" t="str">
        <f t="shared" si="129"/>
        <v/>
      </c>
      <c r="R1269" t="str">
        <f t="shared" si="130"/>
        <v/>
      </c>
      <c r="T1269">
        <f t="shared" si="131"/>
        <v>2985</v>
      </c>
    </row>
    <row r="1270" spans="1:20" ht="14.1" customHeight="1" outlineLevel="3" x14ac:dyDescent="0.2">
      <c r="A1270" t="str">
        <f t="shared" si="127"/>
        <v/>
      </c>
      <c r="E1270" s="1"/>
      <c r="F1270" s="1"/>
      <c r="G1270" s="2"/>
      <c r="I1270" s="2"/>
      <c r="P1270" t="str">
        <f>IF(OR(K1270="",K1270=0),"",D1270&amp;N1270&amp;K1270&amp;M1270&amp;F1270&amp;ROUNDUP(G1270,0))</f>
        <v/>
      </c>
      <c r="Q1270" t="str">
        <f t="shared" si="129"/>
        <v/>
      </c>
      <c r="R1270" t="str">
        <f t="shared" si="130"/>
        <v/>
      </c>
      <c r="T1270">
        <f t="shared" si="131"/>
        <v>2985</v>
      </c>
    </row>
    <row r="1271" spans="1:20" ht="14.1" customHeight="1" outlineLevel="3" x14ac:dyDescent="0.2">
      <c r="A1271" t="str">
        <f t="shared" si="127"/>
        <v/>
      </c>
      <c r="E1271" s="1"/>
      <c r="F1271" s="1"/>
      <c r="G1271" s="2"/>
      <c r="I1271" s="2"/>
      <c r="P1271" t="str">
        <f t="shared" si="134"/>
        <v/>
      </c>
      <c r="Q1271" t="str">
        <f t="shared" si="129"/>
        <v/>
      </c>
      <c r="R1271" t="str">
        <f t="shared" si="130"/>
        <v/>
      </c>
      <c r="T1271">
        <f t="shared" si="131"/>
        <v>2985</v>
      </c>
    </row>
    <row r="1272" spans="1:20" ht="14.1" customHeight="1" outlineLevel="3" x14ac:dyDescent="0.2">
      <c r="A1272" t="str">
        <f t="shared" si="127"/>
        <v/>
      </c>
      <c r="E1272" s="1"/>
      <c r="F1272" s="1"/>
      <c r="G1272" s="2"/>
      <c r="I1272" s="2"/>
      <c r="P1272" t="str">
        <f t="shared" si="134"/>
        <v/>
      </c>
      <c r="Q1272" t="str">
        <f t="shared" si="129"/>
        <v/>
      </c>
      <c r="R1272" t="str">
        <f t="shared" si="130"/>
        <v/>
      </c>
      <c r="T1272">
        <f t="shared" si="131"/>
        <v>2985</v>
      </c>
    </row>
    <row r="1273" spans="1:20" ht="14.1" customHeight="1" outlineLevel="3" x14ac:dyDescent="0.2">
      <c r="A1273" t="str">
        <f t="shared" si="127"/>
        <v/>
      </c>
      <c r="E1273" s="1"/>
      <c r="F1273" s="1"/>
      <c r="G1273" s="2"/>
      <c r="I1273" s="2"/>
      <c r="P1273" t="str">
        <f>IF(OR(K1273="",K1273=0),"",D1273&amp;N1273&amp;K1273&amp;M1273&amp;F1273&amp;ROUNDUP(G1273,0))</f>
        <v/>
      </c>
      <c r="Q1273" t="str">
        <f t="shared" si="129"/>
        <v/>
      </c>
      <c r="R1273" t="str">
        <f t="shared" si="130"/>
        <v/>
      </c>
      <c r="T1273">
        <f t="shared" si="131"/>
        <v>2985</v>
      </c>
    </row>
    <row r="1274" spans="1:20" ht="14.1" customHeight="1" outlineLevel="3" x14ac:dyDescent="0.2">
      <c r="A1274" t="str">
        <f t="shared" si="127"/>
        <v/>
      </c>
      <c r="E1274" s="1"/>
      <c r="F1274" s="1"/>
      <c r="G1274" s="2"/>
      <c r="I1274" s="2"/>
      <c r="P1274" t="str">
        <f t="shared" si="128"/>
        <v/>
      </c>
      <c r="Q1274" t="str">
        <f t="shared" si="129"/>
        <v/>
      </c>
      <c r="R1274" t="str">
        <f t="shared" si="130"/>
        <v/>
      </c>
      <c r="T1274">
        <f t="shared" si="131"/>
        <v>2985</v>
      </c>
    </row>
    <row r="1275" spans="1:20" ht="14.1" customHeight="1" outlineLevel="3" x14ac:dyDescent="0.2">
      <c r="A1275" t="str">
        <f t="shared" si="127"/>
        <v/>
      </c>
      <c r="E1275" s="1"/>
      <c r="F1275" s="1"/>
      <c r="G1275" s="2"/>
      <c r="I1275" s="2"/>
      <c r="P1275" t="str">
        <f t="shared" si="128"/>
        <v/>
      </c>
      <c r="Q1275" t="str">
        <f t="shared" si="129"/>
        <v/>
      </c>
      <c r="R1275" t="str">
        <f t="shared" si="130"/>
        <v/>
      </c>
      <c r="T1275">
        <f t="shared" si="131"/>
        <v>2985</v>
      </c>
    </row>
    <row r="1276" spans="1:20" ht="14.1" customHeight="1" outlineLevel="3" x14ac:dyDescent="0.2">
      <c r="A1276" t="str">
        <f t="shared" si="127"/>
        <v/>
      </c>
      <c r="E1276" s="1"/>
      <c r="F1276" s="1"/>
      <c r="G1276" s="2"/>
      <c r="I1276" s="2"/>
      <c r="P1276" t="str">
        <f t="shared" si="128"/>
        <v/>
      </c>
      <c r="Q1276" t="str">
        <f t="shared" si="129"/>
        <v/>
      </c>
      <c r="R1276" t="str">
        <f t="shared" si="130"/>
        <v/>
      </c>
      <c r="T1276">
        <f t="shared" si="131"/>
        <v>2985</v>
      </c>
    </row>
    <row r="1277" spans="1:20" ht="14.1" customHeight="1" outlineLevel="3" x14ac:dyDescent="0.2">
      <c r="A1277" t="str">
        <f t="shared" si="127"/>
        <v/>
      </c>
      <c r="E1277" s="1"/>
      <c r="F1277" s="1"/>
      <c r="G1277" s="2"/>
      <c r="I1277" s="2"/>
      <c r="P1277" t="str">
        <f t="shared" ref="P1277:P1278" si="135">IF(OR(K1277="",K1277=0),"",D1277&amp;N1277&amp;K1277&amp;M1277&amp;F1277&amp;G1277)</f>
        <v/>
      </c>
      <c r="Q1277" t="str">
        <f t="shared" si="129"/>
        <v/>
      </c>
      <c r="R1277" t="str">
        <f t="shared" si="130"/>
        <v/>
      </c>
      <c r="T1277">
        <f t="shared" si="131"/>
        <v>2985</v>
      </c>
    </row>
    <row r="1278" spans="1:20" ht="14.1" customHeight="1" outlineLevel="3" x14ac:dyDescent="0.2">
      <c r="A1278" t="str">
        <f t="shared" si="127"/>
        <v/>
      </c>
      <c r="E1278" s="1"/>
      <c r="F1278" s="1"/>
      <c r="G1278" s="2"/>
      <c r="I1278" s="2"/>
      <c r="P1278" t="str">
        <f t="shared" si="135"/>
        <v/>
      </c>
      <c r="Q1278" t="str">
        <f t="shared" si="129"/>
        <v/>
      </c>
      <c r="R1278" t="str">
        <f t="shared" si="130"/>
        <v/>
      </c>
      <c r="T1278">
        <f t="shared" si="131"/>
        <v>2985</v>
      </c>
    </row>
    <row r="1279" spans="1:20" ht="14.1" customHeight="1" outlineLevel="3" x14ac:dyDescent="0.2">
      <c r="A1279" t="str">
        <f t="shared" si="127"/>
        <v/>
      </c>
      <c r="E1279" s="1"/>
      <c r="F1279" s="1"/>
      <c r="G1279" s="2"/>
      <c r="I1279" s="2"/>
      <c r="P1279" t="str">
        <f t="shared" si="128"/>
        <v/>
      </c>
      <c r="Q1279" t="str">
        <f t="shared" si="129"/>
        <v/>
      </c>
      <c r="R1279" t="str">
        <f t="shared" si="130"/>
        <v/>
      </c>
      <c r="T1279">
        <f t="shared" si="131"/>
        <v>2985</v>
      </c>
    </row>
    <row r="1280" spans="1:20" ht="14.1" customHeight="1" outlineLevel="3" x14ac:dyDescent="0.2">
      <c r="A1280" t="str">
        <f t="shared" si="127"/>
        <v/>
      </c>
      <c r="E1280" s="1"/>
      <c r="F1280" s="1"/>
      <c r="G1280" s="2"/>
      <c r="I1280" s="2"/>
      <c r="P1280" t="str">
        <f t="shared" si="128"/>
        <v/>
      </c>
      <c r="Q1280" t="str">
        <f t="shared" si="129"/>
        <v/>
      </c>
      <c r="R1280" t="str">
        <f t="shared" si="130"/>
        <v/>
      </c>
      <c r="T1280">
        <f t="shared" si="131"/>
        <v>2985</v>
      </c>
    </row>
    <row r="1281" spans="1:20" ht="14.1" customHeight="1" outlineLevel="3" x14ac:dyDescent="0.2">
      <c r="A1281" t="str">
        <f t="shared" si="127"/>
        <v/>
      </c>
      <c r="E1281" s="1"/>
      <c r="F1281" s="1"/>
      <c r="G1281" s="2"/>
      <c r="I1281" s="2"/>
      <c r="P1281" t="str">
        <f t="shared" si="128"/>
        <v/>
      </c>
      <c r="Q1281" t="str">
        <f t="shared" si="129"/>
        <v/>
      </c>
      <c r="R1281" t="str">
        <f t="shared" si="130"/>
        <v/>
      </c>
      <c r="T1281">
        <f t="shared" si="131"/>
        <v>2985</v>
      </c>
    </row>
    <row r="1282" spans="1:20" ht="14.1" customHeight="1" outlineLevel="3" x14ac:dyDescent="0.2">
      <c r="A1282" t="str">
        <f t="shared" si="127"/>
        <v/>
      </c>
      <c r="E1282" s="1"/>
      <c r="F1282" s="1"/>
      <c r="G1282" s="2"/>
      <c r="I1282" s="2"/>
      <c r="P1282" t="str">
        <f t="shared" si="128"/>
        <v/>
      </c>
      <c r="Q1282" t="str">
        <f t="shared" si="129"/>
        <v/>
      </c>
      <c r="R1282" t="str">
        <f t="shared" si="130"/>
        <v/>
      </c>
      <c r="T1282">
        <f t="shared" si="131"/>
        <v>2985</v>
      </c>
    </row>
    <row r="1283" spans="1:20" ht="14.1" customHeight="1" outlineLevel="3" x14ac:dyDescent="0.2">
      <c r="A1283" t="str">
        <f t="shared" ref="A1283:A1346" si="136">IFERROR(IF(OR(K1283="",I1283=0),"",D1283&amp;K1283&amp;I1283),"")</f>
        <v/>
      </c>
      <c r="E1283" s="1"/>
      <c r="F1283" s="1"/>
      <c r="G1283" s="2"/>
      <c r="I1283" s="2"/>
      <c r="P1283" t="str">
        <f t="shared" ref="P1283:P1346" si="137">IF(OR(K1283="",K1283=0),"",D1283&amp;N1283&amp;K1283&amp;M1283&amp;F1283)</f>
        <v/>
      </c>
      <c r="Q1283" t="str">
        <f t="shared" ref="Q1283:Q1346" si="138">IF(P1283="","",COUNTIF($P$2:$P$1448,$P1283))</f>
        <v/>
      </c>
      <c r="R1283" t="str">
        <f t="shared" ref="R1283:R1346" si="139">G1283&amp;K1283&amp;N1283</f>
        <v/>
      </c>
      <c r="T1283">
        <f t="shared" ref="T1283:T1346" si="140">COUNTIF($R$2:$R$2986,$R1283)</f>
        <v>2985</v>
      </c>
    </row>
    <row r="1284" spans="1:20" ht="14.1" customHeight="1" outlineLevel="3" x14ac:dyDescent="0.2">
      <c r="A1284" t="str">
        <f t="shared" si="136"/>
        <v/>
      </c>
      <c r="E1284" s="1"/>
      <c r="F1284" s="1"/>
      <c r="G1284" s="2"/>
      <c r="I1284" s="2"/>
      <c r="P1284" t="str">
        <f t="shared" si="137"/>
        <v/>
      </c>
      <c r="Q1284" t="str">
        <f t="shared" si="138"/>
        <v/>
      </c>
      <c r="R1284" t="str">
        <f t="shared" si="139"/>
        <v/>
      </c>
      <c r="T1284">
        <f t="shared" si="140"/>
        <v>2985</v>
      </c>
    </row>
    <row r="1285" spans="1:20" ht="14.1" customHeight="1" outlineLevel="3" x14ac:dyDescent="0.2">
      <c r="A1285" t="str">
        <f t="shared" si="136"/>
        <v/>
      </c>
      <c r="E1285" s="1"/>
      <c r="F1285" s="1"/>
      <c r="G1285" s="2"/>
      <c r="I1285" s="2"/>
      <c r="P1285" t="str">
        <f t="shared" si="137"/>
        <v/>
      </c>
      <c r="Q1285" t="str">
        <f t="shared" si="138"/>
        <v/>
      </c>
      <c r="R1285" t="str">
        <f t="shared" si="139"/>
        <v/>
      </c>
      <c r="T1285">
        <f t="shared" si="140"/>
        <v>2985</v>
      </c>
    </row>
    <row r="1286" spans="1:20" ht="14.1" customHeight="1" outlineLevel="3" x14ac:dyDescent="0.2">
      <c r="A1286" t="str">
        <f t="shared" si="136"/>
        <v/>
      </c>
      <c r="E1286" s="1"/>
      <c r="F1286" s="1"/>
      <c r="G1286" s="2"/>
      <c r="I1286" s="2"/>
      <c r="P1286" t="str">
        <f t="shared" si="137"/>
        <v/>
      </c>
      <c r="Q1286" t="str">
        <f t="shared" si="138"/>
        <v/>
      </c>
      <c r="R1286" t="str">
        <f t="shared" si="139"/>
        <v/>
      </c>
      <c r="T1286">
        <f t="shared" si="140"/>
        <v>2985</v>
      </c>
    </row>
    <row r="1287" spans="1:20" ht="14.1" customHeight="1" outlineLevel="3" x14ac:dyDescent="0.2">
      <c r="A1287" t="str">
        <f t="shared" si="136"/>
        <v/>
      </c>
      <c r="E1287" s="1"/>
      <c r="F1287" s="1"/>
      <c r="G1287" s="2"/>
      <c r="I1287" s="2"/>
      <c r="P1287" t="str">
        <f t="shared" si="137"/>
        <v/>
      </c>
      <c r="Q1287" t="str">
        <f t="shared" si="138"/>
        <v/>
      </c>
      <c r="R1287" t="str">
        <f t="shared" si="139"/>
        <v/>
      </c>
      <c r="T1287">
        <f t="shared" si="140"/>
        <v>2985</v>
      </c>
    </row>
    <row r="1288" spans="1:20" ht="14.1" customHeight="1" outlineLevel="3" x14ac:dyDescent="0.2">
      <c r="A1288" t="str">
        <f t="shared" si="136"/>
        <v/>
      </c>
      <c r="E1288" s="1"/>
      <c r="F1288" s="1"/>
      <c r="G1288" s="2"/>
      <c r="I1288" s="2"/>
      <c r="P1288" t="str">
        <f t="shared" si="137"/>
        <v/>
      </c>
      <c r="Q1288" t="str">
        <f t="shared" si="138"/>
        <v/>
      </c>
      <c r="R1288" t="str">
        <f t="shared" si="139"/>
        <v/>
      </c>
      <c r="T1288">
        <f t="shared" si="140"/>
        <v>2985</v>
      </c>
    </row>
    <row r="1289" spans="1:20" ht="14.1" customHeight="1" outlineLevel="3" x14ac:dyDescent="0.2">
      <c r="A1289" t="str">
        <f t="shared" si="136"/>
        <v/>
      </c>
      <c r="E1289" s="1"/>
      <c r="F1289" s="1"/>
      <c r="G1289" s="2"/>
      <c r="I1289" s="2"/>
      <c r="P1289" t="str">
        <f t="shared" si="137"/>
        <v/>
      </c>
      <c r="Q1289" t="str">
        <f t="shared" si="138"/>
        <v/>
      </c>
      <c r="R1289" t="str">
        <f t="shared" si="139"/>
        <v/>
      </c>
      <c r="T1289">
        <f t="shared" si="140"/>
        <v>2985</v>
      </c>
    </row>
    <row r="1290" spans="1:20" ht="14.1" customHeight="1" outlineLevel="3" x14ac:dyDescent="0.2">
      <c r="A1290" t="str">
        <f t="shared" si="136"/>
        <v/>
      </c>
      <c r="E1290" s="1"/>
      <c r="F1290" s="1"/>
      <c r="G1290" s="2"/>
      <c r="I1290" s="2"/>
      <c r="P1290" t="str">
        <f t="shared" si="137"/>
        <v/>
      </c>
      <c r="Q1290" t="str">
        <f t="shared" si="138"/>
        <v/>
      </c>
      <c r="R1290" t="str">
        <f t="shared" si="139"/>
        <v/>
      </c>
      <c r="T1290">
        <f t="shared" si="140"/>
        <v>2985</v>
      </c>
    </row>
    <row r="1291" spans="1:20" ht="14.1" customHeight="1" outlineLevel="3" x14ac:dyDescent="0.2">
      <c r="A1291" t="str">
        <f t="shared" si="136"/>
        <v/>
      </c>
      <c r="E1291" s="1"/>
      <c r="F1291" s="1"/>
      <c r="G1291" s="2"/>
      <c r="I1291" s="2"/>
      <c r="P1291" t="str">
        <f t="shared" si="137"/>
        <v/>
      </c>
      <c r="Q1291" t="str">
        <f t="shared" si="138"/>
        <v/>
      </c>
      <c r="R1291" t="str">
        <f t="shared" si="139"/>
        <v/>
      </c>
      <c r="T1291">
        <f t="shared" si="140"/>
        <v>2985</v>
      </c>
    </row>
    <row r="1292" spans="1:20" ht="14.1" customHeight="1" outlineLevel="3" x14ac:dyDescent="0.2">
      <c r="A1292" t="str">
        <f t="shared" si="136"/>
        <v/>
      </c>
      <c r="E1292" s="1"/>
      <c r="F1292" s="1"/>
      <c r="G1292" s="2"/>
      <c r="I1292" s="2"/>
      <c r="P1292" t="str">
        <f t="shared" si="137"/>
        <v/>
      </c>
      <c r="Q1292" t="str">
        <f t="shared" si="138"/>
        <v/>
      </c>
      <c r="R1292" t="str">
        <f t="shared" si="139"/>
        <v/>
      </c>
      <c r="T1292">
        <f t="shared" si="140"/>
        <v>2985</v>
      </c>
    </row>
    <row r="1293" spans="1:20" ht="14.1" customHeight="1" outlineLevel="3" x14ac:dyDescent="0.2">
      <c r="A1293" t="str">
        <f t="shared" si="136"/>
        <v/>
      </c>
      <c r="E1293" s="1"/>
      <c r="F1293" s="1"/>
      <c r="G1293" s="2"/>
      <c r="I1293" s="2"/>
      <c r="P1293" t="str">
        <f t="shared" si="137"/>
        <v/>
      </c>
      <c r="Q1293" t="str">
        <f t="shared" si="138"/>
        <v/>
      </c>
      <c r="R1293" t="str">
        <f t="shared" si="139"/>
        <v/>
      </c>
      <c r="T1293">
        <f t="shared" si="140"/>
        <v>2985</v>
      </c>
    </row>
    <row r="1294" spans="1:20" ht="14.1" customHeight="1" outlineLevel="3" x14ac:dyDescent="0.2">
      <c r="A1294" t="str">
        <f t="shared" si="136"/>
        <v/>
      </c>
      <c r="E1294" s="1"/>
      <c r="F1294" s="1"/>
      <c r="G1294" s="2"/>
      <c r="I1294" s="2"/>
      <c r="P1294" t="str">
        <f t="shared" si="137"/>
        <v/>
      </c>
      <c r="Q1294" t="str">
        <f t="shared" si="138"/>
        <v/>
      </c>
      <c r="R1294" t="str">
        <f t="shared" si="139"/>
        <v/>
      </c>
      <c r="T1294">
        <f t="shared" si="140"/>
        <v>2985</v>
      </c>
    </row>
    <row r="1295" spans="1:20" ht="14.1" customHeight="1" outlineLevel="3" x14ac:dyDescent="0.2">
      <c r="A1295" t="str">
        <f t="shared" si="136"/>
        <v/>
      </c>
      <c r="E1295" s="1"/>
      <c r="F1295" s="1"/>
      <c r="G1295" s="2"/>
      <c r="I1295" s="2"/>
      <c r="P1295" t="str">
        <f t="shared" si="137"/>
        <v/>
      </c>
      <c r="Q1295" t="str">
        <f t="shared" si="138"/>
        <v/>
      </c>
      <c r="R1295" t="str">
        <f t="shared" si="139"/>
        <v/>
      </c>
      <c r="T1295">
        <f t="shared" si="140"/>
        <v>2985</v>
      </c>
    </row>
    <row r="1296" spans="1:20" ht="14.1" customHeight="1" outlineLevel="3" x14ac:dyDescent="0.2">
      <c r="A1296" t="str">
        <f t="shared" si="136"/>
        <v/>
      </c>
      <c r="E1296" s="1"/>
      <c r="F1296" s="1"/>
      <c r="G1296" s="2"/>
      <c r="I1296" s="2"/>
      <c r="P1296" t="str">
        <f t="shared" si="137"/>
        <v/>
      </c>
      <c r="Q1296" t="str">
        <f t="shared" si="138"/>
        <v/>
      </c>
      <c r="R1296" t="str">
        <f t="shared" si="139"/>
        <v/>
      </c>
      <c r="T1296">
        <f t="shared" si="140"/>
        <v>2985</v>
      </c>
    </row>
    <row r="1297" spans="1:20" ht="14.1" customHeight="1" outlineLevel="3" x14ac:dyDescent="0.2">
      <c r="A1297" t="str">
        <f t="shared" si="136"/>
        <v/>
      </c>
      <c r="E1297" s="1"/>
      <c r="F1297" s="1"/>
      <c r="G1297" s="2"/>
      <c r="I1297" s="2"/>
      <c r="P1297" t="str">
        <f t="shared" si="137"/>
        <v/>
      </c>
      <c r="Q1297" t="str">
        <f t="shared" si="138"/>
        <v/>
      </c>
      <c r="R1297" t="str">
        <f t="shared" si="139"/>
        <v/>
      </c>
      <c r="T1297">
        <f t="shared" si="140"/>
        <v>2985</v>
      </c>
    </row>
    <row r="1298" spans="1:20" ht="14.1" customHeight="1" outlineLevel="3" x14ac:dyDescent="0.2">
      <c r="A1298" t="str">
        <f t="shared" si="136"/>
        <v/>
      </c>
      <c r="E1298" s="1"/>
      <c r="F1298" s="1"/>
      <c r="G1298" s="2"/>
      <c r="I1298" s="2"/>
      <c r="P1298" t="str">
        <f t="shared" si="137"/>
        <v/>
      </c>
      <c r="Q1298" t="str">
        <f t="shared" si="138"/>
        <v/>
      </c>
      <c r="R1298" t="str">
        <f t="shared" si="139"/>
        <v/>
      </c>
      <c r="T1298">
        <f t="shared" si="140"/>
        <v>2985</v>
      </c>
    </row>
    <row r="1299" spans="1:20" ht="14.1" customHeight="1" outlineLevel="3" x14ac:dyDescent="0.2">
      <c r="A1299" t="str">
        <f t="shared" si="136"/>
        <v/>
      </c>
      <c r="E1299" s="1"/>
      <c r="F1299" s="1"/>
      <c r="G1299" s="2"/>
      <c r="I1299" s="2"/>
      <c r="P1299" t="str">
        <f t="shared" si="137"/>
        <v/>
      </c>
      <c r="Q1299" t="str">
        <f t="shared" si="138"/>
        <v/>
      </c>
      <c r="R1299" t="str">
        <f t="shared" si="139"/>
        <v/>
      </c>
      <c r="T1299">
        <f t="shared" si="140"/>
        <v>2985</v>
      </c>
    </row>
    <row r="1300" spans="1:20" ht="14.1" customHeight="1" outlineLevel="3" x14ac:dyDescent="0.2">
      <c r="A1300" t="str">
        <f t="shared" si="136"/>
        <v/>
      </c>
      <c r="E1300" s="1"/>
      <c r="F1300" s="1"/>
      <c r="G1300" s="2"/>
      <c r="I1300" s="2"/>
      <c r="P1300" t="str">
        <f t="shared" si="137"/>
        <v/>
      </c>
      <c r="Q1300" t="str">
        <f t="shared" si="138"/>
        <v/>
      </c>
      <c r="R1300" t="str">
        <f t="shared" si="139"/>
        <v/>
      </c>
      <c r="T1300">
        <f t="shared" si="140"/>
        <v>2985</v>
      </c>
    </row>
    <row r="1301" spans="1:20" ht="14.1" customHeight="1" outlineLevel="3" x14ac:dyDescent="0.2">
      <c r="A1301" t="str">
        <f t="shared" si="136"/>
        <v/>
      </c>
      <c r="E1301" s="1"/>
      <c r="F1301" s="1"/>
      <c r="G1301" s="2"/>
      <c r="I1301" s="2"/>
      <c r="P1301" t="str">
        <f t="shared" si="137"/>
        <v/>
      </c>
      <c r="Q1301" t="str">
        <f t="shared" si="138"/>
        <v/>
      </c>
      <c r="R1301" t="str">
        <f t="shared" si="139"/>
        <v/>
      </c>
      <c r="T1301">
        <f t="shared" si="140"/>
        <v>2985</v>
      </c>
    </row>
    <row r="1302" spans="1:20" ht="14.1" customHeight="1" outlineLevel="3" x14ac:dyDescent="0.2">
      <c r="A1302" t="str">
        <f t="shared" si="136"/>
        <v/>
      </c>
      <c r="E1302" s="1"/>
      <c r="F1302" s="1"/>
      <c r="G1302" s="2"/>
      <c r="I1302" s="2"/>
      <c r="P1302" t="str">
        <f t="shared" si="137"/>
        <v/>
      </c>
      <c r="Q1302" t="str">
        <f t="shared" si="138"/>
        <v/>
      </c>
      <c r="R1302" t="str">
        <f t="shared" si="139"/>
        <v/>
      </c>
      <c r="T1302">
        <f t="shared" si="140"/>
        <v>2985</v>
      </c>
    </row>
    <row r="1303" spans="1:20" ht="14.1" customHeight="1" outlineLevel="3" x14ac:dyDescent="0.2">
      <c r="A1303" t="str">
        <f t="shared" si="136"/>
        <v/>
      </c>
      <c r="E1303" s="1"/>
      <c r="F1303" s="1"/>
      <c r="G1303" s="2"/>
      <c r="I1303" s="2"/>
      <c r="P1303" t="str">
        <f t="shared" si="137"/>
        <v/>
      </c>
      <c r="Q1303" t="str">
        <f t="shared" si="138"/>
        <v/>
      </c>
      <c r="R1303" t="str">
        <f t="shared" si="139"/>
        <v/>
      </c>
      <c r="T1303">
        <f t="shared" si="140"/>
        <v>2985</v>
      </c>
    </row>
    <row r="1304" spans="1:20" ht="14.1" customHeight="1" outlineLevel="3" x14ac:dyDescent="0.2">
      <c r="A1304" t="str">
        <f t="shared" si="136"/>
        <v/>
      </c>
      <c r="E1304" s="1"/>
      <c r="F1304" s="1"/>
      <c r="G1304" s="2"/>
      <c r="I1304" s="2"/>
      <c r="P1304" t="str">
        <f t="shared" si="137"/>
        <v/>
      </c>
      <c r="Q1304" t="str">
        <f t="shared" si="138"/>
        <v/>
      </c>
      <c r="R1304" t="str">
        <f t="shared" si="139"/>
        <v/>
      </c>
      <c r="T1304">
        <f t="shared" si="140"/>
        <v>2985</v>
      </c>
    </row>
    <row r="1305" spans="1:20" ht="14.1" customHeight="1" outlineLevel="3" x14ac:dyDescent="0.2">
      <c r="A1305" t="str">
        <f t="shared" si="136"/>
        <v/>
      </c>
      <c r="E1305" s="1"/>
      <c r="F1305" s="1"/>
      <c r="G1305" s="2"/>
      <c r="I1305" s="2"/>
      <c r="P1305" t="str">
        <f t="shared" si="137"/>
        <v/>
      </c>
      <c r="Q1305" t="str">
        <f t="shared" si="138"/>
        <v/>
      </c>
      <c r="R1305" t="str">
        <f t="shared" si="139"/>
        <v/>
      </c>
      <c r="T1305">
        <f t="shared" si="140"/>
        <v>2985</v>
      </c>
    </row>
    <row r="1306" spans="1:20" ht="14.1" customHeight="1" outlineLevel="3" x14ac:dyDescent="0.2">
      <c r="A1306" t="str">
        <f t="shared" si="136"/>
        <v/>
      </c>
      <c r="E1306" s="1"/>
      <c r="F1306" s="1"/>
      <c r="G1306" s="2"/>
      <c r="I1306" s="2"/>
      <c r="P1306" t="str">
        <f t="shared" si="137"/>
        <v/>
      </c>
      <c r="Q1306" t="str">
        <f t="shared" si="138"/>
        <v/>
      </c>
      <c r="R1306" t="str">
        <f t="shared" si="139"/>
        <v/>
      </c>
      <c r="T1306">
        <f t="shared" si="140"/>
        <v>2985</v>
      </c>
    </row>
    <row r="1307" spans="1:20" ht="14.1" customHeight="1" outlineLevel="3" x14ac:dyDescent="0.2">
      <c r="A1307" t="str">
        <f t="shared" si="136"/>
        <v/>
      </c>
      <c r="E1307" s="1"/>
      <c r="F1307" s="1"/>
      <c r="G1307" s="2"/>
      <c r="I1307" s="2"/>
      <c r="P1307" t="str">
        <f t="shared" si="137"/>
        <v/>
      </c>
      <c r="Q1307" t="str">
        <f t="shared" si="138"/>
        <v/>
      </c>
      <c r="R1307" t="str">
        <f t="shared" si="139"/>
        <v/>
      </c>
      <c r="T1307">
        <f t="shared" si="140"/>
        <v>2985</v>
      </c>
    </row>
    <row r="1308" spans="1:20" ht="14.1" customHeight="1" outlineLevel="3" x14ac:dyDescent="0.2">
      <c r="A1308" t="str">
        <f t="shared" si="136"/>
        <v/>
      </c>
      <c r="E1308" s="1"/>
      <c r="F1308" s="1"/>
      <c r="G1308" s="2"/>
      <c r="I1308" s="2"/>
      <c r="P1308" t="str">
        <f t="shared" si="137"/>
        <v/>
      </c>
      <c r="Q1308" t="str">
        <f t="shared" si="138"/>
        <v/>
      </c>
      <c r="R1308" t="str">
        <f t="shared" si="139"/>
        <v/>
      </c>
      <c r="T1308">
        <f t="shared" si="140"/>
        <v>2985</v>
      </c>
    </row>
    <row r="1309" spans="1:20" ht="14.1" customHeight="1" outlineLevel="3" x14ac:dyDescent="0.2">
      <c r="A1309" t="str">
        <f t="shared" si="136"/>
        <v/>
      </c>
      <c r="E1309" s="1"/>
      <c r="F1309" s="1"/>
      <c r="G1309" s="2"/>
      <c r="I1309" s="2"/>
      <c r="P1309" t="str">
        <f t="shared" si="137"/>
        <v/>
      </c>
      <c r="Q1309" t="str">
        <f t="shared" si="138"/>
        <v/>
      </c>
      <c r="R1309" t="str">
        <f t="shared" si="139"/>
        <v/>
      </c>
      <c r="T1309">
        <f t="shared" si="140"/>
        <v>2985</v>
      </c>
    </row>
    <row r="1310" spans="1:20" ht="14.1" customHeight="1" outlineLevel="3" x14ac:dyDescent="0.2">
      <c r="A1310" t="str">
        <f t="shared" si="136"/>
        <v/>
      </c>
      <c r="E1310" s="1"/>
      <c r="F1310" s="1"/>
      <c r="G1310" s="2"/>
      <c r="I1310" s="2"/>
      <c r="P1310" t="str">
        <f t="shared" si="137"/>
        <v/>
      </c>
      <c r="Q1310" t="str">
        <f t="shared" si="138"/>
        <v/>
      </c>
      <c r="R1310" t="str">
        <f t="shared" si="139"/>
        <v/>
      </c>
      <c r="T1310">
        <f t="shared" si="140"/>
        <v>2985</v>
      </c>
    </row>
    <row r="1311" spans="1:20" ht="14.1" customHeight="1" outlineLevel="3" x14ac:dyDescent="0.2">
      <c r="A1311" t="str">
        <f t="shared" si="136"/>
        <v/>
      </c>
      <c r="E1311" s="1"/>
      <c r="F1311" s="1"/>
      <c r="G1311" s="2"/>
      <c r="I1311" s="2"/>
      <c r="P1311" t="str">
        <f t="shared" si="137"/>
        <v/>
      </c>
      <c r="Q1311" t="str">
        <f t="shared" si="138"/>
        <v/>
      </c>
      <c r="R1311" t="str">
        <f t="shared" si="139"/>
        <v/>
      </c>
      <c r="T1311">
        <f t="shared" si="140"/>
        <v>2985</v>
      </c>
    </row>
    <row r="1312" spans="1:20" ht="14.1" customHeight="1" outlineLevel="3" x14ac:dyDescent="0.2">
      <c r="A1312" t="str">
        <f t="shared" si="136"/>
        <v/>
      </c>
      <c r="E1312" s="1"/>
      <c r="F1312" s="1"/>
      <c r="G1312" s="2"/>
      <c r="I1312" s="2"/>
      <c r="P1312" t="str">
        <f t="shared" si="137"/>
        <v/>
      </c>
      <c r="Q1312" t="str">
        <f t="shared" si="138"/>
        <v/>
      </c>
      <c r="R1312" t="str">
        <f t="shared" si="139"/>
        <v/>
      </c>
      <c r="T1312">
        <f t="shared" si="140"/>
        <v>2985</v>
      </c>
    </row>
    <row r="1313" spans="1:20" ht="14.1" customHeight="1" outlineLevel="3" x14ac:dyDescent="0.2">
      <c r="A1313" t="str">
        <f t="shared" si="136"/>
        <v/>
      </c>
      <c r="E1313" s="1"/>
      <c r="F1313" s="1"/>
      <c r="G1313" s="2"/>
      <c r="I1313" s="2"/>
      <c r="P1313" t="str">
        <f t="shared" si="137"/>
        <v/>
      </c>
      <c r="Q1313" t="str">
        <f t="shared" si="138"/>
        <v/>
      </c>
      <c r="R1313" t="str">
        <f t="shared" si="139"/>
        <v/>
      </c>
      <c r="T1313">
        <f t="shared" si="140"/>
        <v>2985</v>
      </c>
    </row>
    <row r="1314" spans="1:20" ht="14.1" customHeight="1" outlineLevel="3" x14ac:dyDescent="0.2">
      <c r="A1314" t="str">
        <f t="shared" si="136"/>
        <v/>
      </c>
      <c r="E1314" s="1"/>
      <c r="F1314" s="1"/>
      <c r="G1314" s="2"/>
      <c r="I1314" s="2"/>
      <c r="P1314" t="str">
        <f t="shared" si="137"/>
        <v/>
      </c>
      <c r="Q1314" t="str">
        <f t="shared" si="138"/>
        <v/>
      </c>
      <c r="R1314" t="str">
        <f t="shared" si="139"/>
        <v/>
      </c>
      <c r="T1314">
        <f t="shared" si="140"/>
        <v>2985</v>
      </c>
    </row>
    <row r="1315" spans="1:20" outlineLevel="2" x14ac:dyDescent="0.2">
      <c r="A1315" t="str">
        <f t="shared" si="136"/>
        <v/>
      </c>
      <c r="E1315" s="1"/>
      <c r="F1315" s="1"/>
      <c r="G1315" s="2"/>
      <c r="I1315" s="2"/>
      <c r="P1315" t="str">
        <f t="shared" si="137"/>
        <v/>
      </c>
      <c r="Q1315" t="str">
        <f t="shared" si="138"/>
        <v/>
      </c>
      <c r="R1315" t="str">
        <f t="shared" si="139"/>
        <v/>
      </c>
      <c r="T1315">
        <f t="shared" si="140"/>
        <v>2985</v>
      </c>
    </row>
    <row r="1316" spans="1:20" ht="14.1" customHeight="1" outlineLevel="3" x14ac:dyDescent="0.2">
      <c r="A1316" t="str">
        <f t="shared" si="136"/>
        <v/>
      </c>
      <c r="E1316" s="1"/>
      <c r="F1316" s="1"/>
      <c r="G1316" s="2"/>
      <c r="I1316" s="2"/>
      <c r="P1316" t="str">
        <f t="shared" si="137"/>
        <v/>
      </c>
      <c r="Q1316" t="str">
        <f t="shared" si="138"/>
        <v/>
      </c>
      <c r="R1316" t="str">
        <f t="shared" si="139"/>
        <v/>
      </c>
      <c r="T1316">
        <f t="shared" si="140"/>
        <v>2985</v>
      </c>
    </row>
    <row r="1317" spans="1:20" ht="14.1" customHeight="1" outlineLevel="3" x14ac:dyDescent="0.2">
      <c r="A1317" t="str">
        <f t="shared" si="136"/>
        <v/>
      </c>
      <c r="E1317" s="1"/>
      <c r="F1317" s="1"/>
      <c r="G1317" s="2"/>
      <c r="I1317" s="2"/>
      <c r="P1317" t="str">
        <f t="shared" si="137"/>
        <v/>
      </c>
      <c r="Q1317" t="str">
        <f t="shared" si="138"/>
        <v/>
      </c>
      <c r="R1317" t="str">
        <f t="shared" si="139"/>
        <v/>
      </c>
      <c r="T1317">
        <f t="shared" si="140"/>
        <v>2985</v>
      </c>
    </row>
    <row r="1318" spans="1:20" ht="14.1" customHeight="1" outlineLevel="3" x14ac:dyDescent="0.2">
      <c r="A1318" t="str">
        <f t="shared" si="136"/>
        <v/>
      </c>
      <c r="E1318" s="1"/>
      <c r="F1318" s="1"/>
      <c r="G1318" s="2"/>
      <c r="I1318" s="2"/>
      <c r="P1318" t="str">
        <f t="shared" si="137"/>
        <v/>
      </c>
      <c r="Q1318" t="str">
        <f t="shared" si="138"/>
        <v/>
      </c>
      <c r="R1318" t="str">
        <f t="shared" si="139"/>
        <v/>
      </c>
      <c r="T1318">
        <f t="shared" si="140"/>
        <v>2985</v>
      </c>
    </row>
    <row r="1319" spans="1:20" ht="14.1" customHeight="1" outlineLevel="3" x14ac:dyDescent="0.2">
      <c r="A1319" t="str">
        <f t="shared" si="136"/>
        <v/>
      </c>
      <c r="E1319" s="1"/>
      <c r="F1319" s="1"/>
      <c r="G1319" s="2"/>
      <c r="I1319" s="2"/>
      <c r="P1319" t="str">
        <f t="shared" si="137"/>
        <v/>
      </c>
      <c r="Q1319" t="str">
        <f t="shared" si="138"/>
        <v/>
      </c>
      <c r="R1319" t="str">
        <f t="shared" si="139"/>
        <v/>
      </c>
      <c r="T1319">
        <f t="shared" si="140"/>
        <v>2985</v>
      </c>
    </row>
    <row r="1320" spans="1:20" outlineLevel="2" x14ac:dyDescent="0.2">
      <c r="A1320" t="str">
        <f t="shared" si="136"/>
        <v/>
      </c>
      <c r="E1320" s="1"/>
      <c r="F1320" s="1"/>
      <c r="G1320" s="2"/>
      <c r="I1320" s="2"/>
      <c r="P1320" t="str">
        <f t="shared" si="137"/>
        <v/>
      </c>
      <c r="Q1320" t="str">
        <f t="shared" si="138"/>
        <v/>
      </c>
      <c r="R1320" t="str">
        <f t="shared" si="139"/>
        <v/>
      </c>
      <c r="T1320">
        <f t="shared" si="140"/>
        <v>2985</v>
      </c>
    </row>
    <row r="1321" spans="1:20" ht="14.1" customHeight="1" outlineLevel="3" x14ac:dyDescent="0.2">
      <c r="A1321" t="str">
        <f t="shared" si="136"/>
        <v/>
      </c>
      <c r="E1321" s="1"/>
      <c r="F1321" s="1"/>
      <c r="G1321" s="2"/>
      <c r="I1321" s="2"/>
      <c r="P1321" t="str">
        <f t="shared" si="137"/>
        <v/>
      </c>
      <c r="Q1321" t="str">
        <f t="shared" si="138"/>
        <v/>
      </c>
      <c r="R1321" t="str">
        <f t="shared" si="139"/>
        <v/>
      </c>
      <c r="T1321">
        <f t="shared" si="140"/>
        <v>2985</v>
      </c>
    </row>
    <row r="1322" spans="1:20" outlineLevel="2" x14ac:dyDescent="0.2">
      <c r="A1322" t="str">
        <f t="shared" si="136"/>
        <v/>
      </c>
      <c r="E1322" s="1"/>
      <c r="F1322" s="1"/>
      <c r="G1322" s="2"/>
      <c r="I1322" s="2"/>
      <c r="P1322" t="str">
        <f t="shared" si="137"/>
        <v/>
      </c>
      <c r="Q1322" t="str">
        <f t="shared" si="138"/>
        <v/>
      </c>
      <c r="R1322" t="str">
        <f t="shared" si="139"/>
        <v/>
      </c>
      <c r="T1322">
        <f t="shared" si="140"/>
        <v>2985</v>
      </c>
    </row>
    <row r="1323" spans="1:20" ht="14.1" customHeight="1" outlineLevel="3" x14ac:dyDescent="0.2">
      <c r="A1323" t="str">
        <f t="shared" si="136"/>
        <v/>
      </c>
      <c r="E1323" s="1"/>
      <c r="F1323" s="1"/>
      <c r="G1323" s="2"/>
      <c r="I1323" s="2"/>
      <c r="P1323" t="str">
        <f t="shared" si="137"/>
        <v/>
      </c>
      <c r="Q1323" t="str">
        <f t="shared" si="138"/>
        <v/>
      </c>
      <c r="R1323" t="str">
        <f t="shared" si="139"/>
        <v/>
      </c>
      <c r="T1323">
        <f t="shared" si="140"/>
        <v>2985</v>
      </c>
    </row>
    <row r="1324" spans="1:20" outlineLevel="2" x14ac:dyDescent="0.2">
      <c r="A1324" t="str">
        <f t="shared" si="136"/>
        <v/>
      </c>
      <c r="E1324" s="1"/>
      <c r="F1324" s="1"/>
      <c r="G1324" s="2"/>
      <c r="I1324" s="2"/>
      <c r="P1324" t="str">
        <f t="shared" si="137"/>
        <v/>
      </c>
      <c r="Q1324" t="str">
        <f t="shared" si="138"/>
        <v/>
      </c>
      <c r="R1324" t="str">
        <f t="shared" si="139"/>
        <v/>
      </c>
      <c r="T1324">
        <f t="shared" si="140"/>
        <v>2985</v>
      </c>
    </row>
    <row r="1325" spans="1:20" ht="14.1" customHeight="1" outlineLevel="3" x14ac:dyDescent="0.2">
      <c r="A1325" t="str">
        <f t="shared" si="136"/>
        <v/>
      </c>
      <c r="E1325" s="1"/>
      <c r="F1325" s="1"/>
      <c r="G1325" s="2"/>
      <c r="I1325" s="2"/>
      <c r="P1325" t="str">
        <f t="shared" si="137"/>
        <v/>
      </c>
      <c r="Q1325" t="str">
        <f t="shared" si="138"/>
        <v/>
      </c>
      <c r="R1325" t="str">
        <f t="shared" si="139"/>
        <v/>
      </c>
      <c r="T1325">
        <f t="shared" si="140"/>
        <v>2985</v>
      </c>
    </row>
    <row r="1326" spans="1:20" ht="14.1" customHeight="1" outlineLevel="3" x14ac:dyDescent="0.2">
      <c r="A1326" t="str">
        <f t="shared" si="136"/>
        <v/>
      </c>
      <c r="E1326" s="1"/>
      <c r="F1326" s="1"/>
      <c r="G1326" s="2"/>
      <c r="I1326" s="2"/>
      <c r="P1326" t="str">
        <f t="shared" si="137"/>
        <v/>
      </c>
      <c r="Q1326" t="str">
        <f t="shared" si="138"/>
        <v/>
      </c>
      <c r="R1326" t="str">
        <f t="shared" si="139"/>
        <v/>
      </c>
      <c r="T1326">
        <f t="shared" si="140"/>
        <v>2985</v>
      </c>
    </row>
    <row r="1327" spans="1:20" ht="14.1" customHeight="1" outlineLevel="3" x14ac:dyDescent="0.2">
      <c r="A1327" t="str">
        <f t="shared" si="136"/>
        <v/>
      </c>
      <c r="E1327" s="1"/>
      <c r="F1327" s="1"/>
      <c r="G1327" s="2"/>
      <c r="I1327" s="2"/>
      <c r="P1327" t="str">
        <f t="shared" si="137"/>
        <v/>
      </c>
      <c r="Q1327" t="str">
        <f t="shared" si="138"/>
        <v/>
      </c>
      <c r="R1327" t="str">
        <f t="shared" si="139"/>
        <v/>
      </c>
      <c r="T1327">
        <f t="shared" si="140"/>
        <v>2985</v>
      </c>
    </row>
    <row r="1328" spans="1:20" x14ac:dyDescent="0.2">
      <c r="A1328" t="str">
        <f t="shared" si="136"/>
        <v/>
      </c>
      <c r="E1328" s="1"/>
      <c r="F1328" s="1"/>
      <c r="G1328" s="2"/>
      <c r="I1328" s="2"/>
      <c r="P1328" t="str">
        <f t="shared" si="137"/>
        <v/>
      </c>
      <c r="Q1328" t="str">
        <f t="shared" si="138"/>
        <v/>
      </c>
      <c r="R1328" t="str">
        <f t="shared" si="139"/>
        <v/>
      </c>
      <c r="T1328">
        <f t="shared" si="140"/>
        <v>2985</v>
      </c>
    </row>
    <row r="1329" spans="1:20" x14ac:dyDescent="0.2">
      <c r="A1329" t="str">
        <f t="shared" si="136"/>
        <v/>
      </c>
      <c r="E1329" s="1"/>
      <c r="F1329" s="1"/>
      <c r="G1329" s="2"/>
      <c r="I1329" s="2"/>
      <c r="P1329" t="str">
        <f t="shared" si="137"/>
        <v/>
      </c>
      <c r="Q1329" t="str">
        <f t="shared" si="138"/>
        <v/>
      </c>
      <c r="R1329" t="str">
        <f t="shared" si="139"/>
        <v/>
      </c>
      <c r="T1329">
        <f t="shared" si="140"/>
        <v>2985</v>
      </c>
    </row>
    <row r="1330" spans="1:20" x14ac:dyDescent="0.2">
      <c r="A1330" t="str">
        <f t="shared" si="136"/>
        <v/>
      </c>
      <c r="E1330" s="1"/>
      <c r="F1330" s="1"/>
      <c r="G1330" s="2"/>
      <c r="I1330" s="2"/>
      <c r="P1330" t="str">
        <f t="shared" si="137"/>
        <v/>
      </c>
      <c r="Q1330" t="str">
        <f t="shared" si="138"/>
        <v/>
      </c>
      <c r="R1330" t="str">
        <f t="shared" si="139"/>
        <v/>
      </c>
      <c r="T1330">
        <f t="shared" si="140"/>
        <v>2985</v>
      </c>
    </row>
    <row r="1331" spans="1:20" x14ac:dyDescent="0.2">
      <c r="A1331" t="str">
        <f t="shared" si="136"/>
        <v/>
      </c>
      <c r="E1331" s="1"/>
      <c r="F1331" s="1"/>
      <c r="G1331" s="2"/>
      <c r="I1331" s="2"/>
      <c r="P1331" t="str">
        <f t="shared" si="137"/>
        <v/>
      </c>
      <c r="Q1331" t="str">
        <f t="shared" si="138"/>
        <v/>
      </c>
      <c r="R1331" t="str">
        <f t="shared" si="139"/>
        <v/>
      </c>
      <c r="T1331">
        <f t="shared" si="140"/>
        <v>2985</v>
      </c>
    </row>
    <row r="1332" spans="1:20" x14ac:dyDescent="0.2">
      <c r="A1332" t="str">
        <f t="shared" si="136"/>
        <v/>
      </c>
      <c r="E1332" s="1"/>
      <c r="F1332" s="1"/>
      <c r="G1332" s="2"/>
      <c r="I1332" s="2"/>
      <c r="P1332" t="str">
        <f t="shared" si="137"/>
        <v/>
      </c>
      <c r="Q1332" t="str">
        <f t="shared" si="138"/>
        <v/>
      </c>
      <c r="R1332" t="str">
        <f t="shared" si="139"/>
        <v/>
      </c>
      <c r="T1332">
        <f t="shared" si="140"/>
        <v>2985</v>
      </c>
    </row>
    <row r="1333" spans="1:20" x14ac:dyDescent="0.2">
      <c r="A1333" t="str">
        <f t="shared" si="136"/>
        <v/>
      </c>
      <c r="E1333" s="1"/>
      <c r="F1333" s="1"/>
      <c r="G1333" s="2"/>
      <c r="I1333" s="2"/>
      <c r="P1333" t="str">
        <f t="shared" si="137"/>
        <v/>
      </c>
      <c r="Q1333" t="str">
        <f t="shared" si="138"/>
        <v/>
      </c>
      <c r="R1333" t="str">
        <f t="shared" si="139"/>
        <v/>
      </c>
      <c r="T1333">
        <f t="shared" si="140"/>
        <v>2985</v>
      </c>
    </row>
    <row r="1334" spans="1:20" x14ac:dyDescent="0.2">
      <c r="A1334" t="str">
        <f t="shared" si="136"/>
        <v/>
      </c>
      <c r="E1334" s="1"/>
      <c r="F1334" s="1"/>
      <c r="G1334" s="2"/>
      <c r="I1334" s="2"/>
      <c r="P1334" t="str">
        <f t="shared" si="137"/>
        <v/>
      </c>
      <c r="Q1334" t="str">
        <f t="shared" si="138"/>
        <v/>
      </c>
      <c r="R1334" t="str">
        <f t="shared" si="139"/>
        <v/>
      </c>
      <c r="T1334">
        <f t="shared" si="140"/>
        <v>2985</v>
      </c>
    </row>
    <row r="1335" spans="1:20" x14ac:dyDescent="0.2">
      <c r="A1335" t="str">
        <f t="shared" si="136"/>
        <v/>
      </c>
      <c r="E1335" s="1"/>
      <c r="F1335" s="1"/>
      <c r="G1335" s="2"/>
      <c r="I1335" s="2"/>
      <c r="P1335" t="str">
        <f t="shared" si="137"/>
        <v/>
      </c>
      <c r="Q1335" t="str">
        <f t="shared" si="138"/>
        <v/>
      </c>
      <c r="R1335" t="str">
        <f t="shared" si="139"/>
        <v/>
      </c>
      <c r="T1335">
        <f t="shared" si="140"/>
        <v>2985</v>
      </c>
    </row>
    <row r="1336" spans="1:20" x14ac:dyDescent="0.2">
      <c r="A1336" t="str">
        <f t="shared" si="136"/>
        <v/>
      </c>
      <c r="E1336" s="1"/>
      <c r="F1336" s="1"/>
      <c r="G1336" s="2"/>
      <c r="I1336" s="2"/>
      <c r="P1336" t="str">
        <f t="shared" si="137"/>
        <v/>
      </c>
      <c r="Q1336" t="str">
        <f t="shared" si="138"/>
        <v/>
      </c>
      <c r="R1336" t="str">
        <f t="shared" si="139"/>
        <v/>
      </c>
      <c r="T1336">
        <f t="shared" si="140"/>
        <v>2985</v>
      </c>
    </row>
    <row r="1337" spans="1:20" x14ac:dyDescent="0.2">
      <c r="A1337" t="str">
        <f t="shared" si="136"/>
        <v/>
      </c>
      <c r="E1337" s="1"/>
      <c r="F1337" s="1"/>
      <c r="G1337" s="2"/>
      <c r="I1337" s="2"/>
      <c r="P1337" t="str">
        <f t="shared" si="137"/>
        <v/>
      </c>
      <c r="Q1337" t="str">
        <f t="shared" si="138"/>
        <v/>
      </c>
      <c r="R1337" t="str">
        <f t="shared" si="139"/>
        <v/>
      </c>
      <c r="T1337">
        <f t="shared" si="140"/>
        <v>2985</v>
      </c>
    </row>
    <row r="1338" spans="1:20" x14ac:dyDescent="0.2">
      <c r="A1338" t="str">
        <f t="shared" si="136"/>
        <v/>
      </c>
      <c r="E1338" s="1"/>
      <c r="F1338" s="1"/>
      <c r="G1338" s="2"/>
      <c r="I1338" s="2"/>
      <c r="P1338" t="str">
        <f t="shared" si="137"/>
        <v/>
      </c>
      <c r="Q1338" t="str">
        <f t="shared" si="138"/>
        <v/>
      </c>
      <c r="R1338" t="str">
        <f t="shared" si="139"/>
        <v/>
      </c>
      <c r="T1338">
        <f t="shared" si="140"/>
        <v>2985</v>
      </c>
    </row>
    <row r="1339" spans="1:20" x14ac:dyDescent="0.2">
      <c r="A1339" t="str">
        <f t="shared" si="136"/>
        <v/>
      </c>
      <c r="E1339" s="1"/>
      <c r="F1339" s="1"/>
      <c r="G1339" s="2"/>
      <c r="I1339" s="2"/>
      <c r="P1339" t="str">
        <f t="shared" si="137"/>
        <v/>
      </c>
      <c r="Q1339" t="str">
        <f t="shared" si="138"/>
        <v/>
      </c>
      <c r="R1339" t="str">
        <f t="shared" si="139"/>
        <v/>
      </c>
      <c r="T1339">
        <f t="shared" si="140"/>
        <v>2985</v>
      </c>
    </row>
    <row r="1340" spans="1:20" x14ac:dyDescent="0.2">
      <c r="A1340" t="str">
        <f t="shared" si="136"/>
        <v/>
      </c>
      <c r="E1340" s="1"/>
      <c r="F1340" s="1"/>
      <c r="G1340" s="2"/>
      <c r="I1340" s="2"/>
      <c r="P1340" t="str">
        <f t="shared" si="137"/>
        <v/>
      </c>
      <c r="Q1340" t="str">
        <f t="shared" si="138"/>
        <v/>
      </c>
      <c r="R1340" t="str">
        <f t="shared" si="139"/>
        <v/>
      </c>
      <c r="T1340">
        <f t="shared" si="140"/>
        <v>2985</v>
      </c>
    </row>
    <row r="1341" spans="1:20" x14ac:dyDescent="0.2">
      <c r="A1341" t="str">
        <f t="shared" si="136"/>
        <v/>
      </c>
      <c r="E1341" s="1"/>
      <c r="F1341" s="1"/>
      <c r="G1341" s="2"/>
      <c r="I1341" s="2"/>
      <c r="P1341" t="str">
        <f t="shared" si="137"/>
        <v/>
      </c>
      <c r="Q1341" t="str">
        <f t="shared" si="138"/>
        <v/>
      </c>
      <c r="R1341" t="str">
        <f t="shared" si="139"/>
        <v/>
      </c>
      <c r="T1341">
        <f t="shared" si="140"/>
        <v>2985</v>
      </c>
    </row>
    <row r="1342" spans="1:20" x14ac:dyDescent="0.2">
      <c r="A1342" t="str">
        <f t="shared" si="136"/>
        <v/>
      </c>
      <c r="E1342" s="1"/>
      <c r="F1342" s="1"/>
      <c r="G1342" s="2"/>
      <c r="I1342" s="2"/>
      <c r="P1342" t="str">
        <f t="shared" si="137"/>
        <v/>
      </c>
      <c r="Q1342" t="str">
        <f t="shared" si="138"/>
        <v/>
      </c>
      <c r="R1342" t="str">
        <f t="shared" si="139"/>
        <v/>
      </c>
      <c r="T1342">
        <f t="shared" si="140"/>
        <v>2985</v>
      </c>
    </row>
    <row r="1343" spans="1:20" x14ac:dyDescent="0.2">
      <c r="A1343" t="str">
        <f t="shared" si="136"/>
        <v/>
      </c>
      <c r="E1343" s="1"/>
      <c r="F1343" s="1"/>
      <c r="G1343" s="2"/>
      <c r="I1343" s="2"/>
      <c r="P1343" t="str">
        <f t="shared" si="137"/>
        <v/>
      </c>
      <c r="Q1343" t="str">
        <f t="shared" si="138"/>
        <v/>
      </c>
      <c r="R1343" t="str">
        <f t="shared" si="139"/>
        <v/>
      </c>
      <c r="T1343">
        <f t="shared" si="140"/>
        <v>2985</v>
      </c>
    </row>
    <row r="1344" spans="1:20" x14ac:dyDescent="0.2">
      <c r="A1344" t="str">
        <f t="shared" si="136"/>
        <v/>
      </c>
      <c r="E1344" s="1"/>
      <c r="F1344" s="1"/>
      <c r="G1344" s="2"/>
      <c r="I1344" s="2"/>
      <c r="P1344" t="str">
        <f t="shared" si="137"/>
        <v/>
      </c>
      <c r="Q1344" t="str">
        <f t="shared" si="138"/>
        <v/>
      </c>
      <c r="R1344" t="str">
        <f t="shared" si="139"/>
        <v/>
      </c>
      <c r="T1344">
        <f t="shared" si="140"/>
        <v>2985</v>
      </c>
    </row>
    <row r="1345" spans="1:20" x14ac:dyDescent="0.2">
      <c r="A1345" t="str">
        <f t="shared" si="136"/>
        <v/>
      </c>
      <c r="E1345" s="1"/>
      <c r="F1345" s="1"/>
      <c r="G1345" s="2"/>
      <c r="I1345" s="2"/>
      <c r="P1345" t="str">
        <f t="shared" si="137"/>
        <v/>
      </c>
      <c r="Q1345" t="str">
        <f t="shared" si="138"/>
        <v/>
      </c>
      <c r="R1345" t="str">
        <f t="shared" si="139"/>
        <v/>
      </c>
      <c r="T1345">
        <f t="shared" si="140"/>
        <v>2985</v>
      </c>
    </row>
    <row r="1346" spans="1:20" x14ac:dyDescent="0.2">
      <c r="A1346" t="str">
        <f t="shared" si="136"/>
        <v/>
      </c>
      <c r="E1346" s="1"/>
      <c r="F1346" s="1"/>
      <c r="G1346" s="2"/>
      <c r="I1346" s="2"/>
      <c r="P1346" t="str">
        <f t="shared" si="137"/>
        <v/>
      </c>
      <c r="Q1346" t="str">
        <f t="shared" si="138"/>
        <v/>
      </c>
      <c r="R1346" t="str">
        <f t="shared" si="139"/>
        <v/>
      </c>
      <c r="T1346">
        <f t="shared" si="140"/>
        <v>2985</v>
      </c>
    </row>
    <row r="1347" spans="1:20" x14ac:dyDescent="0.2">
      <c r="A1347" t="str">
        <f t="shared" ref="A1347:A1410" si="141">IFERROR(IF(OR(K1347="",I1347=0),"",D1347&amp;K1347&amp;I1347),"")</f>
        <v/>
      </c>
      <c r="E1347" s="1"/>
      <c r="F1347" s="1"/>
      <c r="G1347" s="2"/>
      <c r="I1347" s="2"/>
      <c r="P1347" t="str">
        <f t="shared" ref="P1347:P1410" si="142">IF(OR(K1347="",K1347=0),"",D1347&amp;N1347&amp;K1347&amp;M1347&amp;F1347)</f>
        <v/>
      </c>
      <c r="Q1347" t="str">
        <f t="shared" ref="Q1347:Q1410" si="143">IF(P1347="","",COUNTIF($P$2:$P$1448,$P1347))</f>
        <v/>
      </c>
      <c r="R1347" t="str">
        <f t="shared" ref="R1347:R1410" si="144">G1347&amp;K1347&amp;N1347</f>
        <v/>
      </c>
      <c r="T1347">
        <f t="shared" ref="T1347:T1410" si="145">COUNTIF($R$2:$R$2986,$R1347)</f>
        <v>2985</v>
      </c>
    </row>
    <row r="1348" spans="1:20" x14ac:dyDescent="0.2">
      <c r="A1348" t="str">
        <f t="shared" si="141"/>
        <v/>
      </c>
      <c r="E1348" s="1"/>
      <c r="F1348" s="1"/>
      <c r="G1348" s="2"/>
      <c r="I1348" s="2"/>
      <c r="P1348" t="str">
        <f t="shared" si="142"/>
        <v/>
      </c>
      <c r="Q1348" t="str">
        <f t="shared" si="143"/>
        <v/>
      </c>
      <c r="R1348" t="str">
        <f t="shared" si="144"/>
        <v/>
      </c>
      <c r="T1348">
        <f t="shared" si="145"/>
        <v>2985</v>
      </c>
    </row>
    <row r="1349" spans="1:20" x14ac:dyDescent="0.2">
      <c r="A1349" t="str">
        <f t="shared" si="141"/>
        <v/>
      </c>
      <c r="E1349" s="1"/>
      <c r="F1349" s="1"/>
      <c r="G1349" s="2"/>
      <c r="I1349" s="2"/>
      <c r="P1349" t="str">
        <f t="shared" si="142"/>
        <v/>
      </c>
      <c r="Q1349" t="str">
        <f t="shared" si="143"/>
        <v/>
      </c>
      <c r="R1349" t="str">
        <f t="shared" si="144"/>
        <v/>
      </c>
      <c r="T1349">
        <f t="shared" si="145"/>
        <v>2985</v>
      </c>
    </row>
    <row r="1350" spans="1:20" x14ac:dyDescent="0.2">
      <c r="A1350" t="str">
        <f t="shared" si="141"/>
        <v/>
      </c>
      <c r="E1350" s="1"/>
      <c r="F1350" s="1"/>
      <c r="G1350" s="2"/>
      <c r="I1350" s="2"/>
      <c r="P1350" t="str">
        <f t="shared" si="142"/>
        <v/>
      </c>
      <c r="Q1350" t="str">
        <f t="shared" si="143"/>
        <v/>
      </c>
      <c r="R1350" t="str">
        <f t="shared" si="144"/>
        <v/>
      </c>
      <c r="T1350">
        <f t="shared" si="145"/>
        <v>2985</v>
      </c>
    </row>
    <row r="1351" spans="1:20" x14ac:dyDescent="0.2">
      <c r="A1351" t="str">
        <f t="shared" si="141"/>
        <v/>
      </c>
      <c r="E1351" s="1"/>
      <c r="F1351" s="1"/>
      <c r="G1351" s="2"/>
      <c r="I1351" s="2"/>
      <c r="P1351" t="str">
        <f t="shared" si="142"/>
        <v/>
      </c>
      <c r="Q1351" t="str">
        <f t="shared" si="143"/>
        <v/>
      </c>
      <c r="R1351" t="str">
        <f t="shared" si="144"/>
        <v/>
      </c>
      <c r="T1351">
        <f t="shared" si="145"/>
        <v>2985</v>
      </c>
    </row>
    <row r="1352" spans="1:20" x14ac:dyDescent="0.2">
      <c r="A1352" t="str">
        <f t="shared" si="141"/>
        <v/>
      </c>
      <c r="E1352" s="1"/>
      <c r="F1352" s="1"/>
      <c r="G1352" s="2"/>
      <c r="I1352" s="2"/>
      <c r="P1352" t="str">
        <f t="shared" si="142"/>
        <v/>
      </c>
      <c r="Q1352" t="str">
        <f t="shared" si="143"/>
        <v/>
      </c>
      <c r="R1352" t="str">
        <f t="shared" si="144"/>
        <v/>
      </c>
      <c r="T1352">
        <f t="shared" si="145"/>
        <v>2985</v>
      </c>
    </row>
    <row r="1353" spans="1:20" x14ac:dyDescent="0.2">
      <c r="A1353" t="str">
        <f t="shared" si="141"/>
        <v/>
      </c>
      <c r="E1353" s="1"/>
      <c r="F1353" s="1"/>
      <c r="G1353" s="2"/>
      <c r="I1353" s="2"/>
      <c r="P1353" t="str">
        <f t="shared" si="142"/>
        <v/>
      </c>
      <c r="Q1353" t="str">
        <f t="shared" si="143"/>
        <v/>
      </c>
      <c r="R1353" t="str">
        <f t="shared" si="144"/>
        <v/>
      </c>
      <c r="T1353">
        <f t="shared" si="145"/>
        <v>2985</v>
      </c>
    </row>
    <row r="1354" spans="1:20" x14ac:dyDescent="0.2">
      <c r="A1354" t="str">
        <f t="shared" si="141"/>
        <v/>
      </c>
      <c r="E1354" s="1"/>
      <c r="F1354" s="1"/>
      <c r="G1354" s="2"/>
      <c r="I1354" s="2"/>
      <c r="P1354" t="str">
        <f t="shared" si="142"/>
        <v/>
      </c>
      <c r="Q1354" t="str">
        <f t="shared" si="143"/>
        <v/>
      </c>
      <c r="R1354" t="str">
        <f t="shared" si="144"/>
        <v/>
      </c>
      <c r="T1354">
        <f t="shared" si="145"/>
        <v>2985</v>
      </c>
    </row>
    <row r="1355" spans="1:20" x14ac:dyDescent="0.2">
      <c r="A1355" t="str">
        <f t="shared" si="141"/>
        <v/>
      </c>
      <c r="E1355" s="1"/>
      <c r="F1355" s="1"/>
      <c r="G1355" s="2"/>
      <c r="I1355" s="2"/>
      <c r="P1355" t="str">
        <f t="shared" si="142"/>
        <v/>
      </c>
      <c r="Q1355" t="str">
        <f t="shared" si="143"/>
        <v/>
      </c>
      <c r="R1355" t="str">
        <f t="shared" si="144"/>
        <v/>
      </c>
      <c r="T1355">
        <f t="shared" si="145"/>
        <v>2985</v>
      </c>
    </row>
    <row r="1356" spans="1:20" x14ac:dyDescent="0.2">
      <c r="A1356" t="str">
        <f t="shared" si="141"/>
        <v/>
      </c>
      <c r="E1356" s="1"/>
      <c r="F1356" s="1"/>
      <c r="G1356" s="2"/>
      <c r="I1356" s="2"/>
      <c r="P1356" t="str">
        <f t="shared" si="142"/>
        <v/>
      </c>
      <c r="Q1356" t="str">
        <f t="shared" si="143"/>
        <v/>
      </c>
      <c r="R1356" t="str">
        <f t="shared" si="144"/>
        <v/>
      </c>
      <c r="T1356">
        <f t="shared" si="145"/>
        <v>2985</v>
      </c>
    </row>
    <row r="1357" spans="1:20" x14ac:dyDescent="0.2">
      <c r="A1357" t="str">
        <f t="shared" si="141"/>
        <v/>
      </c>
      <c r="E1357" s="1"/>
      <c r="F1357" s="1"/>
      <c r="G1357" s="2"/>
      <c r="I1357" s="2"/>
      <c r="P1357" t="str">
        <f t="shared" si="142"/>
        <v/>
      </c>
      <c r="Q1357" t="str">
        <f t="shared" si="143"/>
        <v/>
      </c>
      <c r="R1357" t="str">
        <f t="shared" si="144"/>
        <v/>
      </c>
      <c r="T1357">
        <f t="shared" si="145"/>
        <v>2985</v>
      </c>
    </row>
    <row r="1358" spans="1:20" x14ac:dyDescent="0.2">
      <c r="A1358" t="str">
        <f t="shared" si="141"/>
        <v/>
      </c>
      <c r="E1358" s="1"/>
      <c r="F1358" s="1"/>
      <c r="G1358" s="2"/>
      <c r="I1358" s="2"/>
      <c r="P1358" t="str">
        <f t="shared" si="142"/>
        <v/>
      </c>
      <c r="Q1358" t="str">
        <f t="shared" si="143"/>
        <v/>
      </c>
      <c r="R1358" t="str">
        <f t="shared" si="144"/>
        <v/>
      </c>
      <c r="T1358">
        <f t="shared" si="145"/>
        <v>2985</v>
      </c>
    </row>
    <row r="1359" spans="1:20" x14ac:dyDescent="0.2">
      <c r="A1359" t="str">
        <f t="shared" si="141"/>
        <v/>
      </c>
      <c r="E1359" s="1"/>
      <c r="F1359" s="1"/>
      <c r="G1359" s="2"/>
      <c r="I1359" s="2"/>
      <c r="P1359" t="str">
        <f t="shared" si="142"/>
        <v/>
      </c>
      <c r="Q1359" t="str">
        <f t="shared" si="143"/>
        <v/>
      </c>
      <c r="R1359" t="str">
        <f t="shared" si="144"/>
        <v/>
      </c>
      <c r="T1359">
        <f t="shared" si="145"/>
        <v>2985</v>
      </c>
    </row>
    <row r="1360" spans="1:20" x14ac:dyDescent="0.2">
      <c r="A1360" t="str">
        <f t="shared" si="141"/>
        <v/>
      </c>
      <c r="E1360" s="1"/>
      <c r="F1360" s="1"/>
      <c r="G1360" s="2"/>
      <c r="I1360" s="2"/>
      <c r="P1360" t="str">
        <f t="shared" si="142"/>
        <v/>
      </c>
      <c r="Q1360" t="str">
        <f t="shared" si="143"/>
        <v/>
      </c>
      <c r="R1360" t="str">
        <f t="shared" si="144"/>
        <v/>
      </c>
      <c r="T1360">
        <f t="shared" si="145"/>
        <v>2985</v>
      </c>
    </row>
    <row r="1361" spans="1:20" x14ac:dyDescent="0.2">
      <c r="A1361" t="str">
        <f t="shared" si="141"/>
        <v/>
      </c>
      <c r="E1361" s="1"/>
      <c r="F1361" s="1"/>
      <c r="G1361" s="2"/>
      <c r="I1361" s="2"/>
      <c r="P1361" t="str">
        <f t="shared" si="142"/>
        <v/>
      </c>
      <c r="Q1361" t="str">
        <f t="shared" si="143"/>
        <v/>
      </c>
      <c r="R1361" t="str">
        <f t="shared" si="144"/>
        <v/>
      </c>
      <c r="T1361">
        <f t="shared" si="145"/>
        <v>2985</v>
      </c>
    </row>
    <row r="1362" spans="1:20" x14ac:dyDescent="0.2">
      <c r="A1362" t="str">
        <f t="shared" si="141"/>
        <v/>
      </c>
      <c r="E1362" s="1"/>
      <c r="F1362" s="1"/>
      <c r="G1362" s="2"/>
      <c r="I1362" s="2"/>
      <c r="P1362" t="str">
        <f t="shared" si="142"/>
        <v/>
      </c>
      <c r="Q1362" t="str">
        <f t="shared" si="143"/>
        <v/>
      </c>
      <c r="R1362" t="str">
        <f t="shared" si="144"/>
        <v/>
      </c>
      <c r="T1362">
        <f t="shared" si="145"/>
        <v>2985</v>
      </c>
    </row>
    <row r="1363" spans="1:20" x14ac:dyDescent="0.2">
      <c r="A1363" t="str">
        <f t="shared" si="141"/>
        <v/>
      </c>
      <c r="E1363" s="1"/>
      <c r="F1363" s="1"/>
      <c r="G1363" s="2"/>
      <c r="I1363" s="2"/>
      <c r="P1363" t="str">
        <f t="shared" si="142"/>
        <v/>
      </c>
      <c r="Q1363" t="str">
        <f t="shared" si="143"/>
        <v/>
      </c>
      <c r="R1363" t="str">
        <f t="shared" si="144"/>
        <v/>
      </c>
      <c r="T1363">
        <f t="shared" si="145"/>
        <v>2985</v>
      </c>
    </row>
    <row r="1364" spans="1:20" x14ac:dyDescent="0.2">
      <c r="A1364" t="str">
        <f t="shared" si="141"/>
        <v/>
      </c>
      <c r="E1364" s="1"/>
      <c r="F1364" s="1"/>
      <c r="G1364" s="2"/>
      <c r="I1364" s="2"/>
      <c r="P1364" t="str">
        <f t="shared" si="142"/>
        <v/>
      </c>
      <c r="Q1364" t="str">
        <f t="shared" si="143"/>
        <v/>
      </c>
      <c r="R1364" t="str">
        <f t="shared" si="144"/>
        <v/>
      </c>
      <c r="T1364">
        <f t="shared" si="145"/>
        <v>2985</v>
      </c>
    </row>
    <row r="1365" spans="1:20" x14ac:dyDescent="0.2">
      <c r="A1365" t="str">
        <f t="shared" si="141"/>
        <v/>
      </c>
      <c r="E1365" s="1"/>
      <c r="F1365" s="1"/>
      <c r="G1365" s="2"/>
      <c r="I1365" s="2"/>
      <c r="P1365" t="str">
        <f t="shared" si="142"/>
        <v/>
      </c>
      <c r="Q1365" t="str">
        <f t="shared" si="143"/>
        <v/>
      </c>
      <c r="R1365" t="str">
        <f t="shared" si="144"/>
        <v/>
      </c>
      <c r="T1365">
        <f t="shared" si="145"/>
        <v>2985</v>
      </c>
    </row>
    <row r="1366" spans="1:20" x14ac:dyDescent="0.2">
      <c r="A1366" t="str">
        <f t="shared" si="141"/>
        <v/>
      </c>
      <c r="E1366" s="1"/>
      <c r="F1366" s="1"/>
      <c r="G1366" s="2"/>
      <c r="I1366" s="2"/>
      <c r="P1366" t="str">
        <f t="shared" si="142"/>
        <v/>
      </c>
      <c r="Q1366" t="str">
        <f t="shared" si="143"/>
        <v/>
      </c>
      <c r="R1366" t="str">
        <f t="shared" si="144"/>
        <v/>
      </c>
      <c r="T1366">
        <f t="shared" si="145"/>
        <v>2985</v>
      </c>
    </row>
    <row r="1367" spans="1:20" x14ac:dyDescent="0.2">
      <c r="A1367" t="str">
        <f t="shared" si="141"/>
        <v/>
      </c>
      <c r="E1367" s="1"/>
      <c r="F1367" s="1"/>
      <c r="G1367" s="2"/>
      <c r="I1367" s="2"/>
      <c r="P1367" t="str">
        <f t="shared" si="142"/>
        <v/>
      </c>
      <c r="Q1367" t="str">
        <f t="shared" si="143"/>
        <v/>
      </c>
      <c r="R1367" t="str">
        <f t="shared" si="144"/>
        <v/>
      </c>
      <c r="T1367">
        <f t="shared" si="145"/>
        <v>2985</v>
      </c>
    </row>
    <row r="1368" spans="1:20" x14ac:dyDescent="0.2">
      <c r="A1368" t="str">
        <f t="shared" si="141"/>
        <v/>
      </c>
      <c r="E1368" s="1"/>
      <c r="F1368" s="1"/>
      <c r="G1368" s="2"/>
      <c r="I1368" s="2"/>
      <c r="P1368" t="str">
        <f t="shared" si="142"/>
        <v/>
      </c>
      <c r="Q1368" t="str">
        <f t="shared" si="143"/>
        <v/>
      </c>
      <c r="R1368" t="str">
        <f t="shared" si="144"/>
        <v/>
      </c>
      <c r="T1368">
        <f t="shared" si="145"/>
        <v>2985</v>
      </c>
    </row>
    <row r="1369" spans="1:20" x14ac:dyDescent="0.2">
      <c r="A1369" t="str">
        <f t="shared" si="141"/>
        <v/>
      </c>
      <c r="E1369" s="1"/>
      <c r="F1369" s="1"/>
      <c r="G1369" s="2"/>
      <c r="I1369" s="2"/>
      <c r="P1369" t="str">
        <f t="shared" si="142"/>
        <v/>
      </c>
      <c r="Q1369" t="str">
        <f t="shared" si="143"/>
        <v/>
      </c>
      <c r="R1369" t="str">
        <f t="shared" si="144"/>
        <v/>
      </c>
      <c r="T1369">
        <f t="shared" si="145"/>
        <v>2985</v>
      </c>
    </row>
    <row r="1370" spans="1:20" x14ac:dyDescent="0.2">
      <c r="A1370" t="str">
        <f t="shared" si="141"/>
        <v/>
      </c>
      <c r="E1370" s="1"/>
      <c r="F1370" s="1"/>
      <c r="G1370" s="2"/>
      <c r="I1370" s="2"/>
      <c r="P1370" t="str">
        <f t="shared" si="142"/>
        <v/>
      </c>
      <c r="Q1370" t="str">
        <f t="shared" si="143"/>
        <v/>
      </c>
      <c r="R1370" t="str">
        <f t="shared" si="144"/>
        <v/>
      </c>
      <c r="T1370">
        <f t="shared" si="145"/>
        <v>2985</v>
      </c>
    </row>
    <row r="1371" spans="1:20" x14ac:dyDescent="0.2">
      <c r="A1371" t="str">
        <f t="shared" si="141"/>
        <v/>
      </c>
      <c r="E1371" s="1"/>
      <c r="F1371" s="1"/>
      <c r="G1371" s="2"/>
      <c r="I1371" s="2"/>
      <c r="P1371" t="str">
        <f t="shared" si="142"/>
        <v/>
      </c>
      <c r="Q1371" t="str">
        <f t="shared" si="143"/>
        <v/>
      </c>
      <c r="R1371" t="str">
        <f t="shared" si="144"/>
        <v/>
      </c>
      <c r="T1371">
        <f t="shared" si="145"/>
        <v>2985</v>
      </c>
    </row>
    <row r="1372" spans="1:20" x14ac:dyDescent="0.2">
      <c r="A1372" t="str">
        <f t="shared" si="141"/>
        <v/>
      </c>
      <c r="E1372" s="1"/>
      <c r="F1372" s="1"/>
      <c r="G1372" s="2"/>
      <c r="I1372" s="2"/>
      <c r="P1372" t="str">
        <f t="shared" si="142"/>
        <v/>
      </c>
      <c r="Q1372" t="str">
        <f t="shared" si="143"/>
        <v/>
      </c>
      <c r="R1372" t="str">
        <f t="shared" si="144"/>
        <v/>
      </c>
      <c r="T1372">
        <f t="shared" si="145"/>
        <v>2985</v>
      </c>
    </row>
    <row r="1373" spans="1:20" x14ac:dyDescent="0.2">
      <c r="A1373" t="str">
        <f t="shared" si="141"/>
        <v/>
      </c>
      <c r="E1373" s="1"/>
      <c r="F1373" s="1"/>
      <c r="G1373" s="2"/>
      <c r="I1373" s="2"/>
      <c r="P1373" t="str">
        <f t="shared" si="142"/>
        <v/>
      </c>
      <c r="Q1373" t="str">
        <f t="shared" si="143"/>
        <v/>
      </c>
      <c r="R1373" t="str">
        <f t="shared" si="144"/>
        <v/>
      </c>
      <c r="T1373">
        <f t="shared" si="145"/>
        <v>2985</v>
      </c>
    </row>
    <row r="1374" spans="1:20" x14ac:dyDescent="0.2">
      <c r="A1374" t="str">
        <f t="shared" si="141"/>
        <v/>
      </c>
      <c r="E1374" s="1"/>
      <c r="F1374" s="1"/>
      <c r="G1374" s="2"/>
      <c r="I1374" s="2"/>
      <c r="P1374" t="str">
        <f t="shared" si="142"/>
        <v/>
      </c>
      <c r="Q1374" t="str">
        <f t="shared" si="143"/>
        <v/>
      </c>
      <c r="R1374" t="str">
        <f t="shared" si="144"/>
        <v/>
      </c>
      <c r="T1374">
        <f t="shared" si="145"/>
        <v>2985</v>
      </c>
    </row>
    <row r="1375" spans="1:20" x14ac:dyDescent="0.2">
      <c r="A1375" t="str">
        <f t="shared" si="141"/>
        <v/>
      </c>
      <c r="E1375" s="1"/>
      <c r="F1375" s="1"/>
      <c r="G1375" s="2"/>
      <c r="I1375" s="2"/>
      <c r="P1375" t="str">
        <f t="shared" si="142"/>
        <v/>
      </c>
      <c r="Q1375" t="str">
        <f t="shared" si="143"/>
        <v/>
      </c>
      <c r="R1375" t="str">
        <f t="shared" si="144"/>
        <v/>
      </c>
      <c r="T1375">
        <f t="shared" si="145"/>
        <v>2985</v>
      </c>
    </row>
    <row r="1376" spans="1:20" x14ac:dyDescent="0.2">
      <c r="A1376" t="str">
        <f t="shared" si="141"/>
        <v/>
      </c>
      <c r="E1376" s="1"/>
      <c r="F1376" s="1"/>
      <c r="G1376" s="2"/>
      <c r="I1376" s="2"/>
      <c r="P1376" t="str">
        <f t="shared" si="142"/>
        <v/>
      </c>
      <c r="Q1376" t="str">
        <f t="shared" si="143"/>
        <v/>
      </c>
      <c r="R1376" t="str">
        <f t="shared" si="144"/>
        <v/>
      </c>
      <c r="T1376">
        <f t="shared" si="145"/>
        <v>2985</v>
      </c>
    </row>
    <row r="1377" spans="1:20" x14ac:dyDescent="0.2">
      <c r="A1377" t="str">
        <f t="shared" si="141"/>
        <v/>
      </c>
      <c r="E1377" s="1"/>
      <c r="F1377" s="1"/>
      <c r="G1377" s="2"/>
      <c r="I1377" s="2"/>
      <c r="P1377" t="str">
        <f t="shared" si="142"/>
        <v/>
      </c>
      <c r="Q1377" t="str">
        <f t="shared" si="143"/>
        <v/>
      </c>
      <c r="R1377" t="str">
        <f t="shared" si="144"/>
        <v/>
      </c>
      <c r="T1377">
        <f t="shared" si="145"/>
        <v>2985</v>
      </c>
    </row>
    <row r="1378" spans="1:20" x14ac:dyDescent="0.2">
      <c r="A1378" t="str">
        <f t="shared" si="141"/>
        <v/>
      </c>
      <c r="E1378" s="1"/>
      <c r="F1378" s="1"/>
      <c r="G1378" s="2"/>
      <c r="I1378" s="2"/>
      <c r="P1378" t="str">
        <f t="shared" si="142"/>
        <v/>
      </c>
      <c r="Q1378" t="str">
        <f t="shared" si="143"/>
        <v/>
      </c>
      <c r="R1378" t="str">
        <f t="shared" si="144"/>
        <v/>
      </c>
      <c r="T1378">
        <f t="shared" si="145"/>
        <v>2985</v>
      </c>
    </row>
    <row r="1379" spans="1:20" x14ac:dyDescent="0.2">
      <c r="A1379" t="str">
        <f t="shared" si="141"/>
        <v/>
      </c>
      <c r="E1379" s="1"/>
      <c r="F1379" s="1"/>
      <c r="G1379" s="2"/>
      <c r="I1379" s="2"/>
      <c r="P1379" t="str">
        <f t="shared" si="142"/>
        <v/>
      </c>
      <c r="Q1379" t="str">
        <f t="shared" si="143"/>
        <v/>
      </c>
      <c r="R1379" t="str">
        <f t="shared" si="144"/>
        <v/>
      </c>
      <c r="T1379">
        <f t="shared" si="145"/>
        <v>2985</v>
      </c>
    </row>
    <row r="1380" spans="1:20" x14ac:dyDescent="0.2">
      <c r="A1380" t="str">
        <f t="shared" si="141"/>
        <v/>
      </c>
      <c r="E1380" s="1"/>
      <c r="F1380" s="1"/>
      <c r="G1380" s="2"/>
      <c r="I1380" s="2"/>
      <c r="P1380" t="str">
        <f t="shared" si="142"/>
        <v/>
      </c>
      <c r="Q1380" t="str">
        <f t="shared" si="143"/>
        <v/>
      </c>
      <c r="R1380" t="str">
        <f t="shared" si="144"/>
        <v/>
      </c>
      <c r="T1380">
        <f t="shared" si="145"/>
        <v>2985</v>
      </c>
    </row>
    <row r="1381" spans="1:20" x14ac:dyDescent="0.2">
      <c r="A1381" t="str">
        <f t="shared" si="141"/>
        <v/>
      </c>
      <c r="E1381" s="1"/>
      <c r="F1381" s="1"/>
      <c r="G1381" s="2"/>
      <c r="I1381" s="2"/>
      <c r="P1381" t="str">
        <f t="shared" si="142"/>
        <v/>
      </c>
      <c r="Q1381" t="str">
        <f t="shared" si="143"/>
        <v/>
      </c>
      <c r="R1381" t="str">
        <f t="shared" si="144"/>
        <v/>
      </c>
      <c r="T1381">
        <f t="shared" si="145"/>
        <v>2985</v>
      </c>
    </row>
    <row r="1382" spans="1:20" x14ac:dyDescent="0.2">
      <c r="A1382" t="str">
        <f t="shared" si="141"/>
        <v/>
      </c>
      <c r="E1382" s="1"/>
      <c r="F1382" s="1"/>
      <c r="G1382" s="2"/>
      <c r="I1382" s="2"/>
      <c r="P1382" t="str">
        <f t="shared" si="142"/>
        <v/>
      </c>
      <c r="Q1382" t="str">
        <f t="shared" si="143"/>
        <v/>
      </c>
      <c r="R1382" t="str">
        <f t="shared" si="144"/>
        <v/>
      </c>
      <c r="T1382">
        <f t="shared" si="145"/>
        <v>2985</v>
      </c>
    </row>
    <row r="1383" spans="1:20" x14ac:dyDescent="0.2">
      <c r="A1383" t="str">
        <f t="shared" si="141"/>
        <v/>
      </c>
      <c r="E1383" s="1"/>
      <c r="F1383" s="1"/>
      <c r="G1383" s="2"/>
      <c r="I1383" s="2"/>
      <c r="P1383" t="str">
        <f t="shared" si="142"/>
        <v/>
      </c>
      <c r="Q1383" t="str">
        <f t="shared" si="143"/>
        <v/>
      </c>
      <c r="R1383" t="str">
        <f t="shared" si="144"/>
        <v/>
      </c>
      <c r="T1383">
        <f t="shared" si="145"/>
        <v>2985</v>
      </c>
    </row>
    <row r="1384" spans="1:20" x14ac:dyDescent="0.2">
      <c r="A1384" t="str">
        <f t="shared" si="141"/>
        <v/>
      </c>
      <c r="E1384" s="1"/>
      <c r="F1384" s="1"/>
      <c r="G1384" s="2"/>
      <c r="I1384" s="2"/>
      <c r="P1384" t="str">
        <f t="shared" si="142"/>
        <v/>
      </c>
      <c r="Q1384" t="str">
        <f t="shared" si="143"/>
        <v/>
      </c>
      <c r="R1384" t="str">
        <f t="shared" si="144"/>
        <v/>
      </c>
      <c r="T1384">
        <f t="shared" si="145"/>
        <v>2985</v>
      </c>
    </row>
    <row r="1385" spans="1:20" x14ac:dyDescent="0.2">
      <c r="A1385" t="str">
        <f t="shared" si="141"/>
        <v/>
      </c>
      <c r="E1385" s="1"/>
      <c r="F1385" s="1"/>
      <c r="G1385" s="2"/>
      <c r="I1385" s="2"/>
      <c r="P1385" t="str">
        <f t="shared" si="142"/>
        <v/>
      </c>
      <c r="Q1385" t="str">
        <f t="shared" si="143"/>
        <v/>
      </c>
      <c r="R1385" t="str">
        <f t="shared" si="144"/>
        <v/>
      </c>
      <c r="T1385">
        <f t="shared" si="145"/>
        <v>2985</v>
      </c>
    </row>
    <row r="1386" spans="1:20" x14ac:dyDescent="0.2">
      <c r="A1386" t="str">
        <f t="shared" si="141"/>
        <v/>
      </c>
      <c r="E1386" s="1"/>
      <c r="F1386" s="1"/>
      <c r="G1386" s="2"/>
      <c r="I1386" s="2"/>
      <c r="P1386" t="str">
        <f t="shared" si="142"/>
        <v/>
      </c>
      <c r="Q1386" t="str">
        <f t="shared" si="143"/>
        <v/>
      </c>
      <c r="R1386" t="str">
        <f t="shared" si="144"/>
        <v/>
      </c>
      <c r="T1386">
        <f t="shared" si="145"/>
        <v>2985</v>
      </c>
    </row>
    <row r="1387" spans="1:20" x14ac:dyDescent="0.2">
      <c r="A1387" t="str">
        <f t="shared" si="141"/>
        <v/>
      </c>
      <c r="E1387" s="1"/>
      <c r="F1387" s="1"/>
      <c r="G1387" s="2"/>
      <c r="I1387" s="2"/>
      <c r="P1387" t="str">
        <f t="shared" si="142"/>
        <v/>
      </c>
      <c r="Q1387" t="str">
        <f t="shared" si="143"/>
        <v/>
      </c>
      <c r="R1387" t="str">
        <f t="shared" si="144"/>
        <v/>
      </c>
      <c r="T1387">
        <f t="shared" si="145"/>
        <v>2985</v>
      </c>
    </row>
    <row r="1388" spans="1:20" x14ac:dyDescent="0.2">
      <c r="A1388" t="str">
        <f t="shared" si="141"/>
        <v/>
      </c>
      <c r="E1388" s="1"/>
      <c r="F1388" s="1"/>
      <c r="G1388" s="2"/>
      <c r="I1388" s="2"/>
      <c r="P1388" t="str">
        <f t="shared" si="142"/>
        <v/>
      </c>
      <c r="Q1388" t="str">
        <f t="shared" si="143"/>
        <v/>
      </c>
      <c r="R1388" t="str">
        <f t="shared" si="144"/>
        <v/>
      </c>
      <c r="T1388">
        <f t="shared" si="145"/>
        <v>2985</v>
      </c>
    </row>
    <row r="1389" spans="1:20" x14ac:dyDescent="0.2">
      <c r="A1389" t="str">
        <f t="shared" si="141"/>
        <v/>
      </c>
      <c r="E1389" s="1"/>
      <c r="F1389" s="1"/>
      <c r="G1389" s="2"/>
      <c r="I1389" s="2"/>
      <c r="P1389" t="str">
        <f t="shared" si="142"/>
        <v/>
      </c>
      <c r="Q1389" t="str">
        <f t="shared" si="143"/>
        <v/>
      </c>
      <c r="R1389" t="str">
        <f t="shared" si="144"/>
        <v/>
      </c>
      <c r="T1389">
        <f t="shared" si="145"/>
        <v>2985</v>
      </c>
    </row>
    <row r="1390" spans="1:20" x14ac:dyDescent="0.2">
      <c r="A1390" t="str">
        <f t="shared" si="141"/>
        <v/>
      </c>
      <c r="E1390" s="1"/>
      <c r="F1390" s="1"/>
      <c r="G1390" s="2"/>
      <c r="I1390" s="2"/>
      <c r="P1390" t="str">
        <f t="shared" si="142"/>
        <v/>
      </c>
      <c r="Q1390" t="str">
        <f t="shared" si="143"/>
        <v/>
      </c>
      <c r="R1390" t="str">
        <f t="shared" si="144"/>
        <v/>
      </c>
      <c r="T1390">
        <f t="shared" si="145"/>
        <v>2985</v>
      </c>
    </row>
    <row r="1391" spans="1:20" x14ac:dyDescent="0.2">
      <c r="A1391" t="str">
        <f t="shared" si="141"/>
        <v/>
      </c>
      <c r="E1391" s="1"/>
      <c r="F1391" s="1"/>
      <c r="G1391" s="2"/>
      <c r="I1391" s="2"/>
      <c r="P1391" t="str">
        <f t="shared" si="142"/>
        <v/>
      </c>
      <c r="Q1391" t="str">
        <f t="shared" si="143"/>
        <v/>
      </c>
      <c r="R1391" t="str">
        <f t="shared" si="144"/>
        <v/>
      </c>
      <c r="T1391">
        <f t="shared" si="145"/>
        <v>2985</v>
      </c>
    </row>
    <row r="1392" spans="1:20" x14ac:dyDescent="0.2">
      <c r="A1392" t="str">
        <f t="shared" si="141"/>
        <v/>
      </c>
      <c r="E1392" s="1"/>
      <c r="F1392" s="1"/>
      <c r="G1392" s="2"/>
      <c r="I1392" s="2"/>
      <c r="P1392" t="str">
        <f t="shared" si="142"/>
        <v/>
      </c>
      <c r="Q1392" t="str">
        <f t="shared" si="143"/>
        <v/>
      </c>
      <c r="R1392" t="str">
        <f t="shared" si="144"/>
        <v/>
      </c>
      <c r="T1392">
        <f t="shared" si="145"/>
        <v>2985</v>
      </c>
    </row>
    <row r="1393" spans="1:20" x14ac:dyDescent="0.2">
      <c r="A1393" t="str">
        <f t="shared" si="141"/>
        <v/>
      </c>
      <c r="E1393" s="1"/>
      <c r="F1393" s="1"/>
      <c r="G1393" s="2"/>
      <c r="I1393" s="2"/>
      <c r="P1393" t="str">
        <f t="shared" si="142"/>
        <v/>
      </c>
      <c r="Q1393" t="str">
        <f t="shared" si="143"/>
        <v/>
      </c>
      <c r="R1393" t="str">
        <f t="shared" si="144"/>
        <v/>
      </c>
      <c r="T1393">
        <f t="shared" si="145"/>
        <v>2985</v>
      </c>
    </row>
    <row r="1394" spans="1:20" x14ac:dyDescent="0.2">
      <c r="A1394" t="str">
        <f t="shared" si="141"/>
        <v/>
      </c>
      <c r="E1394" s="1"/>
      <c r="F1394" s="1"/>
      <c r="G1394" s="2"/>
      <c r="I1394" s="2"/>
      <c r="P1394" t="str">
        <f t="shared" si="142"/>
        <v/>
      </c>
      <c r="Q1394" t="str">
        <f t="shared" si="143"/>
        <v/>
      </c>
      <c r="R1394" t="str">
        <f t="shared" si="144"/>
        <v/>
      </c>
      <c r="T1394">
        <f t="shared" si="145"/>
        <v>2985</v>
      </c>
    </row>
    <row r="1395" spans="1:20" x14ac:dyDescent="0.2">
      <c r="A1395" t="str">
        <f t="shared" si="141"/>
        <v/>
      </c>
      <c r="E1395" s="1"/>
      <c r="F1395" s="1"/>
      <c r="G1395" s="2"/>
      <c r="I1395" s="2"/>
      <c r="P1395" t="str">
        <f t="shared" si="142"/>
        <v/>
      </c>
      <c r="Q1395" t="str">
        <f t="shared" si="143"/>
        <v/>
      </c>
      <c r="R1395" t="str">
        <f t="shared" si="144"/>
        <v/>
      </c>
      <c r="T1395">
        <f t="shared" si="145"/>
        <v>2985</v>
      </c>
    </row>
    <row r="1396" spans="1:20" x14ac:dyDescent="0.2">
      <c r="A1396" t="str">
        <f t="shared" si="141"/>
        <v/>
      </c>
      <c r="E1396" s="1"/>
      <c r="F1396" s="1"/>
      <c r="G1396" s="2"/>
      <c r="I1396" s="2"/>
      <c r="P1396" t="str">
        <f t="shared" si="142"/>
        <v/>
      </c>
      <c r="Q1396" t="str">
        <f t="shared" si="143"/>
        <v/>
      </c>
      <c r="R1396" t="str">
        <f t="shared" si="144"/>
        <v/>
      </c>
      <c r="T1396">
        <f t="shared" si="145"/>
        <v>2985</v>
      </c>
    </row>
    <row r="1397" spans="1:20" x14ac:dyDescent="0.2">
      <c r="A1397" t="str">
        <f t="shared" si="141"/>
        <v/>
      </c>
      <c r="E1397" s="1"/>
      <c r="F1397" s="1"/>
      <c r="G1397" s="2"/>
      <c r="I1397" s="2"/>
      <c r="P1397" t="str">
        <f t="shared" si="142"/>
        <v/>
      </c>
      <c r="Q1397" t="str">
        <f t="shared" si="143"/>
        <v/>
      </c>
      <c r="R1397" t="str">
        <f t="shared" si="144"/>
        <v/>
      </c>
      <c r="T1397">
        <f t="shared" si="145"/>
        <v>2985</v>
      </c>
    </row>
    <row r="1398" spans="1:20" x14ac:dyDescent="0.2">
      <c r="A1398" t="str">
        <f t="shared" si="141"/>
        <v/>
      </c>
      <c r="E1398" s="1"/>
      <c r="F1398" s="1"/>
      <c r="G1398" s="2"/>
      <c r="I1398" s="2"/>
      <c r="P1398" t="str">
        <f t="shared" si="142"/>
        <v/>
      </c>
      <c r="Q1398" t="str">
        <f t="shared" si="143"/>
        <v/>
      </c>
      <c r="R1398" t="str">
        <f t="shared" si="144"/>
        <v/>
      </c>
      <c r="T1398">
        <f t="shared" si="145"/>
        <v>2985</v>
      </c>
    </row>
    <row r="1399" spans="1:20" x14ac:dyDescent="0.2">
      <c r="A1399" t="str">
        <f t="shared" si="141"/>
        <v/>
      </c>
      <c r="E1399" s="1"/>
      <c r="F1399" s="1"/>
      <c r="G1399" s="2"/>
      <c r="I1399" s="2"/>
      <c r="P1399" t="str">
        <f t="shared" si="142"/>
        <v/>
      </c>
      <c r="Q1399" t="str">
        <f t="shared" si="143"/>
        <v/>
      </c>
      <c r="R1399" t="str">
        <f t="shared" si="144"/>
        <v/>
      </c>
      <c r="T1399">
        <f t="shared" si="145"/>
        <v>2985</v>
      </c>
    </row>
    <row r="1400" spans="1:20" x14ac:dyDescent="0.2">
      <c r="A1400" t="str">
        <f t="shared" si="141"/>
        <v/>
      </c>
      <c r="E1400" s="1"/>
      <c r="F1400" s="1"/>
      <c r="G1400" s="2"/>
      <c r="I1400" s="2"/>
      <c r="P1400" t="str">
        <f t="shared" si="142"/>
        <v/>
      </c>
      <c r="Q1400" t="str">
        <f t="shared" si="143"/>
        <v/>
      </c>
      <c r="R1400" t="str">
        <f t="shared" si="144"/>
        <v/>
      </c>
      <c r="T1400">
        <f t="shared" si="145"/>
        <v>2985</v>
      </c>
    </row>
    <row r="1401" spans="1:20" x14ac:dyDescent="0.2">
      <c r="A1401" t="str">
        <f t="shared" si="141"/>
        <v/>
      </c>
      <c r="E1401" s="1"/>
      <c r="F1401" s="1"/>
      <c r="G1401" s="2"/>
      <c r="I1401" s="2"/>
      <c r="P1401" t="str">
        <f t="shared" si="142"/>
        <v/>
      </c>
      <c r="Q1401" t="str">
        <f t="shared" si="143"/>
        <v/>
      </c>
      <c r="R1401" t="str">
        <f t="shared" si="144"/>
        <v/>
      </c>
      <c r="T1401">
        <f t="shared" si="145"/>
        <v>2985</v>
      </c>
    </row>
    <row r="1402" spans="1:20" x14ac:dyDescent="0.2">
      <c r="A1402" t="str">
        <f t="shared" si="141"/>
        <v/>
      </c>
      <c r="E1402" s="1"/>
      <c r="F1402" s="1"/>
      <c r="G1402" s="2"/>
      <c r="I1402" s="2"/>
      <c r="P1402" t="str">
        <f t="shared" si="142"/>
        <v/>
      </c>
      <c r="Q1402" t="str">
        <f t="shared" si="143"/>
        <v/>
      </c>
      <c r="R1402" t="str">
        <f t="shared" si="144"/>
        <v/>
      </c>
      <c r="T1402">
        <f t="shared" si="145"/>
        <v>2985</v>
      </c>
    </row>
    <row r="1403" spans="1:20" x14ac:dyDescent="0.2">
      <c r="A1403" t="str">
        <f t="shared" si="141"/>
        <v/>
      </c>
      <c r="E1403" s="1"/>
      <c r="F1403" s="1"/>
      <c r="G1403" s="2"/>
      <c r="I1403" s="2"/>
      <c r="P1403" t="str">
        <f t="shared" si="142"/>
        <v/>
      </c>
      <c r="Q1403" t="str">
        <f t="shared" si="143"/>
        <v/>
      </c>
      <c r="R1403" t="str">
        <f t="shared" si="144"/>
        <v/>
      </c>
      <c r="T1403">
        <f t="shared" si="145"/>
        <v>2985</v>
      </c>
    </row>
    <row r="1404" spans="1:20" x14ac:dyDescent="0.2">
      <c r="A1404" t="str">
        <f t="shared" si="141"/>
        <v/>
      </c>
      <c r="E1404" s="1"/>
      <c r="F1404" s="1"/>
      <c r="G1404" s="2"/>
      <c r="I1404" s="2"/>
      <c r="P1404" t="str">
        <f t="shared" si="142"/>
        <v/>
      </c>
      <c r="Q1404" t="str">
        <f t="shared" si="143"/>
        <v/>
      </c>
      <c r="R1404" t="str">
        <f t="shared" si="144"/>
        <v/>
      </c>
      <c r="T1404">
        <f t="shared" si="145"/>
        <v>2985</v>
      </c>
    </row>
    <row r="1405" spans="1:20" x14ac:dyDescent="0.2">
      <c r="A1405" t="str">
        <f t="shared" si="141"/>
        <v/>
      </c>
      <c r="E1405" s="1"/>
      <c r="F1405" s="1"/>
      <c r="G1405" s="2"/>
      <c r="I1405" s="2"/>
      <c r="P1405" t="str">
        <f t="shared" si="142"/>
        <v/>
      </c>
      <c r="Q1405" t="str">
        <f t="shared" si="143"/>
        <v/>
      </c>
      <c r="R1405" t="str">
        <f t="shared" si="144"/>
        <v/>
      </c>
      <c r="T1405">
        <f t="shared" si="145"/>
        <v>2985</v>
      </c>
    </row>
    <row r="1406" spans="1:20" x14ac:dyDescent="0.2">
      <c r="A1406" t="str">
        <f t="shared" si="141"/>
        <v/>
      </c>
      <c r="E1406" s="1"/>
      <c r="F1406" s="1"/>
      <c r="G1406" s="2"/>
      <c r="I1406" s="2"/>
      <c r="P1406" t="str">
        <f t="shared" si="142"/>
        <v/>
      </c>
      <c r="Q1406" t="str">
        <f t="shared" si="143"/>
        <v/>
      </c>
      <c r="R1406" t="str">
        <f t="shared" si="144"/>
        <v/>
      </c>
      <c r="T1406">
        <f t="shared" si="145"/>
        <v>2985</v>
      </c>
    </row>
    <row r="1407" spans="1:20" x14ac:dyDescent="0.2">
      <c r="A1407" t="str">
        <f t="shared" si="141"/>
        <v/>
      </c>
      <c r="E1407" s="1"/>
      <c r="F1407" s="1"/>
      <c r="G1407" s="2"/>
      <c r="I1407" s="2"/>
      <c r="P1407" t="str">
        <f t="shared" si="142"/>
        <v/>
      </c>
      <c r="Q1407" t="str">
        <f t="shared" si="143"/>
        <v/>
      </c>
      <c r="R1407" t="str">
        <f t="shared" si="144"/>
        <v/>
      </c>
      <c r="T1407">
        <f t="shared" si="145"/>
        <v>2985</v>
      </c>
    </row>
    <row r="1408" spans="1:20" x14ac:dyDescent="0.2">
      <c r="A1408" t="str">
        <f t="shared" si="141"/>
        <v/>
      </c>
      <c r="E1408" s="1"/>
      <c r="F1408" s="1"/>
      <c r="G1408" s="2"/>
      <c r="I1408" s="2"/>
      <c r="P1408" t="str">
        <f t="shared" si="142"/>
        <v/>
      </c>
      <c r="Q1408" t="str">
        <f t="shared" si="143"/>
        <v/>
      </c>
      <c r="R1408" t="str">
        <f t="shared" si="144"/>
        <v/>
      </c>
      <c r="T1408">
        <f t="shared" si="145"/>
        <v>2985</v>
      </c>
    </row>
    <row r="1409" spans="1:20" x14ac:dyDescent="0.2">
      <c r="A1409" t="str">
        <f t="shared" si="141"/>
        <v/>
      </c>
      <c r="E1409" s="1"/>
      <c r="F1409" s="1"/>
      <c r="G1409" s="2"/>
      <c r="I1409" s="2"/>
      <c r="P1409" t="str">
        <f t="shared" si="142"/>
        <v/>
      </c>
      <c r="Q1409" t="str">
        <f t="shared" si="143"/>
        <v/>
      </c>
      <c r="R1409" t="str">
        <f t="shared" si="144"/>
        <v/>
      </c>
      <c r="T1409">
        <f t="shared" si="145"/>
        <v>2985</v>
      </c>
    </row>
    <row r="1410" spans="1:20" x14ac:dyDescent="0.2">
      <c r="A1410" t="str">
        <f t="shared" si="141"/>
        <v/>
      </c>
      <c r="E1410" s="1"/>
      <c r="F1410" s="1"/>
      <c r="G1410" s="2"/>
      <c r="I1410" s="2"/>
      <c r="P1410" t="str">
        <f t="shared" si="142"/>
        <v/>
      </c>
      <c r="Q1410" t="str">
        <f t="shared" si="143"/>
        <v/>
      </c>
      <c r="R1410" t="str">
        <f t="shared" si="144"/>
        <v/>
      </c>
      <c r="T1410">
        <f t="shared" si="145"/>
        <v>2985</v>
      </c>
    </row>
    <row r="1411" spans="1:20" x14ac:dyDescent="0.2">
      <c r="A1411" t="str">
        <f t="shared" ref="A1411:A1474" si="146">IFERROR(IF(OR(K1411="",I1411=0),"",D1411&amp;K1411&amp;I1411),"")</f>
        <v/>
      </c>
      <c r="E1411" s="1"/>
      <c r="F1411" s="1"/>
      <c r="G1411" s="2"/>
      <c r="I1411" s="2"/>
      <c r="P1411" t="str">
        <f t="shared" ref="P1411:P1448" si="147">IF(OR(K1411="",K1411=0),"",D1411&amp;N1411&amp;K1411&amp;M1411&amp;F1411)</f>
        <v/>
      </c>
      <c r="Q1411" t="str">
        <f t="shared" ref="Q1411:Q1447" si="148">IF(P1411="","",COUNTIF($P$2:$P$1448,$P1411))</f>
        <v/>
      </c>
      <c r="R1411" t="str">
        <f t="shared" ref="R1411:R1474" si="149">G1411&amp;K1411&amp;N1411</f>
        <v/>
      </c>
      <c r="T1411">
        <f t="shared" ref="T1411:T1447" si="150">COUNTIF($R$2:$R$2986,$R1411)</f>
        <v>2985</v>
      </c>
    </row>
    <row r="1412" spans="1:20" x14ac:dyDescent="0.2">
      <c r="A1412" t="str">
        <f t="shared" si="146"/>
        <v/>
      </c>
      <c r="E1412" s="1"/>
      <c r="F1412" s="1"/>
      <c r="G1412" s="2"/>
      <c r="I1412" s="2"/>
      <c r="P1412" t="str">
        <f t="shared" si="147"/>
        <v/>
      </c>
      <c r="Q1412" t="str">
        <f t="shared" si="148"/>
        <v/>
      </c>
      <c r="R1412" t="str">
        <f t="shared" si="149"/>
        <v/>
      </c>
      <c r="T1412">
        <f t="shared" si="150"/>
        <v>2985</v>
      </c>
    </row>
    <row r="1413" spans="1:20" x14ac:dyDescent="0.2">
      <c r="A1413" t="str">
        <f t="shared" si="146"/>
        <v/>
      </c>
      <c r="E1413" s="1"/>
      <c r="F1413" s="1"/>
      <c r="G1413" s="2"/>
      <c r="I1413" s="2"/>
      <c r="P1413" t="str">
        <f t="shared" si="147"/>
        <v/>
      </c>
      <c r="Q1413" t="str">
        <f t="shared" si="148"/>
        <v/>
      </c>
      <c r="R1413" t="str">
        <f t="shared" si="149"/>
        <v/>
      </c>
      <c r="T1413">
        <f t="shared" si="150"/>
        <v>2985</v>
      </c>
    </row>
    <row r="1414" spans="1:20" x14ac:dyDescent="0.2">
      <c r="A1414" t="str">
        <f t="shared" si="146"/>
        <v/>
      </c>
      <c r="E1414" s="1"/>
      <c r="F1414" s="1"/>
      <c r="G1414" s="2"/>
      <c r="I1414" s="2"/>
      <c r="P1414" t="str">
        <f t="shared" si="147"/>
        <v/>
      </c>
      <c r="Q1414" t="str">
        <f t="shared" si="148"/>
        <v/>
      </c>
      <c r="R1414" t="str">
        <f t="shared" si="149"/>
        <v/>
      </c>
      <c r="T1414">
        <f t="shared" si="150"/>
        <v>2985</v>
      </c>
    </row>
    <row r="1415" spans="1:20" x14ac:dyDescent="0.2">
      <c r="A1415" t="str">
        <f t="shared" si="146"/>
        <v/>
      </c>
      <c r="E1415" s="1"/>
      <c r="F1415" s="1"/>
      <c r="G1415" s="2"/>
      <c r="I1415" s="2"/>
      <c r="P1415" t="str">
        <f t="shared" si="147"/>
        <v/>
      </c>
      <c r="Q1415" t="str">
        <f t="shared" si="148"/>
        <v/>
      </c>
      <c r="R1415" t="str">
        <f t="shared" si="149"/>
        <v/>
      </c>
      <c r="T1415">
        <f t="shared" si="150"/>
        <v>2985</v>
      </c>
    </row>
    <row r="1416" spans="1:20" x14ac:dyDescent="0.2">
      <c r="A1416" t="str">
        <f t="shared" si="146"/>
        <v/>
      </c>
      <c r="E1416" s="1"/>
      <c r="F1416" s="1"/>
      <c r="G1416" s="2"/>
      <c r="I1416" s="2"/>
      <c r="P1416" t="str">
        <f t="shared" si="147"/>
        <v/>
      </c>
      <c r="Q1416" t="str">
        <f t="shared" si="148"/>
        <v/>
      </c>
      <c r="R1416" t="str">
        <f t="shared" si="149"/>
        <v/>
      </c>
      <c r="T1416">
        <f t="shared" si="150"/>
        <v>2985</v>
      </c>
    </row>
    <row r="1417" spans="1:20" x14ac:dyDescent="0.2">
      <c r="A1417" t="str">
        <f t="shared" si="146"/>
        <v/>
      </c>
      <c r="E1417" s="1"/>
      <c r="F1417" s="1"/>
      <c r="G1417" s="2"/>
      <c r="I1417" s="2"/>
      <c r="P1417" t="str">
        <f t="shared" si="147"/>
        <v/>
      </c>
      <c r="Q1417" t="str">
        <f t="shared" si="148"/>
        <v/>
      </c>
      <c r="R1417" t="str">
        <f t="shared" si="149"/>
        <v/>
      </c>
      <c r="T1417">
        <f t="shared" si="150"/>
        <v>2985</v>
      </c>
    </row>
    <row r="1418" spans="1:20" x14ac:dyDescent="0.2">
      <c r="A1418" t="str">
        <f t="shared" si="146"/>
        <v/>
      </c>
      <c r="E1418" s="1"/>
      <c r="F1418" s="1"/>
      <c r="G1418" s="2"/>
      <c r="I1418" s="2"/>
      <c r="P1418" t="str">
        <f t="shared" si="147"/>
        <v/>
      </c>
      <c r="Q1418" t="str">
        <f t="shared" si="148"/>
        <v/>
      </c>
      <c r="R1418" t="str">
        <f t="shared" si="149"/>
        <v/>
      </c>
      <c r="T1418">
        <f t="shared" si="150"/>
        <v>2985</v>
      </c>
    </row>
    <row r="1419" spans="1:20" x14ac:dyDescent="0.2">
      <c r="A1419" t="str">
        <f t="shared" si="146"/>
        <v/>
      </c>
      <c r="E1419" s="1"/>
      <c r="F1419" s="1"/>
      <c r="G1419" s="2"/>
      <c r="I1419" s="2"/>
      <c r="P1419" t="str">
        <f t="shared" si="147"/>
        <v/>
      </c>
      <c r="Q1419" t="str">
        <f t="shared" si="148"/>
        <v/>
      </c>
      <c r="R1419" t="str">
        <f t="shared" si="149"/>
        <v/>
      </c>
      <c r="T1419">
        <f t="shared" si="150"/>
        <v>2985</v>
      </c>
    </row>
    <row r="1420" spans="1:20" x14ac:dyDescent="0.2">
      <c r="A1420" t="str">
        <f t="shared" si="146"/>
        <v/>
      </c>
      <c r="E1420" s="1"/>
      <c r="F1420" s="1"/>
      <c r="G1420" s="2"/>
      <c r="I1420" s="2"/>
      <c r="P1420" t="str">
        <f t="shared" si="147"/>
        <v/>
      </c>
      <c r="Q1420" t="str">
        <f t="shared" si="148"/>
        <v/>
      </c>
      <c r="R1420" t="str">
        <f t="shared" si="149"/>
        <v/>
      </c>
      <c r="T1420">
        <f t="shared" si="150"/>
        <v>2985</v>
      </c>
    </row>
    <row r="1421" spans="1:20" x14ac:dyDescent="0.2">
      <c r="A1421" t="str">
        <f t="shared" si="146"/>
        <v/>
      </c>
      <c r="E1421" s="1"/>
      <c r="F1421" s="1"/>
      <c r="G1421" s="2"/>
      <c r="I1421" s="2"/>
      <c r="P1421" t="str">
        <f t="shared" si="147"/>
        <v/>
      </c>
      <c r="Q1421" t="str">
        <f t="shared" si="148"/>
        <v/>
      </c>
      <c r="R1421" t="str">
        <f t="shared" si="149"/>
        <v/>
      </c>
      <c r="T1421">
        <f t="shared" si="150"/>
        <v>2985</v>
      </c>
    </row>
    <row r="1422" spans="1:20" x14ac:dyDescent="0.2">
      <c r="A1422" t="str">
        <f t="shared" si="146"/>
        <v/>
      </c>
      <c r="E1422" s="1"/>
      <c r="F1422" s="1"/>
      <c r="G1422" s="2"/>
      <c r="I1422" s="2"/>
      <c r="P1422" t="str">
        <f t="shared" si="147"/>
        <v/>
      </c>
      <c r="Q1422" t="str">
        <f t="shared" si="148"/>
        <v/>
      </c>
      <c r="R1422" t="str">
        <f t="shared" si="149"/>
        <v/>
      </c>
      <c r="T1422">
        <f t="shared" si="150"/>
        <v>2985</v>
      </c>
    </row>
    <row r="1423" spans="1:20" x14ac:dyDescent="0.2">
      <c r="A1423" t="str">
        <f t="shared" si="146"/>
        <v/>
      </c>
      <c r="E1423" s="1"/>
      <c r="F1423" s="1"/>
      <c r="G1423" s="2"/>
      <c r="I1423" s="2"/>
      <c r="P1423" t="str">
        <f t="shared" si="147"/>
        <v/>
      </c>
      <c r="Q1423" t="str">
        <f t="shared" si="148"/>
        <v/>
      </c>
      <c r="R1423" t="str">
        <f t="shared" si="149"/>
        <v/>
      </c>
      <c r="T1423">
        <f t="shared" si="150"/>
        <v>2985</v>
      </c>
    </row>
    <row r="1424" spans="1:20" x14ac:dyDescent="0.2">
      <c r="A1424" t="str">
        <f t="shared" si="146"/>
        <v/>
      </c>
      <c r="E1424" s="1"/>
      <c r="F1424" s="1"/>
      <c r="G1424" s="2"/>
      <c r="I1424" s="2"/>
      <c r="P1424" t="str">
        <f t="shared" si="147"/>
        <v/>
      </c>
      <c r="Q1424" t="str">
        <f t="shared" si="148"/>
        <v/>
      </c>
      <c r="R1424" t="str">
        <f t="shared" si="149"/>
        <v/>
      </c>
      <c r="T1424">
        <f t="shared" si="150"/>
        <v>2985</v>
      </c>
    </row>
    <row r="1425" spans="1:20" x14ac:dyDescent="0.2">
      <c r="A1425" t="str">
        <f t="shared" si="146"/>
        <v/>
      </c>
      <c r="E1425" s="1"/>
      <c r="F1425" s="1"/>
      <c r="G1425" s="2"/>
      <c r="I1425" s="2"/>
      <c r="P1425" t="str">
        <f t="shared" si="147"/>
        <v/>
      </c>
      <c r="Q1425" t="str">
        <f t="shared" si="148"/>
        <v/>
      </c>
      <c r="R1425" t="str">
        <f t="shared" si="149"/>
        <v/>
      </c>
      <c r="T1425">
        <f t="shared" si="150"/>
        <v>2985</v>
      </c>
    </row>
    <row r="1426" spans="1:20" x14ac:dyDescent="0.2">
      <c r="A1426" t="str">
        <f t="shared" si="146"/>
        <v/>
      </c>
      <c r="E1426" s="1"/>
      <c r="F1426" s="1"/>
      <c r="G1426" s="2"/>
      <c r="I1426" s="2"/>
      <c r="P1426" t="str">
        <f t="shared" si="147"/>
        <v/>
      </c>
      <c r="Q1426" t="str">
        <f t="shared" si="148"/>
        <v/>
      </c>
      <c r="R1426" t="str">
        <f t="shared" si="149"/>
        <v/>
      </c>
      <c r="T1426">
        <f t="shared" si="150"/>
        <v>2985</v>
      </c>
    </row>
    <row r="1427" spans="1:20" x14ac:dyDescent="0.2">
      <c r="A1427" t="str">
        <f t="shared" si="146"/>
        <v/>
      </c>
      <c r="E1427" s="1"/>
      <c r="F1427" s="1"/>
      <c r="G1427" s="2"/>
      <c r="I1427" s="2"/>
      <c r="P1427" t="str">
        <f t="shared" si="147"/>
        <v/>
      </c>
      <c r="Q1427" t="str">
        <f t="shared" si="148"/>
        <v/>
      </c>
      <c r="R1427" t="str">
        <f t="shared" si="149"/>
        <v/>
      </c>
      <c r="T1427">
        <f t="shared" si="150"/>
        <v>2985</v>
      </c>
    </row>
    <row r="1428" spans="1:20" x14ac:dyDescent="0.2">
      <c r="A1428" t="str">
        <f t="shared" si="146"/>
        <v/>
      </c>
      <c r="E1428" s="1"/>
      <c r="F1428" s="1"/>
      <c r="G1428" s="2"/>
      <c r="I1428" s="2"/>
      <c r="P1428" t="str">
        <f t="shared" si="147"/>
        <v/>
      </c>
      <c r="Q1428" t="str">
        <f t="shared" si="148"/>
        <v/>
      </c>
      <c r="R1428" t="str">
        <f t="shared" si="149"/>
        <v/>
      </c>
      <c r="T1428">
        <f t="shared" si="150"/>
        <v>2985</v>
      </c>
    </row>
    <row r="1429" spans="1:20" x14ac:dyDescent="0.2">
      <c r="A1429" t="str">
        <f t="shared" si="146"/>
        <v/>
      </c>
      <c r="E1429" s="1"/>
      <c r="F1429" s="1"/>
      <c r="G1429" s="2"/>
      <c r="I1429" s="2"/>
      <c r="P1429" t="str">
        <f t="shared" si="147"/>
        <v/>
      </c>
      <c r="Q1429" t="str">
        <f t="shared" si="148"/>
        <v/>
      </c>
      <c r="R1429" t="str">
        <f t="shared" si="149"/>
        <v/>
      </c>
      <c r="T1429">
        <f t="shared" si="150"/>
        <v>2985</v>
      </c>
    </row>
    <row r="1430" spans="1:20" x14ac:dyDescent="0.2">
      <c r="A1430" t="str">
        <f t="shared" si="146"/>
        <v/>
      </c>
      <c r="E1430" s="1"/>
      <c r="F1430" s="1"/>
      <c r="G1430" s="2"/>
      <c r="I1430" s="2"/>
      <c r="P1430" t="str">
        <f t="shared" si="147"/>
        <v/>
      </c>
      <c r="Q1430" t="str">
        <f t="shared" si="148"/>
        <v/>
      </c>
      <c r="R1430" t="str">
        <f t="shared" si="149"/>
        <v/>
      </c>
      <c r="T1430">
        <f t="shared" si="150"/>
        <v>2985</v>
      </c>
    </row>
    <row r="1431" spans="1:20" x14ac:dyDescent="0.2">
      <c r="A1431" t="str">
        <f t="shared" si="146"/>
        <v/>
      </c>
      <c r="E1431" s="1"/>
      <c r="F1431" s="1"/>
      <c r="G1431" s="2"/>
      <c r="I1431" s="2"/>
      <c r="P1431" t="str">
        <f t="shared" si="147"/>
        <v/>
      </c>
      <c r="Q1431" t="str">
        <f t="shared" si="148"/>
        <v/>
      </c>
      <c r="R1431" t="str">
        <f t="shared" si="149"/>
        <v/>
      </c>
      <c r="T1431">
        <f t="shared" si="150"/>
        <v>2985</v>
      </c>
    </row>
    <row r="1432" spans="1:20" x14ac:dyDescent="0.2">
      <c r="A1432" t="str">
        <f t="shared" si="146"/>
        <v/>
      </c>
      <c r="E1432" s="1"/>
      <c r="F1432" s="1"/>
      <c r="G1432" s="2"/>
      <c r="I1432" s="2"/>
      <c r="P1432" t="str">
        <f t="shared" si="147"/>
        <v/>
      </c>
      <c r="Q1432" t="str">
        <f t="shared" si="148"/>
        <v/>
      </c>
      <c r="R1432" t="str">
        <f t="shared" si="149"/>
        <v/>
      </c>
      <c r="T1432">
        <f t="shared" si="150"/>
        <v>2985</v>
      </c>
    </row>
    <row r="1433" spans="1:20" x14ac:dyDescent="0.2">
      <c r="A1433" t="str">
        <f t="shared" si="146"/>
        <v/>
      </c>
      <c r="E1433" s="1"/>
      <c r="F1433" s="1"/>
      <c r="G1433" s="2"/>
      <c r="I1433" s="2"/>
      <c r="P1433" t="str">
        <f t="shared" si="147"/>
        <v/>
      </c>
      <c r="Q1433" t="str">
        <f t="shared" si="148"/>
        <v/>
      </c>
      <c r="R1433" t="str">
        <f t="shared" si="149"/>
        <v/>
      </c>
      <c r="T1433">
        <f t="shared" si="150"/>
        <v>2985</v>
      </c>
    </row>
    <row r="1434" spans="1:20" x14ac:dyDescent="0.2">
      <c r="A1434" t="str">
        <f t="shared" si="146"/>
        <v/>
      </c>
      <c r="E1434" s="1"/>
      <c r="F1434" s="1"/>
      <c r="G1434" s="2"/>
      <c r="I1434" s="2"/>
      <c r="P1434" t="str">
        <f t="shared" si="147"/>
        <v/>
      </c>
      <c r="Q1434" t="str">
        <f t="shared" si="148"/>
        <v/>
      </c>
      <c r="R1434" t="str">
        <f t="shared" si="149"/>
        <v/>
      </c>
      <c r="T1434">
        <f t="shared" si="150"/>
        <v>2985</v>
      </c>
    </row>
    <row r="1435" spans="1:20" x14ac:dyDescent="0.2">
      <c r="A1435" t="str">
        <f t="shared" si="146"/>
        <v/>
      </c>
      <c r="E1435" s="1"/>
      <c r="F1435" s="1"/>
      <c r="G1435" s="2"/>
      <c r="I1435" s="2"/>
      <c r="P1435" t="str">
        <f t="shared" si="147"/>
        <v/>
      </c>
      <c r="Q1435" t="str">
        <f t="shared" si="148"/>
        <v/>
      </c>
      <c r="R1435" t="str">
        <f t="shared" si="149"/>
        <v/>
      </c>
      <c r="T1435">
        <f t="shared" si="150"/>
        <v>2985</v>
      </c>
    </row>
    <row r="1436" spans="1:20" x14ac:dyDescent="0.2">
      <c r="A1436" t="str">
        <f t="shared" si="146"/>
        <v/>
      </c>
      <c r="E1436" s="1"/>
      <c r="F1436" s="1"/>
      <c r="G1436" s="2"/>
      <c r="I1436" s="2"/>
      <c r="P1436" t="str">
        <f t="shared" si="147"/>
        <v/>
      </c>
      <c r="Q1436" t="str">
        <f t="shared" si="148"/>
        <v/>
      </c>
      <c r="R1436" t="str">
        <f t="shared" si="149"/>
        <v/>
      </c>
      <c r="T1436">
        <f t="shared" si="150"/>
        <v>2985</v>
      </c>
    </row>
    <row r="1437" spans="1:20" x14ac:dyDescent="0.2">
      <c r="A1437" t="str">
        <f t="shared" si="146"/>
        <v/>
      </c>
      <c r="E1437" s="1"/>
      <c r="F1437" s="1"/>
      <c r="G1437" s="2"/>
      <c r="I1437" s="2"/>
      <c r="P1437" t="str">
        <f t="shared" si="147"/>
        <v/>
      </c>
      <c r="Q1437" t="str">
        <f t="shared" si="148"/>
        <v/>
      </c>
      <c r="R1437" t="str">
        <f t="shared" si="149"/>
        <v/>
      </c>
      <c r="T1437">
        <f t="shared" si="150"/>
        <v>2985</v>
      </c>
    </row>
    <row r="1438" spans="1:20" x14ac:dyDescent="0.2">
      <c r="A1438" t="str">
        <f t="shared" si="146"/>
        <v/>
      </c>
      <c r="E1438" s="1"/>
      <c r="F1438" s="1"/>
      <c r="G1438" s="2"/>
      <c r="I1438" s="2"/>
      <c r="P1438" t="str">
        <f t="shared" si="147"/>
        <v/>
      </c>
      <c r="Q1438" t="str">
        <f t="shared" si="148"/>
        <v/>
      </c>
      <c r="R1438" t="str">
        <f t="shared" si="149"/>
        <v/>
      </c>
      <c r="T1438">
        <f t="shared" si="150"/>
        <v>2985</v>
      </c>
    </row>
    <row r="1439" spans="1:20" x14ac:dyDescent="0.2">
      <c r="A1439" t="str">
        <f t="shared" si="146"/>
        <v/>
      </c>
      <c r="E1439" s="1"/>
      <c r="F1439" s="1"/>
      <c r="G1439" s="2"/>
      <c r="I1439" s="2"/>
      <c r="P1439" t="str">
        <f t="shared" si="147"/>
        <v/>
      </c>
      <c r="Q1439" t="str">
        <f t="shared" si="148"/>
        <v/>
      </c>
      <c r="R1439" t="str">
        <f t="shared" si="149"/>
        <v/>
      </c>
      <c r="T1439">
        <f t="shared" si="150"/>
        <v>2985</v>
      </c>
    </row>
    <row r="1440" spans="1:20" x14ac:dyDescent="0.2">
      <c r="A1440" t="str">
        <f t="shared" si="146"/>
        <v/>
      </c>
      <c r="E1440" s="1"/>
      <c r="F1440" s="1"/>
      <c r="G1440" s="2"/>
      <c r="I1440" s="2"/>
      <c r="P1440" t="str">
        <f t="shared" si="147"/>
        <v/>
      </c>
      <c r="Q1440" t="str">
        <f t="shared" si="148"/>
        <v/>
      </c>
      <c r="R1440" t="str">
        <f t="shared" si="149"/>
        <v/>
      </c>
      <c r="T1440">
        <f t="shared" si="150"/>
        <v>2985</v>
      </c>
    </row>
    <row r="1441" spans="1:20" x14ac:dyDescent="0.2">
      <c r="A1441" t="str">
        <f t="shared" si="146"/>
        <v/>
      </c>
      <c r="E1441" s="1"/>
      <c r="F1441" s="1"/>
      <c r="G1441" s="2"/>
      <c r="I1441" s="2"/>
      <c r="P1441" t="str">
        <f t="shared" si="147"/>
        <v/>
      </c>
      <c r="Q1441" t="str">
        <f t="shared" si="148"/>
        <v/>
      </c>
      <c r="R1441" t="str">
        <f t="shared" si="149"/>
        <v/>
      </c>
      <c r="T1441">
        <f t="shared" si="150"/>
        <v>2985</v>
      </c>
    </row>
    <row r="1442" spans="1:20" x14ac:dyDescent="0.2">
      <c r="A1442" t="str">
        <f t="shared" si="146"/>
        <v/>
      </c>
      <c r="E1442" s="1"/>
      <c r="F1442" s="1"/>
      <c r="G1442" s="2"/>
      <c r="I1442" s="2"/>
      <c r="P1442" t="str">
        <f t="shared" si="147"/>
        <v/>
      </c>
      <c r="Q1442" t="str">
        <f t="shared" si="148"/>
        <v/>
      </c>
      <c r="R1442" t="str">
        <f t="shared" si="149"/>
        <v/>
      </c>
      <c r="T1442">
        <f t="shared" si="150"/>
        <v>2985</v>
      </c>
    </row>
    <row r="1443" spans="1:20" x14ac:dyDescent="0.2">
      <c r="A1443" t="str">
        <f t="shared" si="146"/>
        <v/>
      </c>
      <c r="E1443" s="1"/>
      <c r="F1443" s="1"/>
      <c r="G1443" s="2"/>
      <c r="I1443" s="2"/>
      <c r="P1443" t="str">
        <f t="shared" si="147"/>
        <v/>
      </c>
      <c r="Q1443" t="str">
        <f t="shared" si="148"/>
        <v/>
      </c>
      <c r="R1443" t="str">
        <f t="shared" si="149"/>
        <v/>
      </c>
      <c r="T1443">
        <f t="shared" si="150"/>
        <v>2985</v>
      </c>
    </row>
    <row r="1444" spans="1:20" x14ac:dyDescent="0.2">
      <c r="A1444" t="str">
        <f t="shared" si="146"/>
        <v/>
      </c>
      <c r="E1444" s="1"/>
      <c r="F1444" s="1"/>
      <c r="G1444" s="2"/>
      <c r="I1444" s="2"/>
      <c r="P1444" t="str">
        <f t="shared" si="147"/>
        <v/>
      </c>
      <c r="Q1444" t="str">
        <f t="shared" si="148"/>
        <v/>
      </c>
      <c r="R1444" t="str">
        <f t="shared" si="149"/>
        <v/>
      </c>
      <c r="T1444">
        <f t="shared" si="150"/>
        <v>2985</v>
      </c>
    </row>
    <row r="1445" spans="1:20" x14ac:dyDescent="0.2">
      <c r="A1445" t="str">
        <f t="shared" si="146"/>
        <v/>
      </c>
      <c r="E1445" s="1"/>
      <c r="F1445" s="1"/>
      <c r="G1445" s="2"/>
      <c r="I1445" s="2"/>
      <c r="P1445" t="str">
        <f t="shared" si="147"/>
        <v/>
      </c>
      <c r="Q1445" t="str">
        <f t="shared" si="148"/>
        <v/>
      </c>
      <c r="R1445" t="str">
        <f t="shared" si="149"/>
        <v/>
      </c>
      <c r="T1445">
        <f t="shared" si="150"/>
        <v>2985</v>
      </c>
    </row>
    <row r="1446" spans="1:20" x14ac:dyDescent="0.2">
      <c r="A1446" t="str">
        <f t="shared" si="146"/>
        <v/>
      </c>
      <c r="E1446" s="1"/>
      <c r="F1446" s="1"/>
      <c r="G1446" s="2"/>
      <c r="I1446" s="2"/>
      <c r="P1446" t="str">
        <f t="shared" si="147"/>
        <v/>
      </c>
      <c r="Q1446" t="str">
        <f t="shared" si="148"/>
        <v/>
      </c>
      <c r="R1446" t="str">
        <f t="shared" si="149"/>
        <v/>
      </c>
      <c r="T1446">
        <f t="shared" si="150"/>
        <v>2985</v>
      </c>
    </row>
    <row r="1447" spans="1:20" x14ac:dyDescent="0.2">
      <c r="A1447" t="str">
        <f t="shared" si="146"/>
        <v/>
      </c>
      <c r="E1447" s="1"/>
      <c r="F1447" s="1"/>
      <c r="G1447" s="2"/>
      <c r="I1447" s="2"/>
      <c r="P1447" t="str">
        <f t="shared" si="147"/>
        <v/>
      </c>
      <c r="Q1447" t="str">
        <f t="shared" si="148"/>
        <v/>
      </c>
      <c r="R1447" t="str">
        <f t="shared" si="149"/>
        <v/>
      </c>
      <c r="T1447">
        <f t="shared" si="150"/>
        <v>2985</v>
      </c>
    </row>
    <row r="1448" spans="1:20" x14ac:dyDescent="0.2">
      <c r="A1448" t="str">
        <f t="shared" si="146"/>
        <v/>
      </c>
      <c r="E1448" s="1"/>
      <c r="F1448" s="1"/>
      <c r="G1448" s="2"/>
      <c r="I1448" s="2"/>
      <c r="P1448" t="str">
        <f t="shared" si="147"/>
        <v/>
      </c>
      <c r="R1448" t="str">
        <f t="shared" si="149"/>
        <v/>
      </c>
    </row>
    <row r="1449" spans="1:20" x14ac:dyDescent="0.2">
      <c r="A1449" t="str">
        <f t="shared" si="146"/>
        <v/>
      </c>
      <c r="E1449" s="1"/>
      <c r="F1449" s="1"/>
      <c r="G1449" s="2"/>
      <c r="I1449" s="2"/>
      <c r="R1449" t="str">
        <f t="shared" si="149"/>
        <v/>
      </c>
    </row>
    <row r="1450" spans="1:20" x14ac:dyDescent="0.2">
      <c r="A1450" t="str">
        <f t="shared" si="146"/>
        <v/>
      </c>
      <c r="E1450" s="1"/>
      <c r="F1450" s="1"/>
      <c r="G1450" s="2"/>
      <c r="I1450" s="2"/>
      <c r="R1450" t="str">
        <f t="shared" si="149"/>
        <v/>
      </c>
    </row>
    <row r="1451" spans="1:20" x14ac:dyDescent="0.2">
      <c r="A1451" t="str">
        <f t="shared" si="146"/>
        <v/>
      </c>
      <c r="E1451" s="1"/>
      <c r="F1451" s="1"/>
      <c r="G1451" s="2"/>
      <c r="I1451" s="2"/>
      <c r="R1451" t="str">
        <f t="shared" si="149"/>
        <v/>
      </c>
    </row>
    <row r="1452" spans="1:20" x14ac:dyDescent="0.2">
      <c r="A1452" t="str">
        <f t="shared" si="146"/>
        <v/>
      </c>
      <c r="E1452" s="1"/>
      <c r="F1452" s="1"/>
      <c r="G1452" s="2"/>
      <c r="I1452" s="2"/>
      <c r="R1452" t="str">
        <f t="shared" si="149"/>
        <v/>
      </c>
    </row>
    <row r="1453" spans="1:20" x14ac:dyDescent="0.2">
      <c r="A1453" t="str">
        <f t="shared" si="146"/>
        <v/>
      </c>
      <c r="E1453" s="1"/>
      <c r="F1453" s="1"/>
      <c r="G1453" s="2"/>
      <c r="I1453" s="2"/>
      <c r="R1453" t="str">
        <f t="shared" si="149"/>
        <v/>
      </c>
    </row>
    <row r="1454" spans="1:20" x14ac:dyDescent="0.2">
      <c r="A1454" t="str">
        <f t="shared" si="146"/>
        <v/>
      </c>
      <c r="E1454" s="1"/>
      <c r="F1454" s="1"/>
      <c r="G1454" s="2"/>
      <c r="I1454" s="2"/>
      <c r="R1454" t="str">
        <f t="shared" si="149"/>
        <v/>
      </c>
    </row>
    <row r="1455" spans="1:20" x14ac:dyDescent="0.2">
      <c r="A1455" t="str">
        <f t="shared" si="146"/>
        <v/>
      </c>
      <c r="E1455" s="1"/>
      <c r="F1455" s="1"/>
      <c r="G1455" s="2"/>
      <c r="I1455" s="2"/>
      <c r="R1455" t="str">
        <f t="shared" si="149"/>
        <v/>
      </c>
    </row>
    <row r="1456" spans="1:20" x14ac:dyDescent="0.2">
      <c r="A1456" t="str">
        <f t="shared" si="146"/>
        <v/>
      </c>
      <c r="E1456" s="1"/>
      <c r="F1456" s="1"/>
      <c r="G1456" s="2"/>
      <c r="I1456" s="2"/>
      <c r="R1456" t="str">
        <f t="shared" si="149"/>
        <v/>
      </c>
    </row>
    <row r="1457" spans="1:18" x14ac:dyDescent="0.2">
      <c r="A1457" t="str">
        <f t="shared" si="146"/>
        <v/>
      </c>
      <c r="E1457" s="1"/>
      <c r="F1457" s="1"/>
      <c r="G1457" s="2"/>
      <c r="I1457" s="2"/>
      <c r="R1457" t="str">
        <f t="shared" si="149"/>
        <v/>
      </c>
    </row>
    <row r="1458" spans="1:18" x14ac:dyDescent="0.2">
      <c r="A1458" t="str">
        <f t="shared" si="146"/>
        <v/>
      </c>
      <c r="E1458" s="1"/>
      <c r="F1458" s="1"/>
      <c r="G1458" s="2"/>
      <c r="I1458" s="2"/>
      <c r="R1458" t="str">
        <f t="shared" si="149"/>
        <v/>
      </c>
    </row>
    <row r="1459" spans="1:18" x14ac:dyDescent="0.2">
      <c r="A1459" t="str">
        <f t="shared" si="146"/>
        <v/>
      </c>
      <c r="E1459" s="1"/>
      <c r="F1459" s="1"/>
      <c r="G1459" s="2"/>
      <c r="I1459" s="2"/>
      <c r="R1459" t="str">
        <f t="shared" si="149"/>
        <v/>
      </c>
    </row>
    <row r="1460" spans="1:18" x14ac:dyDescent="0.2">
      <c r="A1460" t="str">
        <f t="shared" si="146"/>
        <v/>
      </c>
      <c r="E1460" s="1"/>
      <c r="F1460" s="1"/>
      <c r="G1460" s="2"/>
      <c r="I1460" s="2"/>
      <c r="R1460" t="str">
        <f t="shared" si="149"/>
        <v/>
      </c>
    </row>
    <row r="1461" spans="1:18" x14ac:dyDescent="0.2">
      <c r="A1461" t="str">
        <f t="shared" si="146"/>
        <v/>
      </c>
      <c r="E1461" s="1"/>
      <c r="F1461" s="1"/>
      <c r="G1461" s="2"/>
      <c r="I1461" s="2"/>
      <c r="R1461" t="str">
        <f t="shared" si="149"/>
        <v/>
      </c>
    </row>
    <row r="1462" spans="1:18" x14ac:dyDescent="0.2">
      <c r="A1462" t="str">
        <f t="shared" si="146"/>
        <v/>
      </c>
      <c r="E1462" s="1"/>
      <c r="F1462" s="1"/>
      <c r="G1462" s="2"/>
      <c r="I1462" s="2"/>
      <c r="R1462" t="str">
        <f t="shared" si="149"/>
        <v/>
      </c>
    </row>
    <row r="1463" spans="1:18" x14ac:dyDescent="0.2">
      <c r="A1463" t="str">
        <f t="shared" si="146"/>
        <v/>
      </c>
      <c r="E1463" s="1"/>
      <c r="F1463" s="1"/>
      <c r="G1463" s="2"/>
      <c r="I1463" s="2"/>
      <c r="R1463" t="str">
        <f t="shared" si="149"/>
        <v/>
      </c>
    </row>
    <row r="1464" spans="1:18" x14ac:dyDescent="0.2">
      <c r="A1464" t="str">
        <f t="shared" si="146"/>
        <v/>
      </c>
      <c r="E1464" s="1"/>
      <c r="F1464" s="1"/>
      <c r="G1464" s="2"/>
      <c r="I1464" s="2"/>
      <c r="R1464" t="str">
        <f t="shared" si="149"/>
        <v/>
      </c>
    </row>
    <row r="1465" spans="1:18" x14ac:dyDescent="0.2">
      <c r="A1465" t="str">
        <f t="shared" si="146"/>
        <v/>
      </c>
      <c r="E1465" s="1"/>
      <c r="F1465" s="1"/>
      <c r="G1465" s="2"/>
      <c r="I1465" s="2"/>
      <c r="R1465" t="str">
        <f t="shared" si="149"/>
        <v/>
      </c>
    </row>
    <row r="1466" spans="1:18" x14ac:dyDescent="0.2">
      <c r="A1466" t="str">
        <f t="shared" si="146"/>
        <v/>
      </c>
      <c r="E1466" s="1"/>
      <c r="F1466" s="1"/>
      <c r="G1466" s="2"/>
      <c r="I1466" s="2"/>
      <c r="R1466" t="str">
        <f t="shared" si="149"/>
        <v/>
      </c>
    </row>
    <row r="1467" spans="1:18" x14ac:dyDescent="0.2">
      <c r="A1467" t="str">
        <f t="shared" si="146"/>
        <v/>
      </c>
      <c r="E1467" s="1"/>
      <c r="F1467" s="1"/>
      <c r="G1467" s="2"/>
      <c r="I1467" s="2"/>
      <c r="R1467" t="str">
        <f t="shared" si="149"/>
        <v/>
      </c>
    </row>
    <row r="1468" spans="1:18" x14ac:dyDescent="0.2">
      <c r="A1468" t="str">
        <f t="shared" si="146"/>
        <v/>
      </c>
      <c r="E1468" s="1"/>
      <c r="F1468" s="1"/>
      <c r="G1468" s="2"/>
      <c r="I1468" s="2"/>
      <c r="R1468" t="str">
        <f t="shared" si="149"/>
        <v/>
      </c>
    </row>
    <row r="1469" spans="1:18" x14ac:dyDescent="0.2">
      <c r="A1469" t="str">
        <f t="shared" si="146"/>
        <v/>
      </c>
      <c r="E1469" s="1"/>
      <c r="F1469" s="1"/>
      <c r="G1469" s="2"/>
      <c r="I1469" s="2"/>
      <c r="R1469" t="str">
        <f t="shared" si="149"/>
        <v/>
      </c>
    </row>
    <row r="1470" spans="1:18" x14ac:dyDescent="0.2">
      <c r="A1470" t="str">
        <f t="shared" si="146"/>
        <v/>
      </c>
      <c r="E1470" s="1"/>
      <c r="F1470" s="1"/>
      <c r="G1470" s="2"/>
      <c r="I1470" s="2"/>
      <c r="R1470" t="str">
        <f t="shared" si="149"/>
        <v/>
      </c>
    </row>
    <row r="1471" spans="1:18" x14ac:dyDescent="0.2">
      <c r="A1471" t="str">
        <f t="shared" si="146"/>
        <v/>
      </c>
      <c r="E1471" s="1"/>
      <c r="F1471" s="1"/>
      <c r="G1471" s="2"/>
      <c r="I1471" s="2"/>
      <c r="R1471" t="str">
        <f t="shared" si="149"/>
        <v/>
      </c>
    </row>
    <row r="1472" spans="1:18" x14ac:dyDescent="0.2">
      <c r="A1472" t="str">
        <f t="shared" si="146"/>
        <v/>
      </c>
      <c r="E1472" s="1"/>
      <c r="F1472" s="1"/>
      <c r="G1472" s="2"/>
      <c r="I1472" s="2"/>
      <c r="R1472" t="str">
        <f t="shared" si="149"/>
        <v/>
      </c>
    </row>
    <row r="1473" spans="1:18" x14ac:dyDescent="0.2">
      <c r="A1473" t="str">
        <f t="shared" si="146"/>
        <v/>
      </c>
      <c r="E1473" s="1"/>
      <c r="F1473" s="1"/>
      <c r="G1473" s="2"/>
      <c r="I1473" s="2"/>
      <c r="R1473" t="str">
        <f t="shared" si="149"/>
        <v/>
      </c>
    </row>
    <row r="1474" spans="1:18" x14ac:dyDescent="0.2">
      <c r="A1474" t="str">
        <f t="shared" si="146"/>
        <v/>
      </c>
      <c r="E1474" s="1"/>
      <c r="F1474" s="1"/>
      <c r="G1474" s="2"/>
      <c r="I1474" s="2"/>
      <c r="R1474" t="str">
        <f t="shared" si="149"/>
        <v/>
      </c>
    </row>
    <row r="1475" spans="1:18" x14ac:dyDescent="0.2">
      <c r="A1475" t="str">
        <f t="shared" ref="A1475:A1538" si="151">IFERROR(IF(OR(K1475="",I1475=0),"",D1475&amp;K1475&amp;I1475),"")</f>
        <v/>
      </c>
      <c r="E1475" s="1"/>
      <c r="F1475" s="1"/>
      <c r="G1475" s="2"/>
      <c r="I1475" s="2"/>
      <c r="R1475" t="str">
        <f t="shared" ref="R1475:R1538" si="152">G1475&amp;K1475&amp;N1475</f>
        <v/>
      </c>
    </row>
    <row r="1476" spans="1:18" x14ac:dyDescent="0.2">
      <c r="A1476" t="str">
        <f t="shared" si="151"/>
        <v/>
      </c>
      <c r="E1476" s="1"/>
      <c r="F1476" s="1"/>
      <c r="G1476" s="2"/>
      <c r="I1476" s="2"/>
      <c r="R1476" t="str">
        <f t="shared" si="152"/>
        <v/>
      </c>
    </row>
    <row r="1477" spans="1:18" x14ac:dyDescent="0.2">
      <c r="A1477" t="str">
        <f t="shared" si="151"/>
        <v/>
      </c>
      <c r="E1477" s="1"/>
      <c r="F1477" s="1"/>
      <c r="G1477" s="2"/>
      <c r="I1477" s="2"/>
      <c r="R1477" t="str">
        <f t="shared" si="152"/>
        <v/>
      </c>
    </row>
    <row r="1478" spans="1:18" x14ac:dyDescent="0.2">
      <c r="A1478" t="str">
        <f t="shared" si="151"/>
        <v/>
      </c>
      <c r="E1478" s="1"/>
      <c r="F1478" s="1"/>
      <c r="G1478" s="2"/>
      <c r="I1478" s="2"/>
      <c r="R1478" t="str">
        <f t="shared" si="152"/>
        <v/>
      </c>
    </row>
    <row r="1479" spans="1:18" x14ac:dyDescent="0.2">
      <c r="A1479" t="str">
        <f t="shared" si="151"/>
        <v/>
      </c>
      <c r="E1479" s="1"/>
      <c r="F1479" s="1"/>
      <c r="G1479" s="2"/>
      <c r="I1479" s="2"/>
      <c r="R1479" t="str">
        <f t="shared" si="152"/>
        <v/>
      </c>
    </row>
    <row r="1480" spans="1:18" x14ac:dyDescent="0.2">
      <c r="A1480" t="str">
        <f t="shared" si="151"/>
        <v/>
      </c>
      <c r="E1480" s="1"/>
      <c r="F1480" s="1"/>
      <c r="G1480" s="2"/>
      <c r="I1480" s="2"/>
      <c r="R1480" t="str">
        <f t="shared" si="152"/>
        <v/>
      </c>
    </row>
    <row r="1481" spans="1:18" x14ac:dyDescent="0.2">
      <c r="A1481" t="str">
        <f t="shared" si="151"/>
        <v/>
      </c>
      <c r="E1481" s="1"/>
      <c r="F1481" s="1"/>
      <c r="G1481" s="2"/>
      <c r="I1481" s="2"/>
      <c r="R1481" t="str">
        <f t="shared" si="152"/>
        <v/>
      </c>
    </row>
    <row r="1482" spans="1:18" x14ac:dyDescent="0.2">
      <c r="A1482" t="str">
        <f t="shared" si="151"/>
        <v/>
      </c>
      <c r="E1482" s="1"/>
      <c r="F1482" s="1"/>
      <c r="G1482" s="2"/>
      <c r="I1482" s="2"/>
      <c r="R1482" t="str">
        <f t="shared" si="152"/>
        <v/>
      </c>
    </row>
    <row r="1483" spans="1:18" x14ac:dyDescent="0.2">
      <c r="A1483" t="str">
        <f t="shared" si="151"/>
        <v/>
      </c>
      <c r="E1483" s="1"/>
      <c r="F1483" s="1"/>
      <c r="G1483" s="2"/>
      <c r="I1483" s="2"/>
      <c r="R1483" t="str">
        <f t="shared" si="152"/>
        <v/>
      </c>
    </row>
    <row r="1484" spans="1:18" x14ac:dyDescent="0.2">
      <c r="A1484" t="str">
        <f t="shared" si="151"/>
        <v/>
      </c>
      <c r="E1484" s="1"/>
      <c r="F1484" s="1"/>
      <c r="G1484" s="2"/>
      <c r="I1484" s="2"/>
      <c r="R1484" t="str">
        <f t="shared" si="152"/>
        <v/>
      </c>
    </row>
    <row r="1485" spans="1:18" x14ac:dyDescent="0.2">
      <c r="A1485" t="str">
        <f t="shared" si="151"/>
        <v/>
      </c>
      <c r="E1485" s="1"/>
      <c r="F1485" s="1"/>
      <c r="G1485" s="2"/>
      <c r="I1485" s="2"/>
      <c r="R1485" t="str">
        <f t="shared" si="152"/>
        <v/>
      </c>
    </row>
    <row r="1486" spans="1:18" x14ac:dyDescent="0.2">
      <c r="A1486" t="str">
        <f t="shared" si="151"/>
        <v/>
      </c>
      <c r="E1486" s="1"/>
      <c r="F1486" s="1"/>
      <c r="G1486" s="2"/>
      <c r="I1486" s="2"/>
      <c r="R1486" t="str">
        <f t="shared" si="152"/>
        <v/>
      </c>
    </row>
    <row r="1487" spans="1:18" x14ac:dyDescent="0.2">
      <c r="A1487" t="str">
        <f t="shared" si="151"/>
        <v/>
      </c>
      <c r="E1487" s="1"/>
      <c r="F1487" s="1"/>
      <c r="G1487" s="2"/>
      <c r="I1487" s="2"/>
      <c r="R1487" t="str">
        <f t="shared" si="152"/>
        <v/>
      </c>
    </row>
    <row r="1488" spans="1:18" x14ac:dyDescent="0.2">
      <c r="A1488" t="str">
        <f t="shared" si="151"/>
        <v/>
      </c>
      <c r="E1488" s="1"/>
      <c r="F1488" s="1"/>
      <c r="G1488" s="2"/>
      <c r="I1488" s="2"/>
      <c r="R1488" t="str">
        <f t="shared" si="152"/>
        <v/>
      </c>
    </row>
    <row r="1489" spans="1:18" x14ac:dyDescent="0.2">
      <c r="A1489" t="str">
        <f t="shared" si="151"/>
        <v/>
      </c>
      <c r="E1489" s="1"/>
      <c r="F1489" s="1"/>
      <c r="G1489" s="2"/>
      <c r="I1489" s="2"/>
      <c r="R1489" t="str">
        <f t="shared" si="152"/>
        <v/>
      </c>
    </row>
    <row r="1490" spans="1:18" x14ac:dyDescent="0.2">
      <c r="A1490" t="str">
        <f t="shared" si="151"/>
        <v/>
      </c>
      <c r="E1490" s="1"/>
      <c r="F1490" s="1"/>
      <c r="G1490" s="2"/>
      <c r="I1490" s="2"/>
      <c r="R1490" t="str">
        <f t="shared" si="152"/>
        <v/>
      </c>
    </row>
    <row r="1491" spans="1:18" x14ac:dyDescent="0.2">
      <c r="A1491" t="str">
        <f t="shared" si="151"/>
        <v/>
      </c>
      <c r="E1491" s="1"/>
      <c r="F1491" s="1"/>
      <c r="G1491" s="2"/>
      <c r="I1491" s="2"/>
      <c r="R1491" t="str">
        <f t="shared" si="152"/>
        <v/>
      </c>
    </row>
    <row r="1492" spans="1:18" x14ac:dyDescent="0.2">
      <c r="A1492" t="str">
        <f t="shared" si="151"/>
        <v/>
      </c>
      <c r="E1492" s="1"/>
      <c r="F1492" s="1"/>
      <c r="G1492" s="2"/>
      <c r="I1492" s="2"/>
      <c r="R1492" t="str">
        <f t="shared" si="152"/>
        <v/>
      </c>
    </row>
    <row r="1493" spans="1:18" x14ac:dyDescent="0.2">
      <c r="A1493" t="str">
        <f t="shared" si="151"/>
        <v/>
      </c>
      <c r="E1493" s="1"/>
      <c r="F1493" s="1"/>
      <c r="G1493" s="2"/>
      <c r="I1493" s="2"/>
      <c r="R1493" t="str">
        <f t="shared" si="152"/>
        <v/>
      </c>
    </row>
    <row r="1494" spans="1:18" x14ac:dyDescent="0.2">
      <c r="A1494" t="str">
        <f t="shared" si="151"/>
        <v/>
      </c>
      <c r="E1494" s="1"/>
      <c r="F1494" s="1"/>
      <c r="G1494" s="2"/>
      <c r="I1494" s="2"/>
      <c r="R1494" t="str">
        <f t="shared" si="152"/>
        <v/>
      </c>
    </row>
    <row r="1495" spans="1:18" x14ac:dyDescent="0.2">
      <c r="A1495" t="str">
        <f t="shared" si="151"/>
        <v/>
      </c>
      <c r="E1495" s="1"/>
      <c r="F1495" s="1"/>
      <c r="G1495" s="2"/>
      <c r="I1495" s="2"/>
      <c r="R1495" t="str">
        <f t="shared" si="152"/>
        <v/>
      </c>
    </row>
    <row r="1496" spans="1:18" x14ac:dyDescent="0.2">
      <c r="A1496" t="str">
        <f t="shared" si="151"/>
        <v/>
      </c>
      <c r="E1496" s="1"/>
      <c r="F1496" s="1"/>
      <c r="G1496" s="2"/>
      <c r="I1496" s="2"/>
      <c r="R1496" t="str">
        <f t="shared" si="152"/>
        <v/>
      </c>
    </row>
    <row r="1497" spans="1:18" x14ac:dyDescent="0.2">
      <c r="A1497" t="str">
        <f t="shared" si="151"/>
        <v/>
      </c>
      <c r="E1497" s="1"/>
      <c r="F1497" s="1"/>
      <c r="G1497" s="2"/>
      <c r="I1497" s="2"/>
      <c r="R1497" t="str">
        <f t="shared" si="152"/>
        <v/>
      </c>
    </row>
    <row r="1498" spans="1:18" x14ac:dyDescent="0.2">
      <c r="A1498" t="str">
        <f t="shared" si="151"/>
        <v/>
      </c>
      <c r="E1498" s="1"/>
      <c r="F1498" s="1"/>
      <c r="G1498" s="2"/>
      <c r="I1498" s="2"/>
      <c r="R1498" t="str">
        <f t="shared" si="152"/>
        <v/>
      </c>
    </row>
    <row r="1499" spans="1:18" x14ac:dyDescent="0.2">
      <c r="A1499" t="str">
        <f t="shared" si="151"/>
        <v/>
      </c>
      <c r="E1499" s="1"/>
      <c r="F1499" s="1"/>
      <c r="G1499" s="2"/>
      <c r="I1499" s="2"/>
      <c r="R1499" t="str">
        <f t="shared" si="152"/>
        <v/>
      </c>
    </row>
    <row r="1500" spans="1:18" x14ac:dyDescent="0.2">
      <c r="A1500" t="str">
        <f t="shared" si="151"/>
        <v/>
      </c>
      <c r="E1500" s="1"/>
      <c r="F1500" s="1"/>
      <c r="G1500" s="2"/>
      <c r="I1500" s="2"/>
      <c r="R1500" t="str">
        <f t="shared" si="152"/>
        <v/>
      </c>
    </row>
    <row r="1501" spans="1:18" x14ac:dyDescent="0.2">
      <c r="A1501" t="str">
        <f t="shared" si="151"/>
        <v/>
      </c>
      <c r="E1501" s="1"/>
      <c r="F1501" s="1"/>
      <c r="G1501" s="2"/>
      <c r="I1501" s="2"/>
      <c r="R1501" t="str">
        <f t="shared" si="152"/>
        <v/>
      </c>
    </row>
    <row r="1502" spans="1:18" x14ac:dyDescent="0.2">
      <c r="A1502" t="str">
        <f t="shared" si="151"/>
        <v/>
      </c>
      <c r="E1502" s="1"/>
      <c r="F1502" s="1"/>
      <c r="G1502" s="2"/>
      <c r="I1502" s="2"/>
      <c r="R1502" t="str">
        <f t="shared" si="152"/>
        <v/>
      </c>
    </row>
    <row r="1503" spans="1:18" x14ac:dyDescent="0.2">
      <c r="A1503" t="str">
        <f t="shared" si="151"/>
        <v/>
      </c>
      <c r="E1503" s="1"/>
      <c r="F1503" s="1"/>
      <c r="G1503" s="2"/>
      <c r="I1503" s="2"/>
      <c r="R1503" t="str">
        <f t="shared" si="152"/>
        <v/>
      </c>
    </row>
    <row r="1504" spans="1:18" x14ac:dyDescent="0.2">
      <c r="A1504" t="str">
        <f t="shared" si="151"/>
        <v/>
      </c>
      <c r="E1504" s="1"/>
      <c r="F1504" s="1"/>
      <c r="G1504" s="2"/>
      <c r="I1504" s="2"/>
      <c r="R1504" t="str">
        <f t="shared" si="152"/>
        <v/>
      </c>
    </row>
    <row r="1505" spans="1:18" x14ac:dyDescent="0.2">
      <c r="A1505" t="str">
        <f t="shared" si="151"/>
        <v/>
      </c>
      <c r="E1505" s="1"/>
      <c r="F1505" s="1"/>
      <c r="G1505" s="2"/>
      <c r="I1505" s="2"/>
      <c r="R1505" t="str">
        <f t="shared" si="152"/>
        <v/>
      </c>
    </row>
    <row r="1506" spans="1:18" x14ac:dyDescent="0.2">
      <c r="A1506" t="str">
        <f t="shared" si="151"/>
        <v/>
      </c>
      <c r="E1506" s="1"/>
      <c r="F1506" s="1"/>
      <c r="G1506" s="2"/>
      <c r="I1506" s="2"/>
      <c r="R1506" t="str">
        <f t="shared" si="152"/>
        <v/>
      </c>
    </row>
    <row r="1507" spans="1:18" x14ac:dyDescent="0.2">
      <c r="A1507" t="str">
        <f t="shared" si="151"/>
        <v/>
      </c>
      <c r="E1507" s="1"/>
      <c r="F1507" s="1"/>
      <c r="G1507" s="2"/>
      <c r="I1507" s="2"/>
      <c r="R1507" t="str">
        <f t="shared" si="152"/>
        <v/>
      </c>
    </row>
    <row r="1508" spans="1:18" x14ac:dyDescent="0.2">
      <c r="A1508" t="str">
        <f t="shared" si="151"/>
        <v/>
      </c>
      <c r="E1508" s="1"/>
      <c r="F1508" s="1"/>
      <c r="G1508" s="2"/>
      <c r="I1508" s="2"/>
      <c r="R1508" t="str">
        <f t="shared" si="152"/>
        <v/>
      </c>
    </row>
    <row r="1509" spans="1:18" x14ac:dyDescent="0.2">
      <c r="A1509" t="str">
        <f t="shared" si="151"/>
        <v/>
      </c>
      <c r="E1509" s="1"/>
      <c r="F1509" s="1"/>
      <c r="G1509" s="2"/>
      <c r="I1509" s="2"/>
      <c r="R1509" t="str">
        <f t="shared" si="152"/>
        <v/>
      </c>
    </row>
    <row r="1510" spans="1:18" x14ac:dyDescent="0.2">
      <c r="A1510" t="str">
        <f t="shared" si="151"/>
        <v/>
      </c>
      <c r="E1510" s="1"/>
      <c r="F1510" s="1"/>
      <c r="G1510" s="2"/>
      <c r="I1510" s="2"/>
      <c r="R1510" t="str">
        <f t="shared" si="152"/>
        <v/>
      </c>
    </row>
    <row r="1511" spans="1:18" x14ac:dyDescent="0.2">
      <c r="A1511" t="str">
        <f t="shared" si="151"/>
        <v/>
      </c>
      <c r="E1511" s="1"/>
      <c r="F1511" s="1"/>
      <c r="G1511" s="2"/>
      <c r="I1511" s="2"/>
      <c r="R1511" t="str">
        <f t="shared" si="152"/>
        <v/>
      </c>
    </row>
    <row r="1512" spans="1:18" x14ac:dyDescent="0.2">
      <c r="A1512" t="str">
        <f t="shared" si="151"/>
        <v/>
      </c>
      <c r="E1512" s="1"/>
      <c r="F1512" s="1"/>
      <c r="G1512" s="2"/>
      <c r="I1512" s="2"/>
      <c r="R1512" t="str">
        <f t="shared" si="152"/>
        <v/>
      </c>
    </row>
    <row r="1513" spans="1:18" x14ac:dyDescent="0.2">
      <c r="A1513" t="str">
        <f t="shared" si="151"/>
        <v/>
      </c>
      <c r="E1513" s="1"/>
      <c r="F1513" s="1"/>
      <c r="G1513" s="2"/>
      <c r="I1513" s="2"/>
      <c r="R1513" t="str">
        <f t="shared" si="152"/>
        <v/>
      </c>
    </row>
    <row r="1514" spans="1:18" x14ac:dyDescent="0.2">
      <c r="A1514" t="str">
        <f t="shared" si="151"/>
        <v/>
      </c>
      <c r="E1514" s="1"/>
      <c r="F1514" s="1"/>
      <c r="G1514" s="2"/>
      <c r="I1514" s="2"/>
      <c r="R1514" t="str">
        <f t="shared" si="152"/>
        <v/>
      </c>
    </row>
    <row r="1515" spans="1:18" x14ac:dyDescent="0.2">
      <c r="A1515" t="str">
        <f t="shared" si="151"/>
        <v/>
      </c>
      <c r="E1515" s="1"/>
      <c r="F1515" s="1"/>
      <c r="G1515" s="2"/>
      <c r="I1515" s="2"/>
      <c r="R1515" t="str">
        <f t="shared" si="152"/>
        <v/>
      </c>
    </row>
    <row r="1516" spans="1:18" x14ac:dyDescent="0.2">
      <c r="A1516" t="str">
        <f t="shared" si="151"/>
        <v/>
      </c>
      <c r="E1516" s="1"/>
      <c r="F1516" s="1"/>
      <c r="G1516" s="2"/>
      <c r="I1516" s="2"/>
      <c r="R1516" t="str">
        <f t="shared" si="152"/>
        <v/>
      </c>
    </row>
    <row r="1517" spans="1:18" x14ac:dyDescent="0.2">
      <c r="A1517" t="str">
        <f t="shared" si="151"/>
        <v/>
      </c>
      <c r="E1517" s="1"/>
      <c r="F1517" s="1"/>
      <c r="G1517" s="2"/>
      <c r="I1517" s="2"/>
      <c r="R1517" t="str">
        <f t="shared" si="152"/>
        <v/>
      </c>
    </row>
    <row r="1518" spans="1:18" x14ac:dyDescent="0.2">
      <c r="A1518" t="str">
        <f t="shared" si="151"/>
        <v/>
      </c>
      <c r="E1518" s="1"/>
      <c r="F1518" s="1"/>
      <c r="G1518" s="2"/>
      <c r="I1518" s="2"/>
      <c r="R1518" t="str">
        <f t="shared" si="152"/>
        <v/>
      </c>
    </row>
    <row r="1519" spans="1:18" x14ac:dyDescent="0.2">
      <c r="A1519" t="str">
        <f t="shared" si="151"/>
        <v/>
      </c>
      <c r="E1519" s="1"/>
      <c r="F1519" s="1"/>
      <c r="G1519" s="2"/>
      <c r="I1519" s="2"/>
      <c r="R1519" t="str">
        <f t="shared" si="152"/>
        <v/>
      </c>
    </row>
    <row r="1520" spans="1:18" x14ac:dyDescent="0.2">
      <c r="A1520" t="str">
        <f t="shared" si="151"/>
        <v/>
      </c>
      <c r="E1520" s="1"/>
      <c r="F1520" s="1"/>
      <c r="G1520" s="2"/>
      <c r="I1520" s="2"/>
      <c r="R1520" t="str">
        <f t="shared" si="152"/>
        <v/>
      </c>
    </row>
    <row r="1521" spans="1:18" x14ac:dyDescent="0.2">
      <c r="A1521" t="str">
        <f t="shared" si="151"/>
        <v/>
      </c>
      <c r="E1521" s="1"/>
      <c r="F1521" s="1"/>
      <c r="G1521" s="2"/>
      <c r="I1521" s="2"/>
      <c r="R1521" t="str">
        <f t="shared" si="152"/>
        <v/>
      </c>
    </row>
    <row r="1522" spans="1:18" x14ac:dyDescent="0.2">
      <c r="A1522" t="str">
        <f t="shared" si="151"/>
        <v/>
      </c>
      <c r="E1522" s="1"/>
      <c r="F1522" s="1"/>
      <c r="G1522" s="2"/>
      <c r="I1522" s="2"/>
      <c r="R1522" t="str">
        <f t="shared" si="152"/>
        <v/>
      </c>
    </row>
    <row r="1523" spans="1:18" x14ac:dyDescent="0.2">
      <c r="A1523" t="str">
        <f t="shared" si="151"/>
        <v/>
      </c>
      <c r="E1523" s="1"/>
      <c r="F1523" s="1"/>
      <c r="G1523" s="2"/>
      <c r="I1523" s="2"/>
      <c r="R1523" t="str">
        <f t="shared" si="152"/>
        <v/>
      </c>
    </row>
    <row r="1524" spans="1:18" x14ac:dyDescent="0.2">
      <c r="A1524" t="str">
        <f t="shared" si="151"/>
        <v/>
      </c>
      <c r="E1524" s="1"/>
      <c r="F1524" s="1"/>
      <c r="G1524" s="2"/>
      <c r="I1524" s="2"/>
      <c r="R1524" t="str">
        <f t="shared" si="152"/>
        <v/>
      </c>
    </row>
    <row r="1525" spans="1:18" x14ac:dyDescent="0.2">
      <c r="A1525" t="str">
        <f t="shared" si="151"/>
        <v/>
      </c>
      <c r="E1525" s="1"/>
      <c r="F1525" s="1"/>
      <c r="G1525" s="2"/>
      <c r="I1525" s="2"/>
      <c r="R1525" t="str">
        <f t="shared" si="152"/>
        <v/>
      </c>
    </row>
    <row r="1526" spans="1:18" x14ac:dyDescent="0.2">
      <c r="A1526" t="str">
        <f t="shared" si="151"/>
        <v/>
      </c>
      <c r="E1526" s="1"/>
      <c r="F1526" s="1"/>
      <c r="G1526" s="2"/>
      <c r="I1526" s="2"/>
      <c r="R1526" t="str">
        <f t="shared" si="152"/>
        <v/>
      </c>
    </row>
    <row r="1527" spans="1:18" x14ac:dyDescent="0.2">
      <c r="A1527" t="str">
        <f t="shared" si="151"/>
        <v/>
      </c>
      <c r="E1527" s="1"/>
      <c r="F1527" s="1"/>
      <c r="G1527" s="2"/>
      <c r="I1527" s="2"/>
      <c r="R1527" t="str">
        <f t="shared" si="152"/>
        <v/>
      </c>
    </row>
    <row r="1528" spans="1:18" x14ac:dyDescent="0.2">
      <c r="A1528" t="str">
        <f t="shared" si="151"/>
        <v/>
      </c>
      <c r="E1528" s="1"/>
      <c r="F1528" s="1"/>
      <c r="G1528" s="2"/>
      <c r="I1528" s="2"/>
      <c r="R1528" t="str">
        <f t="shared" si="152"/>
        <v/>
      </c>
    </row>
    <row r="1529" spans="1:18" x14ac:dyDescent="0.2">
      <c r="A1529" t="str">
        <f t="shared" si="151"/>
        <v/>
      </c>
      <c r="E1529" s="1"/>
      <c r="F1529" s="1"/>
      <c r="G1529" s="2"/>
      <c r="I1529" s="2"/>
      <c r="R1529" t="str">
        <f t="shared" si="152"/>
        <v/>
      </c>
    </row>
    <row r="1530" spans="1:18" x14ac:dyDescent="0.2">
      <c r="A1530" t="str">
        <f t="shared" si="151"/>
        <v/>
      </c>
      <c r="E1530" s="1"/>
      <c r="F1530" s="1"/>
      <c r="G1530" s="2"/>
      <c r="I1530" s="2"/>
      <c r="R1530" t="str">
        <f t="shared" si="152"/>
        <v/>
      </c>
    </row>
    <row r="1531" spans="1:18" x14ac:dyDescent="0.2">
      <c r="A1531" t="str">
        <f t="shared" si="151"/>
        <v/>
      </c>
      <c r="E1531" s="1"/>
      <c r="F1531" s="1"/>
      <c r="G1531" s="2"/>
      <c r="I1531" s="2"/>
      <c r="R1531" t="str">
        <f t="shared" si="152"/>
        <v/>
      </c>
    </row>
    <row r="1532" spans="1:18" x14ac:dyDescent="0.2">
      <c r="A1532" t="str">
        <f t="shared" si="151"/>
        <v/>
      </c>
      <c r="E1532" s="1"/>
      <c r="F1532" s="1"/>
      <c r="G1532" s="2"/>
      <c r="I1532" s="2"/>
      <c r="R1532" t="str">
        <f t="shared" si="152"/>
        <v/>
      </c>
    </row>
    <row r="1533" spans="1:18" x14ac:dyDescent="0.2">
      <c r="A1533" t="str">
        <f t="shared" si="151"/>
        <v/>
      </c>
      <c r="E1533" s="1"/>
      <c r="F1533" s="1"/>
      <c r="G1533" s="2"/>
      <c r="I1533" s="2"/>
      <c r="R1533" t="str">
        <f t="shared" si="152"/>
        <v/>
      </c>
    </row>
    <row r="1534" spans="1:18" x14ac:dyDescent="0.2">
      <c r="A1534" t="str">
        <f t="shared" si="151"/>
        <v/>
      </c>
      <c r="E1534" s="1"/>
      <c r="F1534" s="1"/>
      <c r="G1534" s="2"/>
      <c r="I1534" s="2"/>
      <c r="R1534" t="str">
        <f t="shared" si="152"/>
        <v/>
      </c>
    </row>
    <row r="1535" spans="1:18" x14ac:dyDescent="0.2">
      <c r="A1535" t="str">
        <f t="shared" si="151"/>
        <v/>
      </c>
      <c r="E1535" s="1"/>
      <c r="F1535" s="1"/>
      <c r="G1535" s="2"/>
      <c r="I1535" s="2"/>
      <c r="R1535" t="str">
        <f t="shared" si="152"/>
        <v/>
      </c>
    </row>
    <row r="1536" spans="1:18" x14ac:dyDescent="0.2">
      <c r="A1536" t="str">
        <f t="shared" si="151"/>
        <v/>
      </c>
      <c r="E1536" s="1"/>
      <c r="F1536" s="1"/>
      <c r="G1536" s="2"/>
      <c r="I1536" s="2"/>
      <c r="R1536" t="str">
        <f t="shared" si="152"/>
        <v/>
      </c>
    </row>
    <row r="1537" spans="1:18" x14ac:dyDescent="0.2">
      <c r="A1537" t="str">
        <f t="shared" si="151"/>
        <v/>
      </c>
      <c r="E1537" s="1"/>
      <c r="F1537" s="1"/>
      <c r="G1537" s="2"/>
      <c r="I1537" s="2"/>
      <c r="R1537" t="str">
        <f t="shared" si="152"/>
        <v/>
      </c>
    </row>
    <row r="1538" spans="1:18" x14ac:dyDescent="0.2">
      <c r="A1538" t="str">
        <f t="shared" si="151"/>
        <v/>
      </c>
      <c r="E1538" s="1"/>
      <c r="F1538" s="1"/>
      <c r="G1538" s="2"/>
      <c r="I1538" s="2"/>
      <c r="R1538" t="str">
        <f t="shared" si="152"/>
        <v/>
      </c>
    </row>
    <row r="1539" spans="1:18" x14ac:dyDescent="0.2">
      <c r="A1539" t="str">
        <f t="shared" ref="A1539:A1602" si="153">IFERROR(IF(OR(K1539="",I1539=0),"",D1539&amp;K1539&amp;I1539),"")</f>
        <v/>
      </c>
      <c r="E1539" s="1"/>
      <c r="F1539" s="1"/>
      <c r="G1539" s="2"/>
      <c r="I1539" s="2"/>
      <c r="R1539" t="str">
        <f t="shared" ref="R1539:R1602" si="154">G1539&amp;K1539&amp;N1539</f>
        <v/>
      </c>
    </row>
    <row r="1540" spans="1:18" x14ac:dyDescent="0.2">
      <c r="A1540" t="str">
        <f t="shared" si="153"/>
        <v/>
      </c>
      <c r="E1540" s="1"/>
      <c r="F1540" s="1"/>
      <c r="G1540" s="2"/>
      <c r="I1540" s="2"/>
      <c r="R1540" t="str">
        <f t="shared" si="154"/>
        <v/>
      </c>
    </row>
    <row r="1541" spans="1:18" x14ac:dyDescent="0.2">
      <c r="A1541" t="str">
        <f t="shared" si="153"/>
        <v/>
      </c>
      <c r="E1541" s="1"/>
      <c r="F1541" s="1"/>
      <c r="G1541" s="2"/>
      <c r="I1541" s="2"/>
      <c r="R1541" t="str">
        <f t="shared" si="154"/>
        <v/>
      </c>
    </row>
    <row r="1542" spans="1:18" x14ac:dyDescent="0.2">
      <c r="A1542" t="str">
        <f t="shared" si="153"/>
        <v/>
      </c>
      <c r="E1542" s="1"/>
      <c r="F1542" s="1"/>
      <c r="G1542" s="2"/>
      <c r="I1542" s="2"/>
      <c r="R1542" t="str">
        <f t="shared" si="154"/>
        <v/>
      </c>
    </row>
    <row r="1543" spans="1:18" x14ac:dyDescent="0.2">
      <c r="A1543" t="str">
        <f t="shared" si="153"/>
        <v/>
      </c>
      <c r="E1543" s="1"/>
      <c r="F1543" s="1"/>
      <c r="G1543" s="2"/>
      <c r="I1543" s="2"/>
      <c r="R1543" t="str">
        <f t="shared" si="154"/>
        <v/>
      </c>
    </row>
    <row r="1544" spans="1:18" x14ac:dyDescent="0.2">
      <c r="A1544" t="str">
        <f t="shared" si="153"/>
        <v/>
      </c>
      <c r="E1544" s="1"/>
      <c r="F1544" s="1"/>
      <c r="G1544" s="2"/>
      <c r="I1544" s="2"/>
      <c r="R1544" t="str">
        <f t="shared" si="154"/>
        <v/>
      </c>
    </row>
    <row r="1545" spans="1:18" x14ac:dyDescent="0.2">
      <c r="A1545" t="str">
        <f t="shared" si="153"/>
        <v/>
      </c>
      <c r="E1545" s="1"/>
      <c r="F1545" s="1"/>
      <c r="G1545" s="2"/>
      <c r="I1545" s="2"/>
      <c r="R1545" t="str">
        <f t="shared" si="154"/>
        <v/>
      </c>
    </row>
    <row r="1546" spans="1:18" x14ac:dyDescent="0.2">
      <c r="A1546" t="str">
        <f t="shared" si="153"/>
        <v/>
      </c>
      <c r="E1546" s="1"/>
      <c r="F1546" s="1"/>
      <c r="G1546" s="2"/>
      <c r="I1546" s="2"/>
      <c r="R1546" t="str">
        <f t="shared" si="154"/>
        <v/>
      </c>
    </row>
    <row r="1547" spans="1:18" x14ac:dyDescent="0.2">
      <c r="A1547" t="str">
        <f t="shared" si="153"/>
        <v/>
      </c>
      <c r="E1547" s="1"/>
      <c r="F1547" s="1"/>
      <c r="G1547" s="2"/>
      <c r="I1547" s="2"/>
      <c r="R1547" t="str">
        <f t="shared" si="154"/>
        <v/>
      </c>
    </row>
    <row r="1548" spans="1:18" x14ac:dyDescent="0.2">
      <c r="A1548" t="str">
        <f t="shared" si="153"/>
        <v/>
      </c>
      <c r="E1548" s="1"/>
      <c r="F1548" s="1"/>
      <c r="G1548" s="2"/>
      <c r="I1548" s="2"/>
      <c r="R1548" t="str">
        <f t="shared" si="154"/>
        <v/>
      </c>
    </row>
    <row r="1549" spans="1:18" x14ac:dyDescent="0.2">
      <c r="A1549" t="str">
        <f t="shared" si="153"/>
        <v/>
      </c>
      <c r="E1549" s="1"/>
      <c r="F1549" s="1"/>
      <c r="G1549" s="2"/>
      <c r="I1549" s="2"/>
      <c r="R1549" t="str">
        <f t="shared" si="154"/>
        <v/>
      </c>
    </row>
    <row r="1550" spans="1:18" x14ac:dyDescent="0.2">
      <c r="A1550" t="str">
        <f t="shared" si="153"/>
        <v/>
      </c>
      <c r="E1550" s="1"/>
      <c r="F1550" s="1"/>
      <c r="G1550" s="2"/>
      <c r="I1550" s="2"/>
      <c r="R1550" t="str">
        <f t="shared" si="154"/>
        <v/>
      </c>
    </row>
    <row r="1551" spans="1:18" x14ac:dyDescent="0.2">
      <c r="A1551" t="str">
        <f t="shared" si="153"/>
        <v/>
      </c>
      <c r="E1551" s="1"/>
      <c r="F1551" s="1"/>
      <c r="G1551" s="2"/>
      <c r="I1551" s="2"/>
      <c r="R1551" t="str">
        <f t="shared" si="154"/>
        <v/>
      </c>
    </row>
    <row r="1552" spans="1:18" x14ac:dyDescent="0.2">
      <c r="A1552" t="str">
        <f t="shared" si="153"/>
        <v/>
      </c>
      <c r="E1552" s="1"/>
      <c r="F1552" s="1"/>
      <c r="G1552" s="2"/>
      <c r="I1552" s="2"/>
      <c r="R1552" t="str">
        <f t="shared" si="154"/>
        <v/>
      </c>
    </row>
    <row r="1553" spans="1:18" x14ac:dyDescent="0.2">
      <c r="A1553" t="str">
        <f t="shared" si="153"/>
        <v/>
      </c>
      <c r="E1553" s="1"/>
      <c r="F1553" s="1"/>
      <c r="G1553" s="2"/>
      <c r="I1553" s="2"/>
      <c r="R1553" t="str">
        <f t="shared" si="154"/>
        <v/>
      </c>
    </row>
    <row r="1554" spans="1:18" x14ac:dyDescent="0.2">
      <c r="A1554" t="str">
        <f t="shared" si="153"/>
        <v/>
      </c>
      <c r="E1554" s="1"/>
      <c r="F1554" s="1"/>
      <c r="G1554" s="2"/>
      <c r="I1554" s="2"/>
      <c r="R1554" t="str">
        <f t="shared" si="154"/>
        <v/>
      </c>
    </row>
    <row r="1555" spans="1:18" x14ac:dyDescent="0.2">
      <c r="A1555" t="str">
        <f t="shared" si="153"/>
        <v/>
      </c>
      <c r="E1555" s="1"/>
      <c r="F1555" s="1"/>
      <c r="G1555" s="2"/>
      <c r="I1555" s="2"/>
      <c r="R1555" t="str">
        <f t="shared" si="154"/>
        <v/>
      </c>
    </row>
    <row r="1556" spans="1:18" x14ac:dyDescent="0.2">
      <c r="A1556" t="str">
        <f t="shared" si="153"/>
        <v/>
      </c>
      <c r="E1556" s="1"/>
      <c r="F1556" s="1"/>
      <c r="G1556" s="2"/>
      <c r="I1556" s="2"/>
      <c r="R1556" t="str">
        <f t="shared" si="154"/>
        <v/>
      </c>
    </row>
    <row r="1557" spans="1:18" x14ac:dyDescent="0.2">
      <c r="A1557" t="str">
        <f t="shared" si="153"/>
        <v/>
      </c>
      <c r="E1557" s="1"/>
      <c r="F1557" s="1"/>
      <c r="G1557" s="2"/>
      <c r="I1557" s="2"/>
      <c r="R1557" t="str">
        <f t="shared" si="154"/>
        <v/>
      </c>
    </row>
    <row r="1558" spans="1:18" x14ac:dyDescent="0.2">
      <c r="A1558" t="str">
        <f t="shared" si="153"/>
        <v/>
      </c>
      <c r="E1558" s="1"/>
      <c r="F1558" s="1"/>
      <c r="G1558" s="2"/>
      <c r="I1558" s="2"/>
      <c r="R1558" t="str">
        <f t="shared" si="154"/>
        <v/>
      </c>
    </row>
    <row r="1559" spans="1:18" x14ac:dyDescent="0.2">
      <c r="A1559" t="str">
        <f t="shared" si="153"/>
        <v/>
      </c>
      <c r="E1559" s="1"/>
      <c r="F1559" s="1"/>
      <c r="G1559" s="2"/>
      <c r="I1559" s="2"/>
      <c r="R1559" t="str">
        <f t="shared" si="154"/>
        <v/>
      </c>
    </row>
    <row r="1560" spans="1:18" x14ac:dyDescent="0.2">
      <c r="A1560" t="str">
        <f t="shared" si="153"/>
        <v/>
      </c>
      <c r="E1560" s="1"/>
      <c r="F1560" s="1"/>
      <c r="G1560" s="2"/>
      <c r="I1560" s="2"/>
      <c r="R1560" t="str">
        <f t="shared" si="154"/>
        <v/>
      </c>
    </row>
    <row r="1561" spans="1:18" x14ac:dyDescent="0.2">
      <c r="A1561" t="str">
        <f t="shared" si="153"/>
        <v/>
      </c>
      <c r="E1561" s="1"/>
      <c r="F1561" s="1"/>
      <c r="G1561" s="2"/>
      <c r="I1561" s="2"/>
      <c r="R1561" t="str">
        <f t="shared" si="154"/>
        <v/>
      </c>
    </row>
    <row r="1562" spans="1:18" x14ac:dyDescent="0.2">
      <c r="A1562" t="str">
        <f t="shared" si="153"/>
        <v/>
      </c>
      <c r="E1562" s="1"/>
      <c r="F1562" s="1"/>
      <c r="G1562" s="2"/>
      <c r="I1562" s="2"/>
      <c r="R1562" t="str">
        <f t="shared" si="154"/>
        <v/>
      </c>
    </row>
    <row r="1563" spans="1:18" x14ac:dyDescent="0.2">
      <c r="A1563" t="str">
        <f t="shared" si="153"/>
        <v/>
      </c>
      <c r="E1563" s="1"/>
      <c r="F1563" s="1"/>
      <c r="G1563" s="2"/>
      <c r="I1563" s="2"/>
      <c r="R1563" t="str">
        <f t="shared" si="154"/>
        <v/>
      </c>
    </row>
    <row r="1564" spans="1:18" x14ac:dyDescent="0.2">
      <c r="A1564" t="str">
        <f t="shared" si="153"/>
        <v/>
      </c>
      <c r="E1564" s="1"/>
      <c r="F1564" s="1"/>
      <c r="G1564" s="2"/>
      <c r="I1564" s="2"/>
      <c r="R1564" t="str">
        <f t="shared" si="154"/>
        <v/>
      </c>
    </row>
    <row r="1565" spans="1:18" x14ac:dyDescent="0.2">
      <c r="A1565" t="str">
        <f t="shared" si="153"/>
        <v/>
      </c>
      <c r="E1565" s="1"/>
      <c r="F1565" s="1"/>
      <c r="G1565" s="2"/>
      <c r="I1565" s="2"/>
      <c r="R1565" t="str">
        <f t="shared" si="154"/>
        <v/>
      </c>
    </row>
    <row r="1566" spans="1:18" x14ac:dyDescent="0.2">
      <c r="A1566" t="str">
        <f t="shared" si="153"/>
        <v/>
      </c>
      <c r="E1566" s="1"/>
      <c r="F1566" s="1"/>
      <c r="G1566" s="2"/>
      <c r="I1566" s="2"/>
      <c r="R1566" t="str">
        <f t="shared" si="154"/>
        <v/>
      </c>
    </row>
    <row r="1567" spans="1:18" x14ac:dyDescent="0.2">
      <c r="A1567" t="str">
        <f t="shared" si="153"/>
        <v/>
      </c>
      <c r="E1567" s="1"/>
      <c r="F1567" s="1"/>
      <c r="G1567" s="2"/>
      <c r="I1567" s="2"/>
      <c r="R1567" t="str">
        <f t="shared" si="154"/>
        <v/>
      </c>
    </row>
    <row r="1568" spans="1:18" x14ac:dyDescent="0.2">
      <c r="A1568" t="str">
        <f t="shared" si="153"/>
        <v/>
      </c>
      <c r="E1568" s="1"/>
      <c r="F1568" s="1"/>
      <c r="G1568" s="2"/>
      <c r="I1568" s="2"/>
      <c r="R1568" t="str">
        <f t="shared" si="154"/>
        <v/>
      </c>
    </row>
    <row r="1569" spans="1:18" x14ac:dyDescent="0.2">
      <c r="A1569" t="str">
        <f t="shared" si="153"/>
        <v/>
      </c>
      <c r="E1569" s="1"/>
      <c r="F1569" s="1"/>
      <c r="G1569" s="2"/>
      <c r="I1569" s="2"/>
      <c r="R1569" t="str">
        <f t="shared" si="154"/>
        <v/>
      </c>
    </row>
    <row r="1570" spans="1:18" x14ac:dyDescent="0.2">
      <c r="A1570" t="str">
        <f t="shared" si="153"/>
        <v/>
      </c>
      <c r="E1570" s="1"/>
      <c r="F1570" s="1"/>
      <c r="G1570" s="2"/>
      <c r="I1570" s="2"/>
      <c r="R1570" t="str">
        <f t="shared" si="154"/>
        <v/>
      </c>
    </row>
    <row r="1571" spans="1:18" x14ac:dyDescent="0.2">
      <c r="A1571" t="str">
        <f t="shared" si="153"/>
        <v/>
      </c>
      <c r="E1571" s="1"/>
      <c r="F1571" s="1"/>
      <c r="G1571" s="2"/>
      <c r="I1571" s="2"/>
      <c r="R1571" t="str">
        <f t="shared" si="154"/>
        <v/>
      </c>
    </row>
    <row r="1572" spans="1:18" x14ac:dyDescent="0.2">
      <c r="A1572" t="str">
        <f t="shared" si="153"/>
        <v/>
      </c>
      <c r="E1572" s="1"/>
      <c r="F1572" s="1"/>
      <c r="G1572" s="2"/>
      <c r="I1572" s="2"/>
      <c r="R1572" t="str">
        <f t="shared" si="154"/>
        <v/>
      </c>
    </row>
    <row r="1573" spans="1:18" x14ac:dyDescent="0.2">
      <c r="A1573" t="str">
        <f t="shared" si="153"/>
        <v/>
      </c>
      <c r="E1573" s="1"/>
      <c r="F1573" s="1"/>
      <c r="G1573" s="2"/>
      <c r="I1573" s="2"/>
      <c r="R1573" t="str">
        <f t="shared" si="154"/>
        <v/>
      </c>
    </row>
    <row r="1574" spans="1:18" x14ac:dyDescent="0.2">
      <c r="A1574" t="str">
        <f t="shared" si="153"/>
        <v/>
      </c>
      <c r="E1574" s="1"/>
      <c r="F1574" s="1"/>
      <c r="G1574" s="2"/>
      <c r="I1574" s="2"/>
      <c r="R1574" t="str">
        <f t="shared" si="154"/>
        <v/>
      </c>
    </row>
    <row r="1575" spans="1:18" x14ac:dyDescent="0.2">
      <c r="A1575" t="str">
        <f t="shared" si="153"/>
        <v/>
      </c>
      <c r="E1575" s="1"/>
      <c r="F1575" s="1"/>
      <c r="G1575" s="2"/>
      <c r="I1575" s="2"/>
      <c r="R1575" t="str">
        <f t="shared" si="154"/>
        <v/>
      </c>
    </row>
    <row r="1576" spans="1:18" x14ac:dyDescent="0.2">
      <c r="A1576" t="str">
        <f t="shared" si="153"/>
        <v/>
      </c>
      <c r="E1576" s="1"/>
      <c r="F1576" s="1"/>
      <c r="G1576" s="2"/>
      <c r="I1576" s="2"/>
      <c r="R1576" t="str">
        <f t="shared" si="154"/>
        <v/>
      </c>
    </row>
    <row r="1577" spans="1:18" x14ac:dyDescent="0.2">
      <c r="A1577" t="str">
        <f t="shared" si="153"/>
        <v/>
      </c>
      <c r="E1577" s="1"/>
      <c r="F1577" s="1"/>
      <c r="G1577" s="2"/>
      <c r="I1577" s="2"/>
      <c r="R1577" t="str">
        <f t="shared" si="154"/>
        <v/>
      </c>
    </row>
    <row r="1578" spans="1:18" x14ac:dyDescent="0.2">
      <c r="A1578" t="str">
        <f t="shared" si="153"/>
        <v/>
      </c>
      <c r="E1578" s="1"/>
      <c r="F1578" s="1"/>
      <c r="G1578" s="2"/>
      <c r="I1578" s="2"/>
      <c r="R1578" t="str">
        <f t="shared" si="154"/>
        <v/>
      </c>
    </row>
    <row r="1579" spans="1:18" x14ac:dyDescent="0.2">
      <c r="A1579" t="str">
        <f t="shared" si="153"/>
        <v/>
      </c>
      <c r="E1579" s="1"/>
      <c r="F1579" s="1"/>
      <c r="G1579" s="2"/>
      <c r="I1579" s="2"/>
      <c r="R1579" t="str">
        <f t="shared" si="154"/>
        <v/>
      </c>
    </row>
    <row r="1580" spans="1:18" x14ac:dyDescent="0.2">
      <c r="A1580" t="str">
        <f t="shared" si="153"/>
        <v/>
      </c>
      <c r="E1580" s="1"/>
      <c r="F1580" s="1"/>
      <c r="G1580" s="2"/>
      <c r="I1580" s="2"/>
      <c r="R1580" t="str">
        <f t="shared" si="154"/>
        <v/>
      </c>
    </row>
    <row r="1581" spans="1:18" x14ac:dyDescent="0.2">
      <c r="A1581" t="str">
        <f t="shared" si="153"/>
        <v/>
      </c>
      <c r="E1581" s="1"/>
      <c r="F1581" s="1"/>
      <c r="G1581" s="2"/>
      <c r="I1581" s="2"/>
      <c r="R1581" t="str">
        <f t="shared" si="154"/>
        <v/>
      </c>
    </row>
    <row r="1582" spans="1:18" x14ac:dyDescent="0.2">
      <c r="A1582" t="str">
        <f t="shared" si="153"/>
        <v/>
      </c>
      <c r="E1582" s="1"/>
      <c r="F1582" s="1"/>
      <c r="G1582" s="2"/>
      <c r="I1582" s="2"/>
      <c r="R1582" t="str">
        <f t="shared" si="154"/>
        <v/>
      </c>
    </row>
    <row r="1583" spans="1:18" x14ac:dyDescent="0.2">
      <c r="A1583" t="str">
        <f t="shared" si="153"/>
        <v/>
      </c>
      <c r="E1583" s="1"/>
      <c r="F1583" s="1"/>
      <c r="G1583" s="2"/>
      <c r="I1583" s="2"/>
      <c r="R1583" t="str">
        <f t="shared" si="154"/>
        <v/>
      </c>
    </row>
    <row r="1584" spans="1:18" x14ac:dyDescent="0.2">
      <c r="A1584" t="str">
        <f t="shared" si="153"/>
        <v/>
      </c>
      <c r="E1584" s="1"/>
      <c r="F1584" s="1"/>
      <c r="G1584" s="2"/>
      <c r="I1584" s="2"/>
      <c r="R1584" t="str">
        <f t="shared" si="154"/>
        <v/>
      </c>
    </row>
    <row r="1585" spans="1:18" x14ac:dyDescent="0.2">
      <c r="A1585" t="str">
        <f t="shared" si="153"/>
        <v/>
      </c>
      <c r="E1585" s="1"/>
      <c r="F1585" s="1"/>
      <c r="G1585" s="2"/>
      <c r="I1585" s="2"/>
      <c r="R1585" t="str">
        <f t="shared" si="154"/>
        <v/>
      </c>
    </row>
    <row r="1586" spans="1:18" x14ac:dyDescent="0.2">
      <c r="A1586" t="str">
        <f t="shared" si="153"/>
        <v/>
      </c>
      <c r="E1586" s="1"/>
      <c r="F1586" s="1"/>
      <c r="G1586" s="2"/>
      <c r="I1586" s="2"/>
      <c r="R1586" t="str">
        <f t="shared" si="154"/>
        <v/>
      </c>
    </row>
    <row r="1587" spans="1:18" x14ac:dyDescent="0.2">
      <c r="A1587" t="str">
        <f t="shared" si="153"/>
        <v/>
      </c>
      <c r="E1587" s="1"/>
      <c r="F1587" s="1"/>
      <c r="G1587" s="2"/>
      <c r="I1587" s="2"/>
      <c r="R1587" t="str">
        <f t="shared" si="154"/>
        <v/>
      </c>
    </row>
    <row r="1588" spans="1:18" x14ac:dyDescent="0.2">
      <c r="A1588" t="str">
        <f t="shared" si="153"/>
        <v/>
      </c>
      <c r="E1588" s="1"/>
      <c r="F1588" s="1"/>
      <c r="G1588" s="2"/>
      <c r="I1588" s="2"/>
      <c r="R1588" t="str">
        <f t="shared" si="154"/>
        <v/>
      </c>
    </row>
    <row r="1589" spans="1:18" x14ac:dyDescent="0.2">
      <c r="A1589" t="str">
        <f t="shared" si="153"/>
        <v/>
      </c>
      <c r="E1589" s="1"/>
      <c r="F1589" s="1"/>
      <c r="G1589" s="2"/>
      <c r="I1589" s="2"/>
      <c r="R1589" t="str">
        <f t="shared" si="154"/>
        <v/>
      </c>
    </row>
    <row r="1590" spans="1:18" x14ac:dyDescent="0.2">
      <c r="A1590" t="str">
        <f t="shared" si="153"/>
        <v/>
      </c>
      <c r="E1590" s="1"/>
      <c r="F1590" s="1"/>
      <c r="G1590" s="2"/>
      <c r="I1590" s="2"/>
      <c r="R1590" t="str">
        <f t="shared" si="154"/>
        <v/>
      </c>
    </row>
    <row r="1591" spans="1:18" x14ac:dyDescent="0.2">
      <c r="A1591" t="str">
        <f t="shared" si="153"/>
        <v/>
      </c>
      <c r="E1591" s="1"/>
      <c r="F1591" s="1"/>
      <c r="G1591" s="2"/>
      <c r="I1591" s="2"/>
      <c r="R1591" t="str">
        <f t="shared" si="154"/>
        <v/>
      </c>
    </row>
    <row r="1592" spans="1:18" x14ac:dyDescent="0.2">
      <c r="A1592" t="str">
        <f t="shared" si="153"/>
        <v/>
      </c>
      <c r="E1592" s="1"/>
      <c r="F1592" s="1"/>
      <c r="G1592" s="2"/>
      <c r="I1592" s="2"/>
      <c r="R1592" t="str">
        <f t="shared" si="154"/>
        <v/>
      </c>
    </row>
    <row r="1593" spans="1:18" x14ac:dyDescent="0.2">
      <c r="A1593" t="str">
        <f t="shared" si="153"/>
        <v/>
      </c>
      <c r="E1593" s="1"/>
      <c r="F1593" s="1"/>
      <c r="G1593" s="2"/>
      <c r="I1593" s="2"/>
      <c r="R1593" t="str">
        <f t="shared" si="154"/>
        <v/>
      </c>
    </row>
    <row r="1594" spans="1:18" x14ac:dyDescent="0.2">
      <c r="A1594" t="str">
        <f t="shared" si="153"/>
        <v/>
      </c>
      <c r="E1594" s="1"/>
      <c r="F1594" s="1"/>
      <c r="G1594" s="2"/>
      <c r="I1594" s="2"/>
      <c r="R1594" t="str">
        <f t="shared" si="154"/>
        <v/>
      </c>
    </row>
    <row r="1595" spans="1:18" x14ac:dyDescent="0.2">
      <c r="A1595" t="str">
        <f t="shared" si="153"/>
        <v/>
      </c>
      <c r="E1595" s="1"/>
      <c r="F1595" s="1"/>
      <c r="G1595" s="2"/>
      <c r="I1595" s="2"/>
      <c r="R1595" t="str">
        <f t="shared" si="154"/>
        <v/>
      </c>
    </row>
    <row r="1596" spans="1:18" x14ac:dyDescent="0.2">
      <c r="A1596" t="str">
        <f t="shared" si="153"/>
        <v/>
      </c>
      <c r="E1596" s="1"/>
      <c r="F1596" s="1"/>
      <c r="G1596" s="2"/>
      <c r="I1596" s="2"/>
      <c r="R1596" t="str">
        <f t="shared" si="154"/>
        <v/>
      </c>
    </row>
    <row r="1597" spans="1:18" x14ac:dyDescent="0.2">
      <c r="A1597" t="str">
        <f t="shared" si="153"/>
        <v/>
      </c>
      <c r="E1597" s="1"/>
      <c r="F1597" s="1"/>
      <c r="G1597" s="2"/>
      <c r="I1597" s="2"/>
      <c r="R1597" t="str">
        <f t="shared" si="154"/>
        <v/>
      </c>
    </row>
    <row r="1598" spans="1:18" x14ac:dyDescent="0.2">
      <c r="A1598" t="str">
        <f t="shared" si="153"/>
        <v/>
      </c>
      <c r="E1598" s="1"/>
      <c r="F1598" s="1"/>
      <c r="G1598" s="2"/>
      <c r="I1598" s="2"/>
      <c r="R1598" t="str">
        <f t="shared" si="154"/>
        <v/>
      </c>
    </row>
    <row r="1599" spans="1:18" x14ac:dyDescent="0.2">
      <c r="A1599" t="str">
        <f t="shared" si="153"/>
        <v/>
      </c>
      <c r="E1599" s="1"/>
      <c r="F1599" s="1"/>
      <c r="G1599" s="2"/>
      <c r="I1599" s="2"/>
      <c r="R1599" t="str">
        <f t="shared" si="154"/>
        <v/>
      </c>
    </row>
    <row r="1600" spans="1:18" x14ac:dyDescent="0.2">
      <c r="A1600" t="str">
        <f t="shared" si="153"/>
        <v/>
      </c>
      <c r="E1600" s="1"/>
      <c r="F1600" s="1"/>
      <c r="G1600" s="2"/>
      <c r="I1600" s="2"/>
      <c r="R1600" t="str">
        <f t="shared" si="154"/>
        <v/>
      </c>
    </row>
    <row r="1601" spans="1:18" x14ac:dyDescent="0.2">
      <c r="A1601" t="str">
        <f t="shared" si="153"/>
        <v/>
      </c>
      <c r="E1601" s="1"/>
      <c r="F1601" s="1"/>
      <c r="G1601" s="2"/>
      <c r="I1601" s="2"/>
      <c r="R1601" t="str">
        <f t="shared" si="154"/>
        <v/>
      </c>
    </row>
    <row r="1602" spans="1:18" x14ac:dyDescent="0.2">
      <c r="A1602" t="str">
        <f t="shared" si="153"/>
        <v/>
      </c>
      <c r="E1602" s="1"/>
      <c r="F1602" s="1"/>
      <c r="G1602" s="2"/>
      <c r="I1602" s="2"/>
      <c r="R1602" t="str">
        <f t="shared" si="154"/>
        <v/>
      </c>
    </row>
    <row r="1603" spans="1:18" x14ac:dyDescent="0.2">
      <c r="A1603" t="str">
        <f t="shared" ref="A1603:A1666" si="155">IFERROR(IF(OR(K1603="",I1603=0),"",D1603&amp;K1603&amp;I1603),"")</f>
        <v/>
      </c>
      <c r="E1603" s="1"/>
      <c r="F1603" s="1"/>
      <c r="G1603" s="2"/>
      <c r="I1603" s="2"/>
      <c r="R1603" t="str">
        <f t="shared" ref="R1603:R1666" si="156">G1603&amp;K1603&amp;N1603</f>
        <v/>
      </c>
    </row>
    <row r="1604" spans="1:18" x14ac:dyDescent="0.2">
      <c r="A1604" t="str">
        <f t="shared" si="155"/>
        <v/>
      </c>
      <c r="E1604" s="1"/>
      <c r="F1604" s="1"/>
      <c r="G1604" s="2"/>
      <c r="I1604" s="2"/>
      <c r="R1604" t="str">
        <f t="shared" si="156"/>
        <v/>
      </c>
    </row>
    <row r="1605" spans="1:18" x14ac:dyDescent="0.2">
      <c r="A1605" t="str">
        <f t="shared" si="155"/>
        <v/>
      </c>
      <c r="E1605" s="1"/>
      <c r="F1605" s="1"/>
      <c r="G1605" s="2"/>
      <c r="I1605" s="2"/>
      <c r="R1605" t="str">
        <f t="shared" si="156"/>
        <v/>
      </c>
    </row>
    <row r="1606" spans="1:18" x14ac:dyDescent="0.2">
      <c r="A1606" t="str">
        <f t="shared" si="155"/>
        <v/>
      </c>
      <c r="E1606" s="1"/>
      <c r="F1606" s="1"/>
      <c r="G1606" s="2"/>
      <c r="I1606" s="2"/>
      <c r="R1606" t="str">
        <f t="shared" si="156"/>
        <v/>
      </c>
    </row>
    <row r="1607" spans="1:18" x14ac:dyDescent="0.2">
      <c r="A1607" t="str">
        <f t="shared" si="155"/>
        <v/>
      </c>
      <c r="E1607" s="1"/>
      <c r="F1607" s="1"/>
      <c r="G1607" s="2"/>
      <c r="I1607" s="2"/>
      <c r="R1607" t="str">
        <f t="shared" si="156"/>
        <v/>
      </c>
    </row>
    <row r="1608" spans="1:18" x14ac:dyDescent="0.2">
      <c r="A1608" t="str">
        <f t="shared" si="155"/>
        <v/>
      </c>
      <c r="E1608" s="1"/>
      <c r="F1608" s="1"/>
      <c r="G1608" s="2"/>
      <c r="I1608" s="2"/>
      <c r="R1608" t="str">
        <f t="shared" si="156"/>
        <v/>
      </c>
    </row>
    <row r="1609" spans="1:18" x14ac:dyDescent="0.2">
      <c r="A1609" t="str">
        <f t="shared" si="155"/>
        <v/>
      </c>
      <c r="E1609" s="1"/>
      <c r="F1609" s="1"/>
      <c r="G1609" s="2"/>
      <c r="I1609" s="2"/>
      <c r="R1609" t="str">
        <f t="shared" si="156"/>
        <v/>
      </c>
    </row>
    <row r="1610" spans="1:18" x14ac:dyDescent="0.2">
      <c r="A1610" t="str">
        <f t="shared" si="155"/>
        <v/>
      </c>
      <c r="E1610" s="1"/>
      <c r="F1610" s="1"/>
      <c r="G1610" s="2"/>
      <c r="I1610" s="2"/>
      <c r="R1610" t="str">
        <f t="shared" si="156"/>
        <v/>
      </c>
    </row>
    <row r="1611" spans="1:18" x14ac:dyDescent="0.2">
      <c r="A1611" t="str">
        <f t="shared" si="155"/>
        <v/>
      </c>
      <c r="E1611" s="1"/>
      <c r="F1611" s="1"/>
      <c r="G1611" s="2"/>
      <c r="I1611" s="2"/>
      <c r="R1611" t="str">
        <f t="shared" si="156"/>
        <v/>
      </c>
    </row>
    <row r="1612" spans="1:18" x14ac:dyDescent="0.2">
      <c r="A1612" t="str">
        <f t="shared" si="155"/>
        <v/>
      </c>
      <c r="E1612" s="1"/>
      <c r="F1612" s="1"/>
      <c r="G1612" s="2"/>
      <c r="I1612" s="2"/>
      <c r="R1612" t="str">
        <f t="shared" si="156"/>
        <v/>
      </c>
    </row>
    <row r="1613" spans="1:18" x14ac:dyDescent="0.2">
      <c r="A1613" t="str">
        <f t="shared" si="155"/>
        <v/>
      </c>
      <c r="E1613" s="1"/>
      <c r="F1613" s="1"/>
      <c r="G1613" s="2"/>
      <c r="I1613" s="2"/>
      <c r="R1613" t="str">
        <f t="shared" si="156"/>
        <v/>
      </c>
    </row>
    <row r="1614" spans="1:18" x14ac:dyDescent="0.2">
      <c r="A1614" t="str">
        <f t="shared" si="155"/>
        <v/>
      </c>
      <c r="E1614" s="1"/>
      <c r="F1614" s="1"/>
      <c r="G1614" s="2"/>
      <c r="I1614" s="2"/>
      <c r="R1614" t="str">
        <f t="shared" si="156"/>
        <v/>
      </c>
    </row>
    <row r="1615" spans="1:18" x14ac:dyDescent="0.2">
      <c r="A1615" t="str">
        <f t="shared" si="155"/>
        <v/>
      </c>
      <c r="E1615" s="1"/>
      <c r="F1615" s="1"/>
      <c r="G1615" s="2"/>
      <c r="I1615" s="2"/>
      <c r="R1615" t="str">
        <f t="shared" si="156"/>
        <v/>
      </c>
    </row>
    <row r="1616" spans="1:18" x14ac:dyDescent="0.2">
      <c r="A1616" t="str">
        <f t="shared" si="155"/>
        <v/>
      </c>
      <c r="E1616" s="1"/>
      <c r="F1616" s="1"/>
      <c r="G1616" s="2"/>
      <c r="I1616" s="2"/>
      <c r="R1616" t="str">
        <f t="shared" si="156"/>
        <v/>
      </c>
    </row>
    <row r="1617" spans="1:18" x14ac:dyDescent="0.2">
      <c r="A1617" t="str">
        <f t="shared" si="155"/>
        <v/>
      </c>
      <c r="E1617" s="1"/>
      <c r="F1617" s="1"/>
      <c r="G1617" s="2"/>
      <c r="I1617" s="2"/>
      <c r="R1617" t="str">
        <f t="shared" si="156"/>
        <v/>
      </c>
    </row>
    <row r="1618" spans="1:18" x14ac:dyDescent="0.2">
      <c r="A1618" t="str">
        <f t="shared" si="155"/>
        <v/>
      </c>
      <c r="E1618" s="1"/>
      <c r="F1618" s="1"/>
      <c r="G1618" s="2"/>
      <c r="I1618" s="2"/>
      <c r="R1618" t="str">
        <f t="shared" si="156"/>
        <v/>
      </c>
    </row>
    <row r="1619" spans="1:18" x14ac:dyDescent="0.2">
      <c r="A1619" t="str">
        <f t="shared" si="155"/>
        <v/>
      </c>
      <c r="E1619" s="1"/>
      <c r="F1619" s="1"/>
      <c r="G1619" s="2"/>
      <c r="I1619" s="2"/>
      <c r="R1619" t="str">
        <f t="shared" si="156"/>
        <v/>
      </c>
    </row>
    <row r="1620" spans="1:18" x14ac:dyDescent="0.2">
      <c r="A1620" t="str">
        <f t="shared" si="155"/>
        <v/>
      </c>
      <c r="E1620" s="1"/>
      <c r="F1620" s="1"/>
      <c r="G1620" s="2"/>
      <c r="I1620" s="2"/>
      <c r="R1620" t="str">
        <f t="shared" si="156"/>
        <v/>
      </c>
    </row>
    <row r="1621" spans="1:18" x14ac:dyDescent="0.2">
      <c r="A1621" t="str">
        <f t="shared" si="155"/>
        <v/>
      </c>
      <c r="E1621" s="1"/>
      <c r="F1621" s="1"/>
      <c r="G1621" s="2"/>
      <c r="I1621" s="2"/>
      <c r="R1621" t="str">
        <f t="shared" si="156"/>
        <v/>
      </c>
    </row>
    <row r="1622" spans="1:18" x14ac:dyDescent="0.2">
      <c r="A1622" t="str">
        <f t="shared" si="155"/>
        <v/>
      </c>
      <c r="E1622" s="1"/>
      <c r="F1622" s="1"/>
      <c r="G1622" s="2"/>
      <c r="I1622" s="2"/>
      <c r="R1622" t="str">
        <f t="shared" si="156"/>
        <v/>
      </c>
    </row>
    <row r="1623" spans="1:18" x14ac:dyDescent="0.2">
      <c r="A1623" t="str">
        <f t="shared" si="155"/>
        <v/>
      </c>
      <c r="E1623" s="1"/>
      <c r="F1623" s="1"/>
      <c r="G1623" s="2"/>
      <c r="I1623" s="2"/>
      <c r="R1623" t="str">
        <f t="shared" si="156"/>
        <v/>
      </c>
    </row>
    <row r="1624" spans="1:18" x14ac:dyDescent="0.2">
      <c r="A1624" t="str">
        <f t="shared" si="155"/>
        <v/>
      </c>
      <c r="E1624" s="1"/>
      <c r="F1624" s="1"/>
      <c r="G1624" s="2"/>
      <c r="I1624" s="2"/>
      <c r="R1624" t="str">
        <f t="shared" si="156"/>
        <v/>
      </c>
    </row>
    <row r="1625" spans="1:18" x14ac:dyDescent="0.2">
      <c r="A1625" t="str">
        <f t="shared" si="155"/>
        <v/>
      </c>
      <c r="E1625" s="1"/>
      <c r="F1625" s="1"/>
      <c r="G1625" s="2"/>
      <c r="I1625" s="2"/>
      <c r="R1625" t="str">
        <f t="shared" si="156"/>
        <v/>
      </c>
    </row>
    <row r="1626" spans="1:18" x14ac:dyDescent="0.2">
      <c r="A1626" t="str">
        <f t="shared" si="155"/>
        <v/>
      </c>
      <c r="E1626" s="1"/>
      <c r="F1626" s="1"/>
      <c r="G1626" s="2"/>
      <c r="I1626" s="2"/>
      <c r="R1626" t="str">
        <f t="shared" si="156"/>
        <v/>
      </c>
    </row>
    <row r="1627" spans="1:18" x14ac:dyDescent="0.2">
      <c r="A1627" t="str">
        <f t="shared" si="155"/>
        <v/>
      </c>
      <c r="E1627" s="1"/>
      <c r="F1627" s="1"/>
      <c r="G1627" s="2"/>
      <c r="I1627" s="2"/>
      <c r="R1627" t="str">
        <f t="shared" si="156"/>
        <v/>
      </c>
    </row>
    <row r="1628" spans="1:18" x14ac:dyDescent="0.2">
      <c r="A1628" t="str">
        <f t="shared" si="155"/>
        <v/>
      </c>
      <c r="E1628" s="1"/>
      <c r="F1628" s="1"/>
      <c r="G1628" s="2"/>
      <c r="I1628" s="2"/>
      <c r="R1628" t="str">
        <f t="shared" si="156"/>
        <v/>
      </c>
    </row>
    <row r="1629" spans="1:18" x14ac:dyDescent="0.2">
      <c r="A1629" t="str">
        <f t="shared" si="155"/>
        <v/>
      </c>
      <c r="E1629" s="1"/>
      <c r="F1629" s="1"/>
      <c r="G1629" s="2"/>
      <c r="I1629" s="2"/>
      <c r="R1629" t="str">
        <f t="shared" si="156"/>
        <v/>
      </c>
    </row>
    <row r="1630" spans="1:18" x14ac:dyDescent="0.2">
      <c r="A1630" t="str">
        <f t="shared" si="155"/>
        <v/>
      </c>
      <c r="E1630" s="1"/>
      <c r="F1630" s="1"/>
      <c r="G1630" s="2"/>
      <c r="I1630" s="2"/>
      <c r="R1630" t="str">
        <f t="shared" si="156"/>
        <v/>
      </c>
    </row>
    <row r="1631" spans="1:18" x14ac:dyDescent="0.2">
      <c r="A1631" t="str">
        <f t="shared" si="155"/>
        <v/>
      </c>
      <c r="E1631" s="1"/>
      <c r="F1631" s="1"/>
      <c r="G1631" s="2"/>
      <c r="I1631" s="2"/>
      <c r="R1631" t="str">
        <f t="shared" si="156"/>
        <v/>
      </c>
    </row>
    <row r="1632" spans="1:18" x14ac:dyDescent="0.2">
      <c r="A1632" t="str">
        <f t="shared" si="155"/>
        <v/>
      </c>
      <c r="E1632" s="1"/>
      <c r="F1632" s="1"/>
      <c r="G1632" s="2"/>
      <c r="I1632" s="2"/>
      <c r="R1632" t="str">
        <f t="shared" si="156"/>
        <v/>
      </c>
    </row>
    <row r="1633" spans="1:18" x14ac:dyDescent="0.2">
      <c r="A1633" t="str">
        <f t="shared" si="155"/>
        <v/>
      </c>
      <c r="E1633" s="1"/>
      <c r="F1633" s="1"/>
      <c r="G1633" s="2"/>
      <c r="I1633" s="2"/>
      <c r="R1633" t="str">
        <f t="shared" si="156"/>
        <v/>
      </c>
    </row>
    <row r="1634" spans="1:18" x14ac:dyDescent="0.2">
      <c r="A1634" t="str">
        <f t="shared" si="155"/>
        <v/>
      </c>
      <c r="E1634" s="1"/>
      <c r="F1634" s="1"/>
      <c r="G1634" s="2"/>
      <c r="I1634" s="2"/>
      <c r="R1634" t="str">
        <f t="shared" si="156"/>
        <v/>
      </c>
    </row>
    <row r="1635" spans="1:18" x14ac:dyDescent="0.2">
      <c r="A1635" t="str">
        <f t="shared" si="155"/>
        <v/>
      </c>
      <c r="E1635" s="1"/>
      <c r="F1635" s="1"/>
      <c r="G1635" s="2"/>
      <c r="I1635" s="2"/>
      <c r="R1635" t="str">
        <f t="shared" si="156"/>
        <v/>
      </c>
    </row>
    <row r="1636" spans="1:18" x14ac:dyDescent="0.2">
      <c r="A1636" t="str">
        <f t="shared" si="155"/>
        <v/>
      </c>
      <c r="E1636" s="1"/>
      <c r="F1636" s="1"/>
      <c r="G1636" s="2"/>
      <c r="I1636" s="2"/>
      <c r="R1636" t="str">
        <f t="shared" si="156"/>
        <v/>
      </c>
    </row>
    <row r="1637" spans="1:18" x14ac:dyDescent="0.2">
      <c r="A1637" t="str">
        <f t="shared" si="155"/>
        <v/>
      </c>
      <c r="E1637" s="1"/>
      <c r="F1637" s="1"/>
      <c r="G1637" s="2"/>
      <c r="I1637" s="2"/>
      <c r="R1637" t="str">
        <f t="shared" si="156"/>
        <v/>
      </c>
    </row>
    <row r="1638" spans="1:18" x14ac:dyDescent="0.2">
      <c r="A1638" t="str">
        <f t="shared" si="155"/>
        <v/>
      </c>
      <c r="E1638" s="1"/>
      <c r="F1638" s="1"/>
      <c r="G1638" s="2"/>
      <c r="I1638" s="2"/>
      <c r="R1638" t="str">
        <f t="shared" si="156"/>
        <v/>
      </c>
    </row>
    <row r="1639" spans="1:18" x14ac:dyDescent="0.2">
      <c r="A1639" t="str">
        <f t="shared" si="155"/>
        <v/>
      </c>
      <c r="B1639" s="6"/>
      <c r="C1639" s="6"/>
      <c r="D1639" s="6"/>
      <c r="E1639" s="7"/>
      <c r="F1639" s="7"/>
      <c r="G1639" s="8"/>
      <c r="H1639" s="6"/>
      <c r="I1639" s="8"/>
      <c r="J1639" s="6"/>
      <c r="K1639" s="6"/>
      <c r="L1639" s="6"/>
      <c r="M1639" s="6"/>
      <c r="N1639" s="6"/>
      <c r="O1639" s="6"/>
      <c r="R1639" t="str">
        <f t="shared" si="156"/>
        <v/>
      </c>
    </row>
    <row r="1640" spans="1:18" x14ac:dyDescent="0.2">
      <c r="A1640" t="str">
        <f t="shared" si="155"/>
        <v/>
      </c>
      <c r="B1640" s="6"/>
      <c r="C1640" s="6"/>
      <c r="D1640" s="6"/>
      <c r="E1640" s="7"/>
      <c r="F1640" s="7"/>
      <c r="G1640" s="21"/>
      <c r="H1640" s="6"/>
      <c r="I1640" s="8"/>
      <c r="J1640" s="6"/>
      <c r="K1640" s="6"/>
      <c r="L1640" s="6"/>
      <c r="M1640" s="6"/>
      <c r="N1640" s="6"/>
      <c r="O1640" s="6"/>
      <c r="R1640" t="str">
        <f t="shared" si="156"/>
        <v/>
      </c>
    </row>
    <row r="1641" spans="1:18" x14ac:dyDescent="0.2">
      <c r="A1641" t="str">
        <f t="shared" si="155"/>
        <v/>
      </c>
      <c r="B1641" s="6"/>
      <c r="C1641" s="6"/>
      <c r="D1641" s="6"/>
      <c r="E1641" s="7"/>
      <c r="F1641" s="7"/>
      <c r="G1641" s="21"/>
      <c r="H1641" s="6"/>
      <c r="I1641" s="8"/>
      <c r="J1641" s="6"/>
      <c r="K1641" s="6"/>
      <c r="L1641" s="6"/>
      <c r="M1641" s="6"/>
      <c r="N1641" s="6"/>
      <c r="O1641" s="6"/>
      <c r="R1641" t="str">
        <f t="shared" si="156"/>
        <v/>
      </c>
    </row>
    <row r="1642" spans="1:18" x14ac:dyDescent="0.2">
      <c r="A1642" t="str">
        <f t="shared" si="155"/>
        <v/>
      </c>
      <c r="E1642" s="1"/>
      <c r="F1642" s="1"/>
      <c r="G1642" s="2"/>
      <c r="I1642" s="2"/>
      <c r="R1642" t="str">
        <f t="shared" si="156"/>
        <v/>
      </c>
    </row>
    <row r="1643" spans="1:18" x14ac:dyDescent="0.2">
      <c r="A1643" t="str">
        <f t="shared" si="155"/>
        <v/>
      </c>
      <c r="E1643" s="1"/>
      <c r="F1643" s="1"/>
      <c r="G1643" s="2"/>
      <c r="I1643" s="2"/>
      <c r="R1643" t="str">
        <f t="shared" si="156"/>
        <v/>
      </c>
    </row>
    <row r="1644" spans="1:18" x14ac:dyDescent="0.2">
      <c r="A1644" t="str">
        <f t="shared" si="155"/>
        <v/>
      </c>
      <c r="E1644" s="1"/>
      <c r="F1644" s="1"/>
      <c r="G1644" s="2"/>
      <c r="I1644" s="2"/>
      <c r="R1644" t="str">
        <f t="shared" si="156"/>
        <v/>
      </c>
    </row>
    <row r="1645" spans="1:18" x14ac:dyDescent="0.2">
      <c r="A1645" t="str">
        <f t="shared" si="155"/>
        <v/>
      </c>
      <c r="E1645" s="1"/>
      <c r="F1645" s="1"/>
      <c r="G1645" s="2"/>
      <c r="I1645" s="2"/>
      <c r="R1645" t="str">
        <f t="shared" si="156"/>
        <v/>
      </c>
    </row>
    <row r="1646" spans="1:18" x14ac:dyDescent="0.2">
      <c r="A1646" t="str">
        <f t="shared" si="155"/>
        <v/>
      </c>
      <c r="E1646" s="1"/>
      <c r="F1646" s="1"/>
      <c r="G1646" s="2"/>
      <c r="I1646" s="2"/>
      <c r="R1646" t="str">
        <f t="shared" si="156"/>
        <v/>
      </c>
    </row>
    <row r="1647" spans="1:18" x14ac:dyDescent="0.2">
      <c r="A1647" t="str">
        <f t="shared" si="155"/>
        <v/>
      </c>
      <c r="E1647" s="1"/>
      <c r="F1647" s="1"/>
      <c r="G1647" s="2"/>
      <c r="I1647" s="2"/>
      <c r="R1647" t="str">
        <f t="shared" si="156"/>
        <v/>
      </c>
    </row>
    <row r="1648" spans="1:18" x14ac:dyDescent="0.2">
      <c r="A1648" t="str">
        <f t="shared" si="155"/>
        <v/>
      </c>
      <c r="E1648" s="1"/>
      <c r="F1648" s="1"/>
      <c r="G1648" s="2"/>
      <c r="I1648" s="2"/>
      <c r="R1648" t="str">
        <f t="shared" si="156"/>
        <v/>
      </c>
    </row>
    <row r="1649" spans="1:18" x14ac:dyDescent="0.2">
      <c r="A1649" t="str">
        <f t="shared" si="155"/>
        <v/>
      </c>
      <c r="E1649" s="1"/>
      <c r="F1649" s="1"/>
      <c r="G1649" s="2"/>
      <c r="I1649" s="2"/>
      <c r="R1649" t="str">
        <f t="shared" si="156"/>
        <v/>
      </c>
    </row>
    <row r="1650" spans="1:18" x14ac:dyDescent="0.2">
      <c r="A1650" t="str">
        <f t="shared" si="155"/>
        <v/>
      </c>
      <c r="E1650" s="1"/>
      <c r="F1650" s="1"/>
      <c r="G1650" s="2"/>
      <c r="I1650" s="2"/>
      <c r="R1650" t="str">
        <f t="shared" si="156"/>
        <v/>
      </c>
    </row>
    <row r="1651" spans="1:18" x14ac:dyDescent="0.2">
      <c r="A1651" t="str">
        <f t="shared" si="155"/>
        <v/>
      </c>
      <c r="E1651" s="1"/>
      <c r="F1651" s="1"/>
      <c r="G1651" s="2"/>
      <c r="I1651" s="2"/>
      <c r="R1651" t="str">
        <f t="shared" si="156"/>
        <v/>
      </c>
    </row>
    <row r="1652" spans="1:18" x14ac:dyDescent="0.2">
      <c r="A1652" t="str">
        <f t="shared" si="155"/>
        <v/>
      </c>
      <c r="E1652" s="1"/>
      <c r="F1652" s="1"/>
      <c r="G1652" s="2"/>
      <c r="I1652" s="2"/>
      <c r="R1652" t="str">
        <f t="shared" si="156"/>
        <v/>
      </c>
    </row>
    <row r="1653" spans="1:18" x14ac:dyDescent="0.2">
      <c r="A1653" t="str">
        <f t="shared" si="155"/>
        <v/>
      </c>
      <c r="E1653" s="1"/>
      <c r="F1653" s="1"/>
      <c r="G1653" s="2"/>
      <c r="I1653" s="2"/>
      <c r="R1653" t="str">
        <f t="shared" si="156"/>
        <v/>
      </c>
    </row>
    <row r="1654" spans="1:18" x14ac:dyDescent="0.2">
      <c r="A1654" t="str">
        <f t="shared" si="155"/>
        <v/>
      </c>
      <c r="E1654" s="1"/>
      <c r="F1654" s="1"/>
      <c r="G1654" s="2"/>
      <c r="I1654" s="2"/>
      <c r="R1654" t="str">
        <f t="shared" si="156"/>
        <v/>
      </c>
    </row>
    <row r="1655" spans="1:18" x14ac:dyDescent="0.2">
      <c r="A1655" t="str">
        <f t="shared" si="155"/>
        <v/>
      </c>
      <c r="E1655" s="1"/>
      <c r="F1655" s="1"/>
      <c r="G1655" s="2"/>
      <c r="I1655" s="2"/>
      <c r="R1655" t="str">
        <f t="shared" si="156"/>
        <v/>
      </c>
    </row>
    <row r="1656" spans="1:18" x14ac:dyDescent="0.2">
      <c r="A1656" t="str">
        <f t="shared" si="155"/>
        <v/>
      </c>
      <c r="E1656" s="1"/>
      <c r="F1656" s="1"/>
      <c r="G1656" s="2"/>
      <c r="I1656" s="2"/>
      <c r="R1656" t="str">
        <f t="shared" si="156"/>
        <v/>
      </c>
    </row>
    <row r="1657" spans="1:18" x14ac:dyDescent="0.2">
      <c r="A1657" t="str">
        <f t="shared" si="155"/>
        <v/>
      </c>
      <c r="E1657" s="1"/>
      <c r="F1657" s="1"/>
      <c r="G1657" s="2"/>
      <c r="I1657" s="2"/>
      <c r="R1657" t="str">
        <f t="shared" si="156"/>
        <v/>
      </c>
    </row>
    <row r="1658" spans="1:18" x14ac:dyDescent="0.2">
      <c r="A1658" t="str">
        <f t="shared" si="155"/>
        <v/>
      </c>
      <c r="E1658" s="1"/>
      <c r="F1658" s="1"/>
      <c r="G1658" s="2"/>
      <c r="I1658" s="2"/>
      <c r="R1658" t="str">
        <f t="shared" si="156"/>
        <v/>
      </c>
    </row>
    <row r="1659" spans="1:18" x14ac:dyDescent="0.2">
      <c r="A1659" t="str">
        <f t="shared" si="155"/>
        <v/>
      </c>
      <c r="E1659" s="1"/>
      <c r="F1659" s="1"/>
      <c r="G1659" s="2"/>
      <c r="I1659" s="2"/>
      <c r="R1659" t="str">
        <f t="shared" si="156"/>
        <v/>
      </c>
    </row>
    <row r="1660" spans="1:18" x14ac:dyDescent="0.2">
      <c r="A1660" t="str">
        <f t="shared" si="155"/>
        <v/>
      </c>
      <c r="E1660" s="1"/>
      <c r="F1660" s="1"/>
      <c r="G1660" s="2"/>
      <c r="I1660" s="2"/>
      <c r="R1660" t="str">
        <f t="shared" si="156"/>
        <v/>
      </c>
    </row>
    <row r="1661" spans="1:18" x14ac:dyDescent="0.2">
      <c r="A1661" t="str">
        <f t="shared" si="155"/>
        <v/>
      </c>
      <c r="E1661" s="1"/>
      <c r="F1661" s="1"/>
      <c r="G1661" s="2"/>
      <c r="I1661" s="2"/>
      <c r="R1661" t="str">
        <f t="shared" si="156"/>
        <v/>
      </c>
    </row>
    <row r="1662" spans="1:18" x14ac:dyDescent="0.2">
      <c r="A1662" t="str">
        <f t="shared" si="155"/>
        <v/>
      </c>
      <c r="E1662" s="1"/>
      <c r="F1662" s="1"/>
      <c r="G1662" s="2"/>
      <c r="I1662" s="2"/>
      <c r="R1662" t="str">
        <f t="shared" si="156"/>
        <v/>
      </c>
    </row>
    <row r="1663" spans="1:18" x14ac:dyDescent="0.2">
      <c r="A1663" t="str">
        <f t="shared" si="155"/>
        <v/>
      </c>
      <c r="E1663" s="1"/>
      <c r="F1663" s="1"/>
      <c r="G1663" s="2"/>
      <c r="I1663" s="2"/>
      <c r="R1663" t="str">
        <f t="shared" si="156"/>
        <v/>
      </c>
    </row>
    <row r="1664" spans="1:18" x14ac:dyDescent="0.2">
      <c r="A1664" t="str">
        <f t="shared" si="155"/>
        <v/>
      </c>
      <c r="E1664" s="1"/>
      <c r="F1664" s="1"/>
      <c r="G1664" s="2"/>
      <c r="I1664" s="2"/>
      <c r="R1664" t="str">
        <f t="shared" si="156"/>
        <v/>
      </c>
    </row>
    <row r="1665" spans="1:18" x14ac:dyDescent="0.2">
      <c r="A1665" t="str">
        <f t="shared" si="155"/>
        <v/>
      </c>
      <c r="E1665" s="1"/>
      <c r="F1665" s="1"/>
      <c r="G1665" s="2"/>
      <c r="I1665" s="2"/>
      <c r="R1665" t="str">
        <f t="shared" si="156"/>
        <v/>
      </c>
    </row>
    <row r="1666" spans="1:18" x14ac:dyDescent="0.2">
      <c r="A1666" t="str">
        <f t="shared" si="155"/>
        <v/>
      </c>
      <c r="E1666" s="1"/>
      <c r="F1666" s="1"/>
      <c r="G1666" s="2"/>
      <c r="I1666" s="2"/>
      <c r="R1666" t="str">
        <f t="shared" si="156"/>
        <v/>
      </c>
    </row>
    <row r="1667" spans="1:18" x14ac:dyDescent="0.2">
      <c r="A1667" t="str">
        <f t="shared" ref="A1667:A1730" si="157">IFERROR(IF(OR(K1667="",I1667=0),"",D1667&amp;K1667&amp;I1667),"")</f>
        <v/>
      </c>
      <c r="E1667" s="1"/>
      <c r="F1667" s="1"/>
      <c r="G1667" s="2"/>
      <c r="I1667" s="2"/>
      <c r="R1667" t="str">
        <f t="shared" ref="R1667:R1730" si="158">G1667&amp;K1667&amp;N1667</f>
        <v/>
      </c>
    </row>
    <row r="1668" spans="1:18" x14ac:dyDescent="0.2">
      <c r="A1668" t="str">
        <f t="shared" si="157"/>
        <v/>
      </c>
      <c r="E1668" s="1"/>
      <c r="F1668" s="1"/>
      <c r="G1668" s="2"/>
      <c r="I1668" s="2"/>
      <c r="R1668" t="str">
        <f t="shared" si="158"/>
        <v/>
      </c>
    </row>
    <row r="1669" spans="1:18" x14ac:dyDescent="0.2">
      <c r="A1669" t="str">
        <f t="shared" si="157"/>
        <v/>
      </c>
      <c r="E1669" s="1"/>
      <c r="F1669" s="1"/>
      <c r="G1669" s="2"/>
      <c r="I1669" s="2"/>
      <c r="R1669" t="str">
        <f t="shared" si="158"/>
        <v/>
      </c>
    </row>
    <row r="1670" spans="1:18" x14ac:dyDescent="0.2">
      <c r="A1670" t="str">
        <f t="shared" si="157"/>
        <v/>
      </c>
      <c r="E1670" s="1"/>
      <c r="F1670" s="1"/>
      <c r="G1670" s="2"/>
      <c r="I1670" s="2"/>
      <c r="R1670" t="str">
        <f t="shared" si="158"/>
        <v/>
      </c>
    </row>
    <row r="1671" spans="1:18" x14ac:dyDescent="0.2">
      <c r="A1671" t="str">
        <f t="shared" si="157"/>
        <v/>
      </c>
      <c r="E1671" s="1"/>
      <c r="F1671" s="1"/>
      <c r="G1671" s="2"/>
      <c r="I1671" s="2"/>
      <c r="R1671" t="str">
        <f t="shared" si="158"/>
        <v/>
      </c>
    </row>
    <row r="1672" spans="1:18" x14ac:dyDescent="0.2">
      <c r="A1672" t="str">
        <f t="shared" si="157"/>
        <v/>
      </c>
      <c r="E1672" s="1"/>
      <c r="F1672" s="1"/>
      <c r="G1672" s="2"/>
      <c r="I1672" s="2"/>
      <c r="R1672" t="str">
        <f t="shared" si="158"/>
        <v/>
      </c>
    </row>
    <row r="1673" spans="1:18" x14ac:dyDescent="0.2">
      <c r="A1673" t="str">
        <f t="shared" si="157"/>
        <v/>
      </c>
      <c r="E1673" s="1"/>
      <c r="F1673" s="1"/>
      <c r="G1673" s="2"/>
      <c r="I1673" s="2"/>
      <c r="R1673" t="str">
        <f t="shared" si="158"/>
        <v/>
      </c>
    </row>
    <row r="1674" spans="1:18" x14ac:dyDescent="0.2">
      <c r="A1674" t="str">
        <f t="shared" si="157"/>
        <v/>
      </c>
      <c r="E1674" s="1"/>
      <c r="F1674" s="1"/>
      <c r="G1674" s="2"/>
      <c r="I1674" s="2"/>
      <c r="R1674" t="str">
        <f t="shared" si="158"/>
        <v/>
      </c>
    </row>
    <row r="1675" spans="1:18" x14ac:dyDescent="0.2">
      <c r="A1675" t="str">
        <f t="shared" si="157"/>
        <v/>
      </c>
      <c r="E1675" s="1"/>
      <c r="F1675" s="1"/>
      <c r="G1675" s="2"/>
      <c r="I1675" s="2"/>
      <c r="R1675" t="str">
        <f t="shared" si="158"/>
        <v/>
      </c>
    </row>
    <row r="1676" spans="1:18" x14ac:dyDescent="0.2">
      <c r="A1676" t="str">
        <f t="shared" si="157"/>
        <v/>
      </c>
      <c r="E1676" s="1"/>
      <c r="F1676" s="1"/>
      <c r="G1676" s="2"/>
      <c r="I1676" s="2"/>
      <c r="R1676" t="str">
        <f t="shared" si="158"/>
        <v/>
      </c>
    </row>
    <row r="1677" spans="1:18" x14ac:dyDescent="0.2">
      <c r="A1677" t="str">
        <f t="shared" si="157"/>
        <v/>
      </c>
      <c r="E1677" s="1"/>
      <c r="F1677" s="1"/>
      <c r="G1677" s="2"/>
      <c r="I1677" s="2"/>
      <c r="R1677" t="str">
        <f t="shared" si="158"/>
        <v/>
      </c>
    </row>
    <row r="1678" spans="1:18" x14ac:dyDescent="0.2">
      <c r="A1678" t="str">
        <f t="shared" si="157"/>
        <v/>
      </c>
      <c r="E1678" s="1"/>
      <c r="F1678" s="1"/>
      <c r="G1678" s="2"/>
      <c r="I1678" s="2"/>
      <c r="R1678" t="str">
        <f t="shared" si="158"/>
        <v/>
      </c>
    </row>
    <row r="1679" spans="1:18" x14ac:dyDescent="0.2">
      <c r="A1679" t="str">
        <f t="shared" si="157"/>
        <v/>
      </c>
      <c r="E1679" s="1"/>
      <c r="F1679" s="1"/>
      <c r="G1679" s="2"/>
      <c r="I1679" s="2"/>
      <c r="R1679" t="str">
        <f t="shared" si="158"/>
        <v/>
      </c>
    </row>
    <row r="1680" spans="1:18" x14ac:dyDescent="0.2">
      <c r="A1680" t="str">
        <f t="shared" si="157"/>
        <v/>
      </c>
      <c r="E1680" s="1"/>
      <c r="F1680" s="1"/>
      <c r="G1680" s="2"/>
      <c r="I1680" s="2"/>
      <c r="R1680" t="str">
        <f t="shared" si="158"/>
        <v/>
      </c>
    </row>
    <row r="1681" spans="1:18" x14ac:dyDescent="0.2">
      <c r="A1681" t="str">
        <f t="shared" si="157"/>
        <v/>
      </c>
      <c r="E1681" s="1"/>
      <c r="F1681" s="1"/>
      <c r="G1681" s="2"/>
      <c r="I1681" s="2"/>
      <c r="R1681" t="str">
        <f t="shared" si="158"/>
        <v/>
      </c>
    </row>
    <row r="1682" spans="1:18" x14ac:dyDescent="0.2">
      <c r="A1682" t="str">
        <f t="shared" si="157"/>
        <v/>
      </c>
      <c r="E1682" s="1"/>
      <c r="F1682" s="1"/>
      <c r="G1682" s="2"/>
      <c r="I1682" s="2"/>
      <c r="R1682" t="str">
        <f t="shared" si="158"/>
        <v/>
      </c>
    </row>
    <row r="1683" spans="1:18" x14ac:dyDescent="0.2">
      <c r="A1683" t="str">
        <f t="shared" si="157"/>
        <v/>
      </c>
      <c r="E1683" s="1"/>
      <c r="F1683" s="1"/>
      <c r="G1683" s="2"/>
      <c r="I1683" s="2"/>
      <c r="R1683" t="str">
        <f t="shared" si="158"/>
        <v/>
      </c>
    </row>
    <row r="1684" spans="1:18" x14ac:dyDescent="0.2">
      <c r="A1684" t="str">
        <f t="shared" si="157"/>
        <v/>
      </c>
      <c r="E1684" s="1"/>
      <c r="F1684" s="1"/>
      <c r="G1684" s="2"/>
      <c r="I1684" s="2"/>
      <c r="R1684" t="str">
        <f t="shared" si="158"/>
        <v/>
      </c>
    </row>
    <row r="1685" spans="1:18" x14ac:dyDescent="0.2">
      <c r="A1685" t="str">
        <f t="shared" si="157"/>
        <v/>
      </c>
      <c r="E1685" s="1"/>
      <c r="F1685" s="1"/>
      <c r="G1685" s="2"/>
      <c r="I1685" s="2"/>
      <c r="R1685" t="str">
        <f t="shared" si="158"/>
        <v/>
      </c>
    </row>
    <row r="1686" spans="1:18" x14ac:dyDescent="0.2">
      <c r="A1686" t="str">
        <f t="shared" si="157"/>
        <v/>
      </c>
      <c r="E1686" s="1"/>
      <c r="F1686" s="1"/>
      <c r="G1686" s="2"/>
      <c r="I1686" s="2"/>
      <c r="R1686" t="str">
        <f t="shared" si="158"/>
        <v/>
      </c>
    </row>
    <row r="1687" spans="1:18" x14ac:dyDescent="0.2">
      <c r="A1687" t="str">
        <f t="shared" si="157"/>
        <v/>
      </c>
      <c r="E1687" s="1"/>
      <c r="F1687" s="1"/>
      <c r="G1687" s="2"/>
      <c r="I1687" s="2"/>
      <c r="R1687" t="str">
        <f t="shared" si="158"/>
        <v/>
      </c>
    </row>
    <row r="1688" spans="1:18" x14ac:dyDescent="0.2">
      <c r="A1688" t="str">
        <f t="shared" si="157"/>
        <v/>
      </c>
      <c r="E1688" s="1"/>
      <c r="F1688" s="1"/>
      <c r="G1688" s="2"/>
      <c r="I1688" s="2"/>
      <c r="R1688" t="str">
        <f t="shared" si="158"/>
        <v/>
      </c>
    </row>
    <row r="1689" spans="1:18" x14ac:dyDescent="0.2">
      <c r="A1689" t="str">
        <f t="shared" si="157"/>
        <v/>
      </c>
      <c r="E1689" s="1"/>
      <c r="F1689" s="1"/>
      <c r="G1689" s="2"/>
      <c r="I1689" s="2"/>
      <c r="R1689" t="str">
        <f t="shared" si="158"/>
        <v/>
      </c>
    </row>
    <row r="1690" spans="1:18" x14ac:dyDescent="0.2">
      <c r="A1690" t="str">
        <f t="shared" si="157"/>
        <v/>
      </c>
      <c r="E1690" s="1"/>
      <c r="F1690" s="1"/>
      <c r="G1690" s="2"/>
      <c r="I1690" s="2"/>
      <c r="R1690" t="str">
        <f t="shared" si="158"/>
        <v/>
      </c>
    </row>
    <row r="1691" spans="1:18" x14ac:dyDescent="0.2">
      <c r="A1691" t="str">
        <f t="shared" si="157"/>
        <v/>
      </c>
      <c r="E1691" s="1"/>
      <c r="F1691" s="1"/>
      <c r="G1691" s="2"/>
      <c r="I1691" s="2"/>
      <c r="R1691" t="str">
        <f t="shared" si="158"/>
        <v/>
      </c>
    </row>
    <row r="1692" spans="1:18" x14ac:dyDescent="0.2">
      <c r="A1692" t="str">
        <f t="shared" si="157"/>
        <v/>
      </c>
      <c r="E1692" s="1"/>
      <c r="F1692" s="1"/>
      <c r="G1692" s="2"/>
      <c r="I1692" s="2"/>
      <c r="R1692" t="str">
        <f t="shared" si="158"/>
        <v/>
      </c>
    </row>
    <row r="1693" spans="1:18" x14ac:dyDescent="0.2">
      <c r="A1693" t="str">
        <f t="shared" si="157"/>
        <v/>
      </c>
      <c r="E1693" s="1"/>
      <c r="F1693" s="1"/>
      <c r="G1693" s="2"/>
      <c r="I1693" s="2"/>
      <c r="R1693" t="str">
        <f t="shared" si="158"/>
        <v/>
      </c>
    </row>
    <row r="1694" spans="1:18" x14ac:dyDescent="0.2">
      <c r="A1694" t="str">
        <f t="shared" si="157"/>
        <v/>
      </c>
      <c r="E1694" s="1"/>
      <c r="F1694" s="1"/>
      <c r="G1694" s="2"/>
      <c r="I1694" s="2"/>
      <c r="R1694" t="str">
        <f t="shared" si="158"/>
        <v/>
      </c>
    </row>
    <row r="1695" spans="1:18" x14ac:dyDescent="0.2">
      <c r="A1695" t="str">
        <f t="shared" si="157"/>
        <v/>
      </c>
      <c r="E1695" s="1"/>
      <c r="F1695" s="1"/>
      <c r="G1695" s="2"/>
      <c r="I1695" s="2"/>
      <c r="R1695" t="str">
        <f t="shared" si="158"/>
        <v/>
      </c>
    </row>
    <row r="1696" spans="1:18" x14ac:dyDescent="0.2">
      <c r="A1696" t="str">
        <f t="shared" si="157"/>
        <v/>
      </c>
      <c r="E1696" s="1"/>
      <c r="F1696" s="1"/>
      <c r="G1696" s="2"/>
      <c r="I1696" s="2"/>
      <c r="R1696" t="str">
        <f t="shared" si="158"/>
        <v/>
      </c>
    </row>
    <row r="1697" spans="1:18" x14ac:dyDescent="0.2">
      <c r="A1697" t="str">
        <f t="shared" si="157"/>
        <v/>
      </c>
      <c r="E1697" s="1"/>
      <c r="F1697" s="1"/>
      <c r="G1697" s="2"/>
      <c r="I1697" s="2"/>
      <c r="R1697" t="str">
        <f t="shared" si="158"/>
        <v/>
      </c>
    </row>
    <row r="1698" spans="1:18" x14ac:dyDescent="0.2">
      <c r="A1698" t="str">
        <f t="shared" si="157"/>
        <v/>
      </c>
      <c r="E1698" s="1"/>
      <c r="F1698" s="1"/>
      <c r="G1698" s="2"/>
      <c r="I1698" s="2"/>
      <c r="R1698" t="str">
        <f t="shared" si="158"/>
        <v/>
      </c>
    </row>
    <row r="1699" spans="1:18" x14ac:dyDescent="0.2">
      <c r="A1699" t="str">
        <f t="shared" si="157"/>
        <v/>
      </c>
      <c r="E1699" s="1"/>
      <c r="F1699" s="1"/>
      <c r="G1699" s="2"/>
      <c r="I1699" s="2"/>
      <c r="R1699" t="str">
        <f t="shared" si="158"/>
        <v/>
      </c>
    </row>
    <row r="1700" spans="1:18" x14ac:dyDescent="0.2">
      <c r="A1700" t="str">
        <f t="shared" si="157"/>
        <v/>
      </c>
      <c r="E1700" s="1"/>
      <c r="F1700" s="1"/>
      <c r="G1700" s="2"/>
      <c r="I1700" s="2"/>
      <c r="R1700" t="str">
        <f t="shared" si="158"/>
        <v/>
      </c>
    </row>
    <row r="1701" spans="1:18" x14ac:dyDescent="0.2">
      <c r="A1701" t="str">
        <f t="shared" si="157"/>
        <v/>
      </c>
      <c r="E1701" s="1"/>
      <c r="F1701" s="1"/>
      <c r="G1701" s="2"/>
      <c r="I1701" s="2"/>
      <c r="R1701" t="str">
        <f t="shared" si="158"/>
        <v/>
      </c>
    </row>
    <row r="1702" spans="1:18" x14ac:dyDescent="0.2">
      <c r="A1702" t="str">
        <f t="shared" si="157"/>
        <v/>
      </c>
      <c r="E1702" s="1"/>
      <c r="F1702" s="1"/>
      <c r="G1702" s="2"/>
      <c r="I1702" s="2"/>
      <c r="R1702" t="str">
        <f t="shared" si="158"/>
        <v/>
      </c>
    </row>
    <row r="1703" spans="1:18" x14ac:dyDescent="0.2">
      <c r="A1703" t="str">
        <f t="shared" si="157"/>
        <v/>
      </c>
      <c r="E1703" s="1"/>
      <c r="F1703" s="1"/>
      <c r="G1703" s="2"/>
      <c r="I1703" s="2"/>
      <c r="R1703" t="str">
        <f t="shared" si="158"/>
        <v/>
      </c>
    </row>
    <row r="1704" spans="1:18" x14ac:dyDescent="0.2">
      <c r="A1704" t="str">
        <f t="shared" si="157"/>
        <v/>
      </c>
      <c r="E1704" s="1"/>
      <c r="F1704" s="1"/>
      <c r="G1704" s="2"/>
      <c r="I1704" s="2"/>
      <c r="R1704" t="str">
        <f t="shared" si="158"/>
        <v/>
      </c>
    </row>
    <row r="1705" spans="1:18" x14ac:dyDescent="0.2">
      <c r="A1705" t="str">
        <f t="shared" si="157"/>
        <v/>
      </c>
      <c r="E1705" s="1"/>
      <c r="F1705" s="1"/>
      <c r="G1705" s="2"/>
      <c r="I1705" s="2"/>
      <c r="R1705" t="str">
        <f t="shared" si="158"/>
        <v/>
      </c>
    </row>
    <row r="1706" spans="1:18" x14ac:dyDescent="0.2">
      <c r="A1706" t="str">
        <f t="shared" si="157"/>
        <v/>
      </c>
      <c r="E1706" s="1"/>
      <c r="F1706" s="1"/>
      <c r="G1706" s="2"/>
      <c r="I1706" s="2"/>
      <c r="R1706" t="str">
        <f t="shared" si="158"/>
        <v/>
      </c>
    </row>
    <row r="1707" spans="1:18" x14ac:dyDescent="0.2">
      <c r="A1707" t="str">
        <f t="shared" si="157"/>
        <v/>
      </c>
      <c r="E1707" s="1"/>
      <c r="F1707" s="1"/>
      <c r="G1707" s="2"/>
      <c r="I1707" s="2"/>
      <c r="R1707" t="str">
        <f t="shared" si="158"/>
        <v/>
      </c>
    </row>
    <row r="1708" spans="1:18" x14ac:dyDescent="0.2">
      <c r="A1708" t="str">
        <f t="shared" si="157"/>
        <v/>
      </c>
      <c r="E1708" s="1"/>
      <c r="F1708" s="1"/>
      <c r="G1708" s="2"/>
      <c r="I1708" s="2"/>
      <c r="R1708" t="str">
        <f t="shared" si="158"/>
        <v/>
      </c>
    </row>
    <row r="1709" spans="1:18" x14ac:dyDescent="0.2">
      <c r="A1709" t="str">
        <f t="shared" si="157"/>
        <v/>
      </c>
      <c r="E1709" s="1"/>
      <c r="F1709" s="1"/>
      <c r="G1709" s="2"/>
      <c r="I1709" s="2"/>
      <c r="R1709" t="str">
        <f t="shared" si="158"/>
        <v/>
      </c>
    </row>
    <row r="1710" spans="1:18" x14ac:dyDescent="0.2">
      <c r="A1710" t="str">
        <f t="shared" si="157"/>
        <v/>
      </c>
      <c r="E1710" s="1"/>
      <c r="F1710" s="1"/>
      <c r="G1710" s="2"/>
      <c r="I1710" s="2"/>
      <c r="R1710" t="str">
        <f t="shared" si="158"/>
        <v/>
      </c>
    </row>
    <row r="1711" spans="1:18" x14ac:dyDescent="0.2">
      <c r="A1711" t="str">
        <f t="shared" si="157"/>
        <v/>
      </c>
      <c r="E1711" s="1"/>
      <c r="F1711" s="1"/>
      <c r="G1711" s="2"/>
      <c r="I1711" s="2"/>
      <c r="R1711" t="str">
        <f t="shared" si="158"/>
        <v/>
      </c>
    </row>
    <row r="1712" spans="1:18" x14ac:dyDescent="0.2">
      <c r="A1712" t="str">
        <f t="shared" si="157"/>
        <v/>
      </c>
      <c r="E1712" s="1"/>
      <c r="F1712" s="1"/>
      <c r="G1712" s="2"/>
      <c r="I1712" s="2"/>
      <c r="R1712" t="str">
        <f t="shared" si="158"/>
        <v/>
      </c>
    </row>
    <row r="1713" spans="1:18" x14ac:dyDescent="0.2">
      <c r="A1713" t="str">
        <f t="shared" si="157"/>
        <v/>
      </c>
      <c r="E1713" s="1"/>
      <c r="F1713" s="1"/>
      <c r="G1713" s="2"/>
      <c r="I1713" s="2"/>
      <c r="R1713" t="str">
        <f t="shared" si="158"/>
        <v/>
      </c>
    </row>
    <row r="1714" spans="1:18" x14ac:dyDescent="0.2">
      <c r="A1714" t="str">
        <f t="shared" si="157"/>
        <v/>
      </c>
      <c r="E1714" s="1"/>
      <c r="F1714" s="1"/>
      <c r="G1714" s="2"/>
      <c r="I1714" s="2"/>
      <c r="R1714" t="str">
        <f t="shared" si="158"/>
        <v/>
      </c>
    </row>
    <row r="1715" spans="1:18" x14ac:dyDescent="0.2">
      <c r="A1715" t="str">
        <f t="shared" si="157"/>
        <v/>
      </c>
      <c r="E1715" s="1"/>
      <c r="F1715" s="1"/>
      <c r="G1715" s="2"/>
      <c r="I1715" s="2"/>
      <c r="R1715" t="str">
        <f t="shared" si="158"/>
        <v/>
      </c>
    </row>
    <row r="1716" spans="1:18" x14ac:dyDescent="0.2">
      <c r="A1716" t="str">
        <f t="shared" si="157"/>
        <v/>
      </c>
      <c r="E1716" s="1"/>
      <c r="F1716" s="1"/>
      <c r="G1716" s="2"/>
      <c r="I1716" s="2"/>
      <c r="R1716" t="str">
        <f t="shared" si="158"/>
        <v/>
      </c>
    </row>
    <row r="1717" spans="1:18" x14ac:dyDescent="0.2">
      <c r="A1717" t="str">
        <f t="shared" si="157"/>
        <v/>
      </c>
      <c r="E1717" s="1"/>
      <c r="F1717" s="1"/>
      <c r="G1717" s="2"/>
      <c r="I1717" s="2"/>
      <c r="R1717" t="str">
        <f t="shared" si="158"/>
        <v/>
      </c>
    </row>
    <row r="1718" spans="1:18" x14ac:dyDescent="0.2">
      <c r="A1718" t="str">
        <f t="shared" si="157"/>
        <v/>
      </c>
      <c r="E1718" s="1"/>
      <c r="F1718" s="1"/>
      <c r="G1718" s="2"/>
      <c r="I1718" s="2"/>
      <c r="R1718" t="str">
        <f t="shared" si="158"/>
        <v/>
      </c>
    </row>
    <row r="1719" spans="1:18" x14ac:dyDescent="0.2">
      <c r="A1719" t="str">
        <f t="shared" si="157"/>
        <v/>
      </c>
      <c r="E1719" s="1"/>
      <c r="F1719" s="1"/>
      <c r="G1719" s="2"/>
      <c r="I1719" s="2"/>
      <c r="R1719" t="str">
        <f t="shared" si="158"/>
        <v/>
      </c>
    </row>
    <row r="1720" spans="1:18" x14ac:dyDescent="0.2">
      <c r="A1720" t="str">
        <f t="shared" si="157"/>
        <v/>
      </c>
      <c r="E1720" s="1"/>
      <c r="F1720" s="1"/>
      <c r="G1720" s="2"/>
      <c r="I1720" s="2"/>
      <c r="R1720" t="str">
        <f t="shared" si="158"/>
        <v/>
      </c>
    </row>
    <row r="1721" spans="1:18" x14ac:dyDescent="0.2">
      <c r="A1721" t="str">
        <f t="shared" si="157"/>
        <v/>
      </c>
      <c r="E1721" s="1"/>
      <c r="F1721" s="1"/>
      <c r="G1721" s="2"/>
      <c r="I1721" s="2"/>
      <c r="R1721" t="str">
        <f t="shared" si="158"/>
        <v/>
      </c>
    </row>
    <row r="1722" spans="1:18" x14ac:dyDescent="0.2">
      <c r="A1722" t="str">
        <f t="shared" si="157"/>
        <v/>
      </c>
      <c r="E1722" s="1"/>
      <c r="F1722" s="1"/>
      <c r="G1722" s="2"/>
      <c r="I1722" s="2"/>
      <c r="R1722" t="str">
        <f t="shared" si="158"/>
        <v/>
      </c>
    </row>
    <row r="1723" spans="1:18" x14ac:dyDescent="0.2">
      <c r="A1723" t="str">
        <f t="shared" si="157"/>
        <v/>
      </c>
      <c r="E1723" s="1"/>
      <c r="F1723" s="1"/>
      <c r="G1723" s="2"/>
      <c r="I1723" s="2"/>
      <c r="R1723" t="str">
        <f t="shared" si="158"/>
        <v/>
      </c>
    </row>
    <row r="1724" spans="1:18" x14ac:dyDescent="0.2">
      <c r="A1724" t="str">
        <f t="shared" si="157"/>
        <v/>
      </c>
      <c r="E1724" s="1"/>
      <c r="F1724" s="1"/>
      <c r="G1724" s="2"/>
      <c r="I1724" s="2"/>
      <c r="R1724" t="str">
        <f t="shared" si="158"/>
        <v/>
      </c>
    </row>
    <row r="1725" spans="1:18" x14ac:dyDescent="0.2">
      <c r="A1725" t="str">
        <f t="shared" si="157"/>
        <v/>
      </c>
      <c r="E1725" s="1"/>
      <c r="F1725" s="1"/>
      <c r="G1725" s="2"/>
      <c r="I1725" s="2"/>
      <c r="R1725" t="str">
        <f t="shared" si="158"/>
        <v/>
      </c>
    </row>
    <row r="1726" spans="1:18" x14ac:dyDescent="0.2">
      <c r="A1726" t="str">
        <f t="shared" si="157"/>
        <v/>
      </c>
      <c r="E1726" s="1"/>
      <c r="F1726" s="1"/>
      <c r="G1726" s="2"/>
      <c r="I1726" s="2"/>
      <c r="R1726" t="str">
        <f t="shared" si="158"/>
        <v/>
      </c>
    </row>
    <row r="1727" spans="1:18" x14ac:dyDescent="0.2">
      <c r="A1727" t="str">
        <f t="shared" si="157"/>
        <v/>
      </c>
      <c r="E1727" s="1"/>
      <c r="F1727" s="1"/>
      <c r="G1727" s="2"/>
      <c r="I1727" s="2"/>
      <c r="R1727" t="str">
        <f t="shared" si="158"/>
        <v/>
      </c>
    </row>
    <row r="1728" spans="1:18" x14ac:dyDescent="0.2">
      <c r="A1728" t="str">
        <f t="shared" si="157"/>
        <v/>
      </c>
      <c r="E1728" s="1"/>
      <c r="F1728" s="1"/>
      <c r="G1728" s="2"/>
      <c r="I1728" s="2"/>
      <c r="R1728" t="str">
        <f t="shared" si="158"/>
        <v/>
      </c>
    </row>
    <row r="1729" spans="1:18" x14ac:dyDescent="0.2">
      <c r="A1729" t="str">
        <f t="shared" si="157"/>
        <v/>
      </c>
      <c r="E1729" s="1"/>
      <c r="F1729" s="1"/>
      <c r="G1729" s="2"/>
      <c r="I1729" s="2"/>
      <c r="R1729" t="str">
        <f t="shared" si="158"/>
        <v/>
      </c>
    </row>
    <row r="1730" spans="1:18" x14ac:dyDescent="0.2">
      <c r="A1730" t="str">
        <f t="shared" si="157"/>
        <v/>
      </c>
      <c r="E1730" s="1"/>
      <c r="F1730" s="1"/>
      <c r="G1730" s="2"/>
      <c r="I1730" s="2"/>
      <c r="R1730" t="str">
        <f t="shared" si="158"/>
        <v/>
      </c>
    </row>
    <row r="1731" spans="1:18" x14ac:dyDescent="0.2">
      <c r="A1731" t="str">
        <f t="shared" ref="A1731:A1794" si="159">IFERROR(IF(OR(K1731="",I1731=0),"",D1731&amp;K1731&amp;I1731),"")</f>
        <v/>
      </c>
      <c r="E1731" s="1"/>
      <c r="F1731" s="1"/>
      <c r="G1731" s="2"/>
      <c r="I1731" s="2"/>
      <c r="R1731" t="str">
        <f t="shared" ref="R1731:R1794" si="160">G1731&amp;K1731&amp;N1731</f>
        <v/>
      </c>
    </row>
    <row r="1732" spans="1:18" x14ac:dyDescent="0.2">
      <c r="A1732" t="str">
        <f t="shared" si="159"/>
        <v/>
      </c>
      <c r="E1732" s="1"/>
      <c r="F1732" s="1"/>
      <c r="G1732" s="2"/>
      <c r="I1732" s="2"/>
      <c r="R1732" t="str">
        <f t="shared" si="160"/>
        <v/>
      </c>
    </row>
    <row r="1733" spans="1:18" x14ac:dyDescent="0.2">
      <c r="A1733" t="str">
        <f t="shared" si="159"/>
        <v/>
      </c>
      <c r="E1733" s="1"/>
      <c r="F1733" s="1"/>
      <c r="G1733" s="2"/>
      <c r="I1733" s="2"/>
      <c r="R1733" t="str">
        <f t="shared" si="160"/>
        <v/>
      </c>
    </row>
    <row r="1734" spans="1:18" x14ac:dyDescent="0.2">
      <c r="A1734" t="str">
        <f t="shared" si="159"/>
        <v/>
      </c>
      <c r="E1734" s="1"/>
      <c r="F1734" s="1"/>
      <c r="G1734" s="2"/>
      <c r="I1734" s="2"/>
      <c r="R1734" t="str">
        <f t="shared" si="160"/>
        <v/>
      </c>
    </row>
    <row r="1735" spans="1:18" x14ac:dyDescent="0.2">
      <c r="A1735" t="str">
        <f t="shared" si="159"/>
        <v/>
      </c>
      <c r="E1735" s="1"/>
      <c r="F1735" s="1"/>
      <c r="G1735" s="2"/>
      <c r="I1735" s="2"/>
      <c r="R1735" t="str">
        <f t="shared" si="160"/>
        <v/>
      </c>
    </row>
    <row r="1736" spans="1:18" x14ac:dyDescent="0.2">
      <c r="A1736" t="str">
        <f t="shared" si="159"/>
        <v/>
      </c>
      <c r="E1736" s="1"/>
      <c r="F1736" s="1"/>
      <c r="G1736" s="2"/>
      <c r="I1736" s="2"/>
      <c r="R1736" t="str">
        <f t="shared" si="160"/>
        <v/>
      </c>
    </row>
    <row r="1737" spans="1:18" x14ac:dyDescent="0.2">
      <c r="A1737" t="str">
        <f t="shared" si="159"/>
        <v/>
      </c>
      <c r="E1737" s="1"/>
      <c r="F1737" s="1"/>
      <c r="G1737" s="2"/>
      <c r="I1737" s="2"/>
      <c r="R1737" t="str">
        <f t="shared" si="160"/>
        <v/>
      </c>
    </row>
    <row r="1738" spans="1:18" x14ac:dyDescent="0.2">
      <c r="A1738" t="str">
        <f t="shared" si="159"/>
        <v/>
      </c>
      <c r="E1738" s="1"/>
      <c r="F1738" s="1"/>
      <c r="G1738" s="2"/>
      <c r="I1738" s="2"/>
      <c r="R1738" t="str">
        <f t="shared" si="160"/>
        <v/>
      </c>
    </row>
    <row r="1739" spans="1:18" x14ac:dyDescent="0.2">
      <c r="A1739" t="str">
        <f t="shared" si="159"/>
        <v/>
      </c>
      <c r="E1739" s="1"/>
      <c r="F1739" s="1"/>
      <c r="G1739" s="2"/>
      <c r="I1739" s="2"/>
      <c r="R1739" t="str">
        <f t="shared" si="160"/>
        <v/>
      </c>
    </row>
    <row r="1740" spans="1:18" x14ac:dyDescent="0.2">
      <c r="A1740" t="str">
        <f t="shared" si="159"/>
        <v/>
      </c>
      <c r="E1740" s="1"/>
      <c r="F1740" s="1"/>
      <c r="G1740" s="2"/>
      <c r="I1740" s="2"/>
      <c r="R1740" t="str">
        <f t="shared" si="160"/>
        <v/>
      </c>
    </row>
    <row r="1741" spans="1:18" x14ac:dyDescent="0.2">
      <c r="A1741" t="str">
        <f t="shared" si="159"/>
        <v/>
      </c>
      <c r="E1741" s="1"/>
      <c r="F1741" s="1"/>
      <c r="G1741" s="2"/>
      <c r="I1741" s="2"/>
      <c r="R1741" t="str">
        <f t="shared" si="160"/>
        <v/>
      </c>
    </row>
    <row r="1742" spans="1:18" x14ac:dyDescent="0.2">
      <c r="A1742" t="str">
        <f t="shared" si="159"/>
        <v/>
      </c>
      <c r="E1742" s="1"/>
      <c r="F1742" s="1"/>
      <c r="G1742" s="2"/>
      <c r="I1742" s="2"/>
      <c r="R1742" t="str">
        <f t="shared" si="160"/>
        <v/>
      </c>
    </row>
    <row r="1743" spans="1:18" x14ac:dyDescent="0.2">
      <c r="A1743" t="str">
        <f t="shared" si="159"/>
        <v/>
      </c>
      <c r="E1743" s="1"/>
      <c r="F1743" s="1"/>
      <c r="G1743" s="2"/>
      <c r="I1743" s="2"/>
      <c r="R1743" t="str">
        <f t="shared" si="160"/>
        <v/>
      </c>
    </row>
    <row r="1744" spans="1:18" x14ac:dyDescent="0.2">
      <c r="A1744" t="str">
        <f t="shared" si="159"/>
        <v/>
      </c>
      <c r="E1744" s="1"/>
      <c r="F1744" s="1"/>
      <c r="G1744" s="2"/>
      <c r="I1744" s="2"/>
      <c r="R1744" t="str">
        <f t="shared" si="160"/>
        <v/>
      </c>
    </row>
    <row r="1745" spans="1:18" x14ac:dyDescent="0.2">
      <c r="A1745" t="str">
        <f t="shared" si="159"/>
        <v/>
      </c>
      <c r="E1745" s="1"/>
      <c r="F1745" s="1"/>
      <c r="G1745" s="2"/>
      <c r="I1745" s="2"/>
      <c r="R1745" t="str">
        <f t="shared" si="160"/>
        <v/>
      </c>
    </row>
    <row r="1746" spans="1:18" x14ac:dyDescent="0.2">
      <c r="A1746" t="str">
        <f t="shared" si="159"/>
        <v/>
      </c>
      <c r="E1746" s="1"/>
      <c r="F1746" s="1"/>
      <c r="G1746" s="2"/>
      <c r="I1746" s="2"/>
      <c r="R1746" t="str">
        <f t="shared" si="160"/>
        <v/>
      </c>
    </row>
    <row r="1747" spans="1:18" x14ac:dyDescent="0.2">
      <c r="A1747" t="str">
        <f t="shared" si="159"/>
        <v/>
      </c>
      <c r="E1747" s="1"/>
      <c r="F1747" s="1"/>
      <c r="G1747" s="2"/>
      <c r="I1747" s="2"/>
      <c r="R1747" t="str">
        <f t="shared" si="160"/>
        <v/>
      </c>
    </row>
    <row r="1748" spans="1:18" x14ac:dyDescent="0.2">
      <c r="A1748" t="str">
        <f t="shared" si="159"/>
        <v/>
      </c>
      <c r="E1748" s="1"/>
      <c r="F1748" s="1"/>
      <c r="G1748" s="2"/>
      <c r="I1748" s="2"/>
      <c r="R1748" t="str">
        <f t="shared" si="160"/>
        <v/>
      </c>
    </row>
    <row r="1749" spans="1:18" x14ac:dyDescent="0.2">
      <c r="A1749" t="str">
        <f t="shared" si="159"/>
        <v/>
      </c>
      <c r="E1749" s="1"/>
      <c r="F1749" s="1"/>
      <c r="G1749" s="2"/>
      <c r="I1749" s="2"/>
      <c r="R1749" t="str">
        <f t="shared" si="160"/>
        <v/>
      </c>
    </row>
    <row r="1750" spans="1:18" x14ac:dyDescent="0.2">
      <c r="A1750" t="str">
        <f t="shared" si="159"/>
        <v/>
      </c>
      <c r="E1750" s="1"/>
      <c r="F1750" s="1"/>
      <c r="G1750" s="2"/>
      <c r="I1750" s="2"/>
      <c r="R1750" t="str">
        <f t="shared" si="160"/>
        <v/>
      </c>
    </row>
    <row r="1751" spans="1:18" x14ac:dyDescent="0.2">
      <c r="A1751" t="str">
        <f t="shared" si="159"/>
        <v/>
      </c>
      <c r="E1751" s="1"/>
      <c r="F1751" s="1"/>
      <c r="G1751" s="2"/>
      <c r="I1751" s="2"/>
      <c r="R1751" t="str">
        <f t="shared" si="160"/>
        <v/>
      </c>
    </row>
    <row r="1752" spans="1:18" x14ac:dyDescent="0.2">
      <c r="A1752" t="str">
        <f t="shared" si="159"/>
        <v/>
      </c>
      <c r="E1752" s="1"/>
      <c r="F1752" s="1"/>
      <c r="G1752" s="2"/>
      <c r="I1752" s="2"/>
      <c r="R1752" t="str">
        <f t="shared" si="160"/>
        <v/>
      </c>
    </row>
    <row r="1753" spans="1:18" x14ac:dyDescent="0.2">
      <c r="A1753" t="str">
        <f t="shared" si="159"/>
        <v/>
      </c>
      <c r="E1753" s="1"/>
      <c r="F1753" s="1"/>
      <c r="G1753" s="2"/>
      <c r="I1753" s="2"/>
      <c r="R1753" t="str">
        <f t="shared" si="160"/>
        <v/>
      </c>
    </row>
    <row r="1754" spans="1:18" x14ac:dyDescent="0.2">
      <c r="A1754" t="str">
        <f t="shared" si="159"/>
        <v/>
      </c>
      <c r="E1754" s="1"/>
      <c r="F1754" s="1"/>
      <c r="G1754" s="2"/>
      <c r="I1754" s="2"/>
      <c r="R1754" t="str">
        <f t="shared" si="160"/>
        <v/>
      </c>
    </row>
    <row r="1755" spans="1:18" x14ac:dyDescent="0.2">
      <c r="A1755" t="str">
        <f t="shared" si="159"/>
        <v/>
      </c>
      <c r="E1755" s="1"/>
      <c r="F1755" s="1"/>
      <c r="G1755" s="2"/>
      <c r="I1755" s="2"/>
      <c r="R1755" t="str">
        <f t="shared" si="160"/>
        <v/>
      </c>
    </row>
    <row r="1756" spans="1:18" x14ac:dyDescent="0.2">
      <c r="A1756" t="str">
        <f t="shared" si="159"/>
        <v/>
      </c>
      <c r="E1756" s="1"/>
      <c r="F1756" s="1"/>
      <c r="G1756" s="2"/>
      <c r="I1756" s="2"/>
      <c r="R1756" t="str">
        <f t="shared" si="160"/>
        <v/>
      </c>
    </row>
    <row r="1757" spans="1:18" x14ac:dyDescent="0.2">
      <c r="A1757" t="str">
        <f t="shared" si="159"/>
        <v/>
      </c>
      <c r="E1757" s="1"/>
      <c r="F1757" s="1"/>
      <c r="G1757" s="2"/>
      <c r="I1757" s="2"/>
      <c r="R1757" t="str">
        <f t="shared" si="160"/>
        <v/>
      </c>
    </row>
    <row r="1758" spans="1:18" x14ac:dyDescent="0.2">
      <c r="A1758" t="str">
        <f t="shared" si="159"/>
        <v/>
      </c>
      <c r="E1758" s="1"/>
      <c r="F1758" s="1"/>
      <c r="G1758" s="2"/>
      <c r="I1758" s="2"/>
      <c r="R1758" t="str">
        <f t="shared" si="160"/>
        <v/>
      </c>
    </row>
    <row r="1759" spans="1:18" x14ac:dyDescent="0.2">
      <c r="A1759" t="str">
        <f t="shared" si="159"/>
        <v/>
      </c>
      <c r="E1759" s="1"/>
      <c r="F1759" s="1"/>
      <c r="G1759" s="2"/>
      <c r="I1759" s="2"/>
      <c r="R1759" t="str">
        <f t="shared" si="160"/>
        <v/>
      </c>
    </row>
    <row r="1760" spans="1:18" x14ac:dyDescent="0.2">
      <c r="A1760" t="str">
        <f t="shared" si="159"/>
        <v/>
      </c>
      <c r="E1760" s="1"/>
      <c r="F1760" s="1"/>
      <c r="G1760" s="2"/>
      <c r="I1760" s="2"/>
      <c r="R1760" t="str">
        <f t="shared" si="160"/>
        <v/>
      </c>
    </row>
    <row r="1761" spans="1:18" x14ac:dyDescent="0.2">
      <c r="A1761" t="str">
        <f t="shared" si="159"/>
        <v/>
      </c>
      <c r="E1761" s="1"/>
      <c r="F1761" s="1"/>
      <c r="G1761" s="2"/>
      <c r="I1761" s="2"/>
      <c r="R1761" t="str">
        <f t="shared" si="160"/>
        <v/>
      </c>
    </row>
    <row r="1762" spans="1:18" x14ac:dyDescent="0.2">
      <c r="A1762" t="str">
        <f t="shared" si="159"/>
        <v/>
      </c>
      <c r="E1762" s="1"/>
      <c r="F1762" s="1"/>
      <c r="G1762" s="2"/>
      <c r="I1762" s="2"/>
      <c r="R1762" t="str">
        <f t="shared" si="160"/>
        <v/>
      </c>
    </row>
    <row r="1763" spans="1:18" x14ac:dyDescent="0.2">
      <c r="A1763" t="str">
        <f t="shared" si="159"/>
        <v/>
      </c>
      <c r="E1763" s="1"/>
      <c r="F1763" s="1"/>
      <c r="G1763" s="2"/>
      <c r="I1763" s="2"/>
      <c r="R1763" t="str">
        <f t="shared" si="160"/>
        <v/>
      </c>
    </row>
    <row r="1764" spans="1:18" x14ac:dyDescent="0.2">
      <c r="A1764" t="str">
        <f t="shared" si="159"/>
        <v/>
      </c>
      <c r="B1764" s="6"/>
      <c r="C1764" s="6"/>
      <c r="D1764" s="6"/>
      <c r="E1764" s="7"/>
      <c r="F1764" s="7"/>
      <c r="G1764" s="8"/>
      <c r="H1764" s="6"/>
      <c r="I1764" s="8"/>
      <c r="J1764" s="6"/>
      <c r="K1764" s="6"/>
      <c r="L1764" s="6"/>
      <c r="M1764" s="6"/>
      <c r="N1764" s="6"/>
      <c r="O1764" s="6"/>
      <c r="R1764" t="str">
        <f t="shared" si="160"/>
        <v/>
      </c>
    </row>
    <row r="1765" spans="1:18" x14ac:dyDescent="0.2">
      <c r="A1765" t="str">
        <f t="shared" si="159"/>
        <v/>
      </c>
      <c r="B1765" s="6"/>
      <c r="C1765" s="6"/>
      <c r="D1765" s="6"/>
      <c r="E1765" s="7"/>
      <c r="F1765" s="7"/>
      <c r="G1765" s="21"/>
      <c r="H1765" s="6"/>
      <c r="I1765" s="8"/>
      <c r="J1765" s="6"/>
      <c r="K1765" s="6"/>
      <c r="L1765" s="6"/>
      <c r="M1765" s="6"/>
      <c r="N1765" s="6"/>
      <c r="O1765" s="6"/>
      <c r="R1765" t="str">
        <f t="shared" si="160"/>
        <v/>
      </c>
    </row>
    <row r="1766" spans="1:18" x14ac:dyDescent="0.2">
      <c r="A1766" t="str">
        <f t="shared" si="159"/>
        <v/>
      </c>
      <c r="B1766" s="6"/>
      <c r="C1766" s="6"/>
      <c r="D1766" s="6"/>
      <c r="E1766" s="7"/>
      <c r="F1766" s="7"/>
      <c r="G1766" s="21"/>
      <c r="H1766" s="6"/>
      <c r="I1766" s="8"/>
      <c r="J1766" s="6"/>
      <c r="K1766" s="6"/>
      <c r="L1766" s="6"/>
      <c r="M1766" s="6"/>
      <c r="N1766" s="6"/>
      <c r="O1766" s="6"/>
      <c r="R1766" t="str">
        <f t="shared" si="160"/>
        <v/>
      </c>
    </row>
    <row r="1767" spans="1:18" x14ac:dyDescent="0.2">
      <c r="A1767" t="str">
        <f t="shared" si="159"/>
        <v/>
      </c>
      <c r="B1767" s="6"/>
      <c r="C1767" s="6"/>
      <c r="D1767" s="6"/>
      <c r="E1767" s="7"/>
      <c r="F1767" s="7"/>
      <c r="G1767" s="21"/>
      <c r="H1767" s="6"/>
      <c r="I1767" s="8"/>
      <c r="J1767" s="6"/>
      <c r="K1767" s="6"/>
      <c r="L1767" s="6"/>
      <c r="M1767" s="6"/>
      <c r="N1767" s="6"/>
      <c r="O1767" s="6"/>
      <c r="R1767" t="str">
        <f t="shared" si="160"/>
        <v/>
      </c>
    </row>
    <row r="1768" spans="1:18" x14ac:dyDescent="0.2">
      <c r="A1768" t="str">
        <f t="shared" si="159"/>
        <v/>
      </c>
      <c r="E1768" s="1"/>
      <c r="F1768" s="1"/>
      <c r="G1768" s="2"/>
      <c r="I1768" s="2"/>
      <c r="R1768" t="str">
        <f t="shared" si="160"/>
        <v/>
      </c>
    </row>
    <row r="1769" spans="1:18" x14ac:dyDescent="0.2">
      <c r="A1769" t="str">
        <f t="shared" si="159"/>
        <v/>
      </c>
      <c r="E1769" s="1"/>
      <c r="F1769" s="1"/>
      <c r="G1769" s="2"/>
      <c r="I1769" s="2"/>
      <c r="R1769" t="str">
        <f t="shared" si="160"/>
        <v/>
      </c>
    </row>
    <row r="1770" spans="1:18" x14ac:dyDescent="0.2">
      <c r="A1770" t="str">
        <f t="shared" si="159"/>
        <v/>
      </c>
      <c r="E1770" s="1"/>
      <c r="F1770" s="1"/>
      <c r="G1770" s="2"/>
      <c r="I1770" s="2"/>
      <c r="R1770" t="str">
        <f t="shared" si="160"/>
        <v/>
      </c>
    </row>
    <row r="1771" spans="1:18" x14ac:dyDescent="0.2">
      <c r="A1771" t="str">
        <f t="shared" si="159"/>
        <v/>
      </c>
      <c r="E1771" s="1"/>
      <c r="F1771" s="1"/>
      <c r="G1771" s="2"/>
      <c r="I1771" s="2"/>
      <c r="R1771" t="str">
        <f t="shared" si="160"/>
        <v/>
      </c>
    </row>
    <row r="1772" spans="1:18" x14ac:dyDescent="0.2">
      <c r="A1772" t="str">
        <f t="shared" si="159"/>
        <v/>
      </c>
      <c r="E1772" s="1"/>
      <c r="F1772" s="1"/>
      <c r="G1772" s="2"/>
      <c r="I1772" s="2"/>
      <c r="R1772" t="str">
        <f t="shared" si="160"/>
        <v/>
      </c>
    </row>
    <row r="1773" spans="1:18" x14ac:dyDescent="0.2">
      <c r="A1773" t="str">
        <f t="shared" si="159"/>
        <v/>
      </c>
      <c r="E1773" s="1"/>
      <c r="F1773" s="1"/>
      <c r="G1773" s="2"/>
      <c r="I1773" s="2"/>
      <c r="R1773" t="str">
        <f t="shared" si="160"/>
        <v/>
      </c>
    </row>
    <row r="1774" spans="1:18" x14ac:dyDescent="0.2">
      <c r="A1774" t="str">
        <f t="shared" si="159"/>
        <v/>
      </c>
      <c r="E1774" s="1"/>
      <c r="F1774" s="1"/>
      <c r="G1774" s="2"/>
      <c r="I1774" s="2"/>
      <c r="R1774" t="str">
        <f t="shared" si="160"/>
        <v/>
      </c>
    </row>
    <row r="1775" spans="1:18" x14ac:dyDescent="0.2">
      <c r="A1775" t="str">
        <f t="shared" si="159"/>
        <v/>
      </c>
      <c r="E1775" s="1"/>
      <c r="F1775" s="1"/>
      <c r="G1775" s="2"/>
      <c r="I1775" s="2"/>
      <c r="R1775" t="str">
        <f t="shared" si="160"/>
        <v/>
      </c>
    </row>
    <row r="1776" spans="1:18" x14ac:dyDescent="0.2">
      <c r="A1776" t="str">
        <f t="shared" si="159"/>
        <v/>
      </c>
      <c r="E1776" s="1"/>
      <c r="F1776" s="1"/>
      <c r="G1776" s="2"/>
      <c r="I1776" s="2"/>
      <c r="R1776" t="str">
        <f t="shared" si="160"/>
        <v/>
      </c>
    </row>
    <row r="1777" spans="1:18" x14ac:dyDescent="0.2">
      <c r="A1777" t="str">
        <f t="shared" si="159"/>
        <v/>
      </c>
      <c r="E1777" s="1"/>
      <c r="F1777" s="1"/>
      <c r="G1777" s="2"/>
      <c r="I1777" s="2"/>
      <c r="R1777" t="str">
        <f t="shared" si="160"/>
        <v/>
      </c>
    </row>
    <row r="1778" spans="1:18" x14ac:dyDescent="0.2">
      <c r="A1778" t="str">
        <f t="shared" si="159"/>
        <v/>
      </c>
      <c r="E1778" s="1"/>
      <c r="F1778" s="1"/>
      <c r="G1778" s="2"/>
      <c r="I1778" s="2"/>
      <c r="R1778" t="str">
        <f t="shared" si="160"/>
        <v/>
      </c>
    </row>
    <row r="1779" spans="1:18" x14ac:dyDescent="0.2">
      <c r="A1779" t="str">
        <f t="shared" si="159"/>
        <v/>
      </c>
      <c r="E1779" s="1"/>
      <c r="F1779" s="1"/>
      <c r="G1779" s="2"/>
      <c r="I1779" s="2"/>
      <c r="R1779" t="str">
        <f t="shared" si="160"/>
        <v/>
      </c>
    </row>
    <row r="1780" spans="1:18" x14ac:dyDescent="0.2">
      <c r="A1780" t="str">
        <f t="shared" si="159"/>
        <v/>
      </c>
      <c r="E1780" s="1"/>
      <c r="F1780" s="1"/>
      <c r="G1780" s="2"/>
      <c r="I1780" s="2"/>
      <c r="R1780" t="str">
        <f t="shared" si="160"/>
        <v/>
      </c>
    </row>
    <row r="1781" spans="1:18" x14ac:dyDescent="0.2">
      <c r="A1781" t="str">
        <f t="shared" si="159"/>
        <v/>
      </c>
      <c r="E1781" s="1"/>
      <c r="F1781" s="1"/>
      <c r="G1781" s="2"/>
      <c r="I1781" s="2"/>
      <c r="R1781" t="str">
        <f t="shared" si="160"/>
        <v/>
      </c>
    </row>
    <row r="1782" spans="1:18" x14ac:dyDescent="0.2">
      <c r="A1782" t="str">
        <f t="shared" si="159"/>
        <v/>
      </c>
      <c r="E1782" s="1"/>
      <c r="F1782" s="1"/>
      <c r="G1782" s="2"/>
      <c r="I1782" s="2"/>
      <c r="R1782" t="str">
        <f t="shared" si="160"/>
        <v/>
      </c>
    </row>
    <row r="1783" spans="1:18" x14ac:dyDescent="0.2">
      <c r="A1783" t="str">
        <f t="shared" si="159"/>
        <v/>
      </c>
      <c r="E1783" s="1"/>
      <c r="F1783" s="1"/>
      <c r="G1783" s="2"/>
      <c r="I1783" s="2"/>
      <c r="R1783" t="str">
        <f t="shared" si="160"/>
        <v/>
      </c>
    </row>
    <row r="1784" spans="1:18" x14ac:dyDescent="0.2">
      <c r="A1784" t="str">
        <f t="shared" si="159"/>
        <v/>
      </c>
      <c r="E1784" s="1"/>
      <c r="F1784" s="1"/>
      <c r="G1784" s="2"/>
      <c r="I1784" s="2"/>
      <c r="R1784" t="str">
        <f t="shared" si="160"/>
        <v/>
      </c>
    </row>
    <row r="1785" spans="1:18" x14ac:dyDescent="0.2">
      <c r="A1785" t="str">
        <f t="shared" si="159"/>
        <v/>
      </c>
      <c r="E1785" s="1"/>
      <c r="F1785" s="1"/>
      <c r="G1785" s="2"/>
      <c r="I1785" s="2"/>
      <c r="R1785" t="str">
        <f t="shared" si="160"/>
        <v/>
      </c>
    </row>
    <row r="1786" spans="1:18" x14ac:dyDescent="0.2">
      <c r="A1786" t="str">
        <f t="shared" si="159"/>
        <v/>
      </c>
      <c r="E1786" s="1"/>
      <c r="F1786" s="1"/>
      <c r="G1786" s="2"/>
      <c r="I1786" s="2"/>
      <c r="R1786" t="str">
        <f t="shared" si="160"/>
        <v/>
      </c>
    </row>
    <row r="1787" spans="1:18" x14ac:dyDescent="0.2">
      <c r="A1787" t="str">
        <f t="shared" si="159"/>
        <v/>
      </c>
      <c r="E1787" s="1"/>
      <c r="F1787" s="1"/>
      <c r="G1787" s="2"/>
      <c r="I1787" s="2"/>
      <c r="R1787" t="str">
        <f t="shared" si="160"/>
        <v/>
      </c>
    </row>
    <row r="1788" spans="1:18" x14ac:dyDescent="0.2">
      <c r="A1788" t="str">
        <f t="shared" si="159"/>
        <v/>
      </c>
      <c r="E1788" s="1"/>
      <c r="F1788" s="1"/>
      <c r="G1788" s="2"/>
      <c r="I1788" s="2"/>
      <c r="R1788" t="str">
        <f t="shared" si="160"/>
        <v/>
      </c>
    </row>
    <row r="1789" spans="1:18" x14ac:dyDescent="0.2">
      <c r="A1789" t="str">
        <f t="shared" si="159"/>
        <v/>
      </c>
      <c r="E1789" s="1"/>
      <c r="F1789" s="1"/>
      <c r="G1789" s="2"/>
      <c r="I1789" s="2"/>
      <c r="R1789" t="str">
        <f t="shared" si="160"/>
        <v/>
      </c>
    </row>
    <row r="1790" spans="1:18" x14ac:dyDescent="0.2">
      <c r="A1790" t="str">
        <f t="shared" si="159"/>
        <v/>
      </c>
      <c r="E1790" s="1"/>
      <c r="F1790" s="1"/>
      <c r="G1790" s="2"/>
      <c r="I1790" s="2"/>
      <c r="R1790" t="str">
        <f t="shared" si="160"/>
        <v/>
      </c>
    </row>
    <row r="1791" spans="1:18" x14ac:dyDescent="0.2">
      <c r="A1791" t="str">
        <f t="shared" si="159"/>
        <v/>
      </c>
      <c r="E1791" s="1"/>
      <c r="F1791" s="1"/>
      <c r="G1791" s="2"/>
      <c r="I1791" s="2"/>
      <c r="R1791" t="str">
        <f t="shared" si="160"/>
        <v/>
      </c>
    </row>
    <row r="1792" spans="1:18" x14ac:dyDescent="0.2">
      <c r="A1792" t="str">
        <f t="shared" si="159"/>
        <v/>
      </c>
      <c r="E1792" s="1"/>
      <c r="F1792" s="1"/>
      <c r="G1792" s="2"/>
      <c r="I1792" s="2"/>
      <c r="R1792" t="str">
        <f t="shared" si="160"/>
        <v/>
      </c>
    </row>
    <row r="1793" spans="1:18" x14ac:dyDescent="0.2">
      <c r="A1793" t="str">
        <f t="shared" si="159"/>
        <v/>
      </c>
      <c r="E1793" s="1"/>
      <c r="F1793" s="1"/>
      <c r="G1793" s="2"/>
      <c r="I1793" s="2"/>
      <c r="R1793" t="str">
        <f t="shared" si="160"/>
        <v/>
      </c>
    </row>
    <row r="1794" spans="1:18" x14ac:dyDescent="0.2">
      <c r="A1794" t="str">
        <f t="shared" si="159"/>
        <v/>
      </c>
      <c r="E1794" s="1"/>
      <c r="F1794" s="1"/>
      <c r="G1794" s="2"/>
      <c r="I1794" s="2"/>
      <c r="R1794" t="str">
        <f t="shared" si="160"/>
        <v/>
      </c>
    </row>
    <row r="1795" spans="1:18" x14ac:dyDescent="0.2">
      <c r="A1795" t="str">
        <f t="shared" ref="A1795:A1858" si="161">IFERROR(IF(OR(K1795="",I1795=0),"",D1795&amp;K1795&amp;I1795),"")</f>
        <v/>
      </c>
      <c r="E1795" s="1"/>
      <c r="F1795" s="1"/>
      <c r="G1795" s="2"/>
      <c r="I1795" s="2"/>
      <c r="R1795" t="str">
        <f t="shared" ref="R1795:R1858" si="162">G1795&amp;K1795&amp;N1795</f>
        <v/>
      </c>
    </row>
    <row r="1796" spans="1:18" x14ac:dyDescent="0.2">
      <c r="A1796" t="str">
        <f t="shared" si="161"/>
        <v/>
      </c>
      <c r="E1796" s="1"/>
      <c r="F1796" s="1"/>
      <c r="G1796" s="2"/>
      <c r="I1796" s="2"/>
      <c r="R1796" t="str">
        <f t="shared" si="162"/>
        <v/>
      </c>
    </row>
    <row r="1797" spans="1:18" x14ac:dyDescent="0.2">
      <c r="A1797" t="str">
        <f t="shared" si="161"/>
        <v/>
      </c>
      <c r="E1797" s="1"/>
      <c r="F1797" s="1"/>
      <c r="G1797" s="2"/>
      <c r="I1797" s="2"/>
      <c r="R1797" t="str">
        <f t="shared" si="162"/>
        <v/>
      </c>
    </row>
    <row r="1798" spans="1:18" x14ac:dyDescent="0.2">
      <c r="A1798" t="str">
        <f t="shared" si="161"/>
        <v/>
      </c>
      <c r="E1798" s="1"/>
      <c r="F1798" s="1"/>
      <c r="G1798" s="2"/>
      <c r="I1798" s="2"/>
      <c r="R1798" t="str">
        <f t="shared" si="162"/>
        <v/>
      </c>
    </row>
    <row r="1799" spans="1:18" x14ac:dyDescent="0.2">
      <c r="A1799" t="str">
        <f t="shared" si="161"/>
        <v/>
      </c>
      <c r="E1799" s="1"/>
      <c r="F1799" s="1"/>
      <c r="G1799" s="2"/>
      <c r="I1799" s="2"/>
      <c r="R1799" t="str">
        <f t="shared" si="162"/>
        <v/>
      </c>
    </row>
    <row r="1800" spans="1:18" x14ac:dyDescent="0.2">
      <c r="A1800" t="str">
        <f t="shared" si="161"/>
        <v/>
      </c>
      <c r="E1800" s="1"/>
      <c r="F1800" s="1"/>
      <c r="G1800" s="2"/>
      <c r="I1800" s="2"/>
      <c r="R1800" t="str">
        <f t="shared" si="162"/>
        <v/>
      </c>
    </row>
    <row r="1801" spans="1:18" x14ac:dyDescent="0.2">
      <c r="A1801" t="str">
        <f t="shared" si="161"/>
        <v/>
      </c>
      <c r="E1801" s="1"/>
      <c r="F1801" s="1"/>
      <c r="G1801" s="2"/>
      <c r="I1801" s="2"/>
      <c r="R1801" t="str">
        <f t="shared" si="162"/>
        <v/>
      </c>
    </row>
    <row r="1802" spans="1:18" x14ac:dyDescent="0.2">
      <c r="A1802" t="str">
        <f t="shared" si="161"/>
        <v/>
      </c>
      <c r="E1802" s="1"/>
      <c r="F1802" s="1"/>
      <c r="G1802" s="2"/>
      <c r="I1802" s="2"/>
      <c r="R1802" t="str">
        <f t="shared" si="162"/>
        <v/>
      </c>
    </row>
    <row r="1803" spans="1:18" x14ac:dyDescent="0.2">
      <c r="A1803" t="str">
        <f t="shared" si="161"/>
        <v/>
      </c>
      <c r="E1803" s="1"/>
      <c r="F1803" s="1"/>
      <c r="G1803" s="2"/>
      <c r="I1803" s="2"/>
      <c r="R1803" t="str">
        <f t="shared" si="162"/>
        <v/>
      </c>
    </row>
    <row r="1804" spans="1:18" x14ac:dyDescent="0.2">
      <c r="A1804" t="str">
        <f t="shared" si="161"/>
        <v/>
      </c>
      <c r="E1804" s="1"/>
      <c r="F1804" s="1"/>
      <c r="G1804" s="2"/>
      <c r="I1804" s="2"/>
      <c r="R1804" t="str">
        <f t="shared" si="162"/>
        <v/>
      </c>
    </row>
    <row r="1805" spans="1:18" x14ac:dyDescent="0.2">
      <c r="A1805" t="str">
        <f t="shared" si="161"/>
        <v/>
      </c>
      <c r="E1805" s="1"/>
      <c r="F1805" s="1"/>
      <c r="G1805" s="2"/>
      <c r="I1805" s="2"/>
      <c r="R1805" t="str">
        <f t="shared" si="162"/>
        <v/>
      </c>
    </row>
    <row r="1806" spans="1:18" x14ac:dyDescent="0.2">
      <c r="A1806" t="str">
        <f t="shared" si="161"/>
        <v/>
      </c>
      <c r="E1806" s="1"/>
      <c r="F1806" s="1"/>
      <c r="G1806" s="2"/>
      <c r="I1806" s="2"/>
      <c r="R1806" t="str">
        <f t="shared" si="162"/>
        <v/>
      </c>
    </row>
    <row r="1807" spans="1:18" x14ac:dyDescent="0.2">
      <c r="A1807" t="str">
        <f t="shared" si="161"/>
        <v/>
      </c>
      <c r="B1807" s="6"/>
      <c r="C1807" s="6"/>
      <c r="D1807" s="6"/>
      <c r="E1807" s="7"/>
      <c r="F1807" s="7"/>
      <c r="G1807" s="8"/>
      <c r="H1807" s="6"/>
      <c r="I1807" s="8"/>
      <c r="J1807" s="6"/>
      <c r="K1807" s="6"/>
      <c r="L1807" s="6"/>
      <c r="M1807" s="6"/>
      <c r="N1807" s="6"/>
      <c r="O1807" s="6"/>
      <c r="R1807" t="str">
        <f t="shared" si="162"/>
        <v/>
      </c>
    </row>
    <row r="1808" spans="1:18" x14ac:dyDescent="0.2">
      <c r="A1808" t="str">
        <f t="shared" si="161"/>
        <v/>
      </c>
      <c r="B1808" s="6"/>
      <c r="C1808" s="6"/>
      <c r="D1808" s="6"/>
      <c r="E1808" s="7"/>
      <c r="F1808" s="7"/>
      <c r="G1808" s="21"/>
      <c r="H1808" s="6"/>
      <c r="I1808" s="8"/>
      <c r="J1808" s="6"/>
      <c r="K1808" s="6"/>
      <c r="L1808" s="6"/>
      <c r="M1808" s="6"/>
      <c r="N1808" s="6"/>
      <c r="O1808" s="6"/>
      <c r="R1808" t="str">
        <f t="shared" si="162"/>
        <v/>
      </c>
    </row>
    <row r="1809" spans="1:18" x14ac:dyDescent="0.2">
      <c r="A1809" t="str">
        <f t="shared" si="161"/>
        <v/>
      </c>
      <c r="B1809" s="6"/>
      <c r="C1809" s="6"/>
      <c r="D1809" s="6"/>
      <c r="E1809" s="7"/>
      <c r="F1809" s="7"/>
      <c r="G1809" s="21"/>
      <c r="H1809" s="6"/>
      <c r="I1809" s="8"/>
      <c r="J1809" s="6"/>
      <c r="K1809" s="6"/>
      <c r="L1809" s="6"/>
      <c r="M1809" s="6"/>
      <c r="N1809" s="6"/>
      <c r="O1809" s="6"/>
      <c r="R1809" t="str">
        <f t="shared" si="162"/>
        <v/>
      </c>
    </row>
    <row r="1810" spans="1:18" x14ac:dyDescent="0.2">
      <c r="A1810" t="str">
        <f t="shared" si="161"/>
        <v/>
      </c>
      <c r="R1810" t="str">
        <f t="shared" si="162"/>
        <v/>
      </c>
    </row>
    <row r="1811" spans="1:18" x14ac:dyDescent="0.2">
      <c r="A1811" t="str">
        <f t="shared" si="161"/>
        <v/>
      </c>
      <c r="R1811" t="str">
        <f t="shared" si="162"/>
        <v/>
      </c>
    </row>
    <row r="1812" spans="1:18" x14ac:dyDescent="0.2">
      <c r="A1812" t="str">
        <f t="shared" si="161"/>
        <v/>
      </c>
      <c r="R1812" t="str">
        <f t="shared" si="162"/>
        <v/>
      </c>
    </row>
    <row r="1813" spans="1:18" x14ac:dyDescent="0.2">
      <c r="A1813" t="str">
        <f t="shared" si="161"/>
        <v/>
      </c>
      <c r="R1813" t="str">
        <f t="shared" si="162"/>
        <v/>
      </c>
    </row>
    <row r="1814" spans="1:18" x14ac:dyDescent="0.2">
      <c r="A1814" t="str">
        <f t="shared" si="161"/>
        <v/>
      </c>
      <c r="R1814" t="str">
        <f t="shared" si="162"/>
        <v/>
      </c>
    </row>
    <row r="1815" spans="1:18" x14ac:dyDescent="0.2">
      <c r="A1815" t="str">
        <f t="shared" si="161"/>
        <v/>
      </c>
      <c r="R1815" t="str">
        <f t="shared" si="162"/>
        <v/>
      </c>
    </row>
    <row r="1816" spans="1:18" x14ac:dyDescent="0.2">
      <c r="A1816" t="str">
        <f t="shared" si="161"/>
        <v/>
      </c>
      <c r="R1816" t="str">
        <f t="shared" si="162"/>
        <v/>
      </c>
    </row>
    <row r="1817" spans="1:18" x14ac:dyDescent="0.2">
      <c r="A1817" t="str">
        <f t="shared" si="161"/>
        <v/>
      </c>
      <c r="R1817" t="str">
        <f t="shared" si="162"/>
        <v/>
      </c>
    </row>
    <row r="1818" spans="1:18" x14ac:dyDescent="0.2">
      <c r="A1818" t="str">
        <f t="shared" si="161"/>
        <v/>
      </c>
      <c r="R1818" t="str">
        <f t="shared" si="162"/>
        <v/>
      </c>
    </row>
    <row r="1819" spans="1:18" x14ac:dyDescent="0.2">
      <c r="A1819" t="str">
        <f t="shared" si="161"/>
        <v/>
      </c>
      <c r="R1819" t="str">
        <f t="shared" si="162"/>
        <v/>
      </c>
    </row>
    <row r="1820" spans="1:18" x14ac:dyDescent="0.2">
      <c r="A1820" t="str">
        <f t="shared" si="161"/>
        <v/>
      </c>
      <c r="R1820" t="str">
        <f t="shared" si="162"/>
        <v/>
      </c>
    </row>
    <row r="1821" spans="1:18" x14ac:dyDescent="0.2">
      <c r="A1821" t="str">
        <f t="shared" si="161"/>
        <v/>
      </c>
      <c r="R1821" t="str">
        <f t="shared" si="162"/>
        <v/>
      </c>
    </row>
    <row r="1822" spans="1:18" x14ac:dyDescent="0.2">
      <c r="A1822" t="str">
        <f t="shared" si="161"/>
        <v/>
      </c>
      <c r="R1822" t="str">
        <f t="shared" si="162"/>
        <v/>
      </c>
    </row>
    <row r="1823" spans="1:18" x14ac:dyDescent="0.2">
      <c r="A1823" t="str">
        <f t="shared" si="161"/>
        <v/>
      </c>
      <c r="R1823" t="str">
        <f t="shared" si="162"/>
        <v/>
      </c>
    </row>
    <row r="1824" spans="1:18" x14ac:dyDescent="0.2">
      <c r="A1824" t="str">
        <f t="shared" si="161"/>
        <v/>
      </c>
      <c r="R1824" t="str">
        <f t="shared" si="162"/>
        <v/>
      </c>
    </row>
    <row r="1825" spans="1:18" x14ac:dyDescent="0.2">
      <c r="A1825" t="str">
        <f t="shared" si="161"/>
        <v/>
      </c>
      <c r="R1825" t="str">
        <f t="shared" si="162"/>
        <v/>
      </c>
    </row>
    <row r="1826" spans="1:18" x14ac:dyDescent="0.2">
      <c r="A1826" t="str">
        <f t="shared" si="161"/>
        <v/>
      </c>
      <c r="R1826" t="str">
        <f t="shared" si="162"/>
        <v/>
      </c>
    </row>
    <row r="1827" spans="1:18" x14ac:dyDescent="0.2">
      <c r="A1827" t="str">
        <f t="shared" si="161"/>
        <v/>
      </c>
      <c r="R1827" t="str">
        <f t="shared" si="162"/>
        <v/>
      </c>
    </row>
    <row r="1828" spans="1:18" x14ac:dyDescent="0.2">
      <c r="A1828" t="str">
        <f t="shared" si="161"/>
        <v/>
      </c>
      <c r="R1828" t="str">
        <f t="shared" si="162"/>
        <v/>
      </c>
    </row>
    <row r="1829" spans="1:18" x14ac:dyDescent="0.2">
      <c r="A1829" t="str">
        <f t="shared" si="161"/>
        <v/>
      </c>
      <c r="R1829" t="str">
        <f t="shared" si="162"/>
        <v/>
      </c>
    </row>
    <row r="1830" spans="1:18" x14ac:dyDescent="0.2">
      <c r="A1830" t="str">
        <f t="shared" si="161"/>
        <v/>
      </c>
      <c r="R1830" t="str">
        <f t="shared" si="162"/>
        <v/>
      </c>
    </row>
    <row r="1831" spans="1:18" x14ac:dyDescent="0.2">
      <c r="A1831" t="str">
        <f t="shared" si="161"/>
        <v/>
      </c>
      <c r="R1831" t="str">
        <f t="shared" si="162"/>
        <v/>
      </c>
    </row>
    <row r="1832" spans="1:18" x14ac:dyDescent="0.2">
      <c r="A1832" t="str">
        <f t="shared" si="161"/>
        <v/>
      </c>
      <c r="R1832" t="str">
        <f t="shared" si="162"/>
        <v/>
      </c>
    </row>
    <row r="1833" spans="1:18" x14ac:dyDescent="0.2">
      <c r="A1833" t="str">
        <f t="shared" si="161"/>
        <v/>
      </c>
      <c r="R1833" t="str">
        <f t="shared" si="162"/>
        <v/>
      </c>
    </row>
    <row r="1834" spans="1:18" x14ac:dyDescent="0.2">
      <c r="A1834" t="str">
        <f t="shared" si="161"/>
        <v/>
      </c>
      <c r="R1834" t="str">
        <f t="shared" si="162"/>
        <v/>
      </c>
    </row>
    <row r="1835" spans="1:18" x14ac:dyDescent="0.2">
      <c r="A1835" t="str">
        <f t="shared" si="161"/>
        <v/>
      </c>
      <c r="R1835" t="str">
        <f t="shared" si="162"/>
        <v/>
      </c>
    </row>
    <row r="1836" spans="1:18" x14ac:dyDescent="0.2">
      <c r="A1836" t="str">
        <f t="shared" si="161"/>
        <v/>
      </c>
      <c r="R1836" t="str">
        <f t="shared" si="162"/>
        <v/>
      </c>
    </row>
    <row r="1837" spans="1:18" x14ac:dyDescent="0.2">
      <c r="A1837" t="str">
        <f t="shared" si="161"/>
        <v/>
      </c>
      <c r="R1837" t="str">
        <f t="shared" si="162"/>
        <v/>
      </c>
    </row>
    <row r="1838" spans="1:18" x14ac:dyDescent="0.2">
      <c r="A1838" t="str">
        <f t="shared" si="161"/>
        <v/>
      </c>
      <c r="R1838" t="str">
        <f t="shared" si="162"/>
        <v/>
      </c>
    </row>
    <row r="1839" spans="1:18" x14ac:dyDescent="0.2">
      <c r="A1839" t="str">
        <f t="shared" si="161"/>
        <v/>
      </c>
      <c r="R1839" t="str">
        <f t="shared" si="162"/>
        <v/>
      </c>
    </row>
    <row r="1840" spans="1:18" x14ac:dyDescent="0.2">
      <c r="A1840" t="str">
        <f t="shared" si="161"/>
        <v/>
      </c>
      <c r="R1840" t="str">
        <f t="shared" si="162"/>
        <v/>
      </c>
    </row>
    <row r="1841" spans="1:18" x14ac:dyDescent="0.2">
      <c r="A1841" t="str">
        <f t="shared" si="161"/>
        <v/>
      </c>
      <c r="R1841" t="str">
        <f t="shared" si="162"/>
        <v/>
      </c>
    </row>
    <row r="1842" spans="1:18" x14ac:dyDescent="0.2">
      <c r="A1842" t="str">
        <f t="shared" si="161"/>
        <v/>
      </c>
      <c r="R1842" t="str">
        <f t="shared" si="162"/>
        <v/>
      </c>
    </row>
    <row r="1843" spans="1:18" x14ac:dyDescent="0.2">
      <c r="A1843" t="str">
        <f t="shared" si="161"/>
        <v/>
      </c>
      <c r="R1843" t="str">
        <f t="shared" si="162"/>
        <v/>
      </c>
    </row>
    <row r="1844" spans="1:18" x14ac:dyDescent="0.2">
      <c r="A1844" t="str">
        <f t="shared" si="161"/>
        <v/>
      </c>
      <c r="R1844" t="str">
        <f t="shared" si="162"/>
        <v/>
      </c>
    </row>
    <row r="1845" spans="1:18" x14ac:dyDescent="0.2">
      <c r="A1845" t="str">
        <f t="shared" si="161"/>
        <v/>
      </c>
      <c r="R1845" t="str">
        <f t="shared" si="162"/>
        <v/>
      </c>
    </row>
    <row r="1846" spans="1:18" x14ac:dyDescent="0.2">
      <c r="A1846" t="str">
        <f t="shared" si="161"/>
        <v/>
      </c>
      <c r="R1846" t="str">
        <f t="shared" si="162"/>
        <v/>
      </c>
    </row>
    <row r="1847" spans="1:18" x14ac:dyDescent="0.2">
      <c r="A1847" t="str">
        <f t="shared" si="161"/>
        <v/>
      </c>
      <c r="R1847" t="str">
        <f t="shared" si="162"/>
        <v/>
      </c>
    </row>
    <row r="1848" spans="1:18" x14ac:dyDescent="0.2">
      <c r="A1848" t="str">
        <f t="shared" si="161"/>
        <v/>
      </c>
      <c r="R1848" t="str">
        <f t="shared" si="162"/>
        <v/>
      </c>
    </row>
    <row r="1849" spans="1:18" x14ac:dyDescent="0.2">
      <c r="A1849" t="str">
        <f t="shared" si="161"/>
        <v/>
      </c>
      <c r="R1849" t="str">
        <f t="shared" si="162"/>
        <v/>
      </c>
    </row>
    <row r="1850" spans="1:18" x14ac:dyDescent="0.2">
      <c r="A1850" t="str">
        <f t="shared" si="161"/>
        <v/>
      </c>
      <c r="R1850" t="str">
        <f t="shared" si="162"/>
        <v/>
      </c>
    </row>
    <row r="1851" spans="1:18" x14ac:dyDescent="0.2">
      <c r="A1851" t="str">
        <f t="shared" si="161"/>
        <v/>
      </c>
      <c r="R1851" t="str">
        <f t="shared" si="162"/>
        <v/>
      </c>
    </row>
    <row r="1852" spans="1:18" x14ac:dyDescent="0.2">
      <c r="A1852" t="str">
        <f t="shared" si="161"/>
        <v/>
      </c>
      <c r="R1852" t="str">
        <f t="shared" si="162"/>
        <v/>
      </c>
    </row>
    <row r="1853" spans="1:18" x14ac:dyDescent="0.2">
      <c r="A1853" t="str">
        <f t="shared" si="161"/>
        <v/>
      </c>
      <c r="R1853" t="str">
        <f t="shared" si="162"/>
        <v/>
      </c>
    </row>
    <row r="1854" spans="1:18" x14ac:dyDescent="0.2">
      <c r="A1854" t="str">
        <f t="shared" si="161"/>
        <v/>
      </c>
      <c r="R1854" t="str">
        <f t="shared" si="162"/>
        <v/>
      </c>
    </row>
    <row r="1855" spans="1:18" x14ac:dyDescent="0.2">
      <c r="A1855" t="str">
        <f t="shared" si="161"/>
        <v/>
      </c>
      <c r="R1855" t="str">
        <f t="shared" si="162"/>
        <v/>
      </c>
    </row>
    <row r="1856" spans="1:18" x14ac:dyDescent="0.2">
      <c r="A1856" t="str">
        <f t="shared" si="161"/>
        <v/>
      </c>
      <c r="R1856" t="str">
        <f t="shared" si="162"/>
        <v/>
      </c>
    </row>
    <row r="1857" spans="1:18" x14ac:dyDescent="0.2">
      <c r="A1857" t="str">
        <f t="shared" si="161"/>
        <v/>
      </c>
      <c r="R1857" t="str">
        <f t="shared" si="162"/>
        <v/>
      </c>
    </row>
    <row r="1858" spans="1:18" x14ac:dyDescent="0.2">
      <c r="A1858" t="str">
        <f t="shared" si="161"/>
        <v/>
      </c>
      <c r="R1858" t="str">
        <f t="shared" si="162"/>
        <v/>
      </c>
    </row>
    <row r="1859" spans="1:18" x14ac:dyDescent="0.2">
      <c r="A1859" t="str">
        <f t="shared" ref="A1859:A1922" si="163">IFERROR(IF(OR(K1859="",I1859=0),"",D1859&amp;K1859&amp;I1859),"")</f>
        <v/>
      </c>
      <c r="R1859" t="str">
        <f t="shared" ref="R1859:R1922" si="164">G1859&amp;K1859&amp;N1859</f>
        <v/>
      </c>
    </row>
    <row r="1860" spans="1:18" x14ac:dyDescent="0.2">
      <c r="A1860" t="str">
        <f t="shared" si="163"/>
        <v/>
      </c>
      <c r="R1860" t="str">
        <f t="shared" si="164"/>
        <v/>
      </c>
    </row>
    <row r="1861" spans="1:18" x14ac:dyDescent="0.2">
      <c r="A1861" t="str">
        <f t="shared" si="163"/>
        <v/>
      </c>
      <c r="R1861" t="str">
        <f t="shared" si="164"/>
        <v/>
      </c>
    </row>
    <row r="1862" spans="1:18" x14ac:dyDescent="0.2">
      <c r="A1862" t="str">
        <f t="shared" si="163"/>
        <v/>
      </c>
      <c r="R1862" t="str">
        <f t="shared" si="164"/>
        <v/>
      </c>
    </row>
    <row r="1863" spans="1:18" x14ac:dyDescent="0.2">
      <c r="A1863" t="str">
        <f t="shared" si="163"/>
        <v/>
      </c>
      <c r="R1863" t="str">
        <f t="shared" si="164"/>
        <v/>
      </c>
    </row>
    <row r="1864" spans="1:18" x14ac:dyDescent="0.2">
      <c r="A1864" t="str">
        <f t="shared" si="163"/>
        <v/>
      </c>
      <c r="R1864" t="str">
        <f t="shared" si="164"/>
        <v/>
      </c>
    </row>
    <row r="1865" spans="1:18" x14ac:dyDescent="0.2">
      <c r="A1865" t="str">
        <f t="shared" si="163"/>
        <v/>
      </c>
      <c r="R1865" t="str">
        <f t="shared" si="164"/>
        <v/>
      </c>
    </row>
    <row r="1866" spans="1:18" x14ac:dyDescent="0.2">
      <c r="A1866" t="str">
        <f t="shared" si="163"/>
        <v/>
      </c>
      <c r="R1866" t="str">
        <f t="shared" si="164"/>
        <v/>
      </c>
    </row>
    <row r="1867" spans="1:18" x14ac:dyDescent="0.2">
      <c r="A1867" t="str">
        <f t="shared" si="163"/>
        <v/>
      </c>
      <c r="R1867" t="str">
        <f t="shared" si="164"/>
        <v/>
      </c>
    </row>
    <row r="1868" spans="1:18" x14ac:dyDescent="0.2">
      <c r="A1868" t="str">
        <f t="shared" si="163"/>
        <v/>
      </c>
      <c r="R1868" t="str">
        <f t="shared" si="164"/>
        <v/>
      </c>
    </row>
    <row r="1869" spans="1:18" x14ac:dyDescent="0.2">
      <c r="A1869" t="str">
        <f t="shared" si="163"/>
        <v/>
      </c>
      <c r="R1869" t="str">
        <f t="shared" si="164"/>
        <v/>
      </c>
    </row>
    <row r="1870" spans="1:18" x14ac:dyDescent="0.2">
      <c r="A1870" t="str">
        <f t="shared" si="163"/>
        <v/>
      </c>
      <c r="R1870" t="str">
        <f t="shared" si="164"/>
        <v/>
      </c>
    </row>
    <row r="1871" spans="1:18" x14ac:dyDescent="0.2">
      <c r="A1871" t="str">
        <f t="shared" si="163"/>
        <v/>
      </c>
      <c r="R1871" t="str">
        <f t="shared" si="164"/>
        <v/>
      </c>
    </row>
    <row r="1872" spans="1:18" x14ac:dyDescent="0.2">
      <c r="A1872" t="str">
        <f t="shared" si="163"/>
        <v/>
      </c>
      <c r="R1872" t="str">
        <f t="shared" si="164"/>
        <v/>
      </c>
    </row>
    <row r="1873" spans="1:18" x14ac:dyDescent="0.2">
      <c r="A1873" t="str">
        <f t="shared" si="163"/>
        <v/>
      </c>
      <c r="R1873" t="str">
        <f t="shared" si="164"/>
        <v/>
      </c>
    </row>
    <row r="1874" spans="1:18" x14ac:dyDescent="0.2">
      <c r="A1874" t="str">
        <f t="shared" si="163"/>
        <v/>
      </c>
      <c r="R1874" t="str">
        <f t="shared" si="164"/>
        <v/>
      </c>
    </row>
    <row r="1875" spans="1:18" x14ac:dyDescent="0.2">
      <c r="A1875" t="str">
        <f t="shared" si="163"/>
        <v/>
      </c>
      <c r="R1875" t="str">
        <f t="shared" si="164"/>
        <v/>
      </c>
    </row>
    <row r="1876" spans="1:18" x14ac:dyDescent="0.2">
      <c r="A1876" t="str">
        <f t="shared" si="163"/>
        <v/>
      </c>
      <c r="R1876" t="str">
        <f t="shared" si="164"/>
        <v/>
      </c>
    </row>
    <row r="1877" spans="1:18" x14ac:dyDescent="0.2">
      <c r="A1877" t="str">
        <f t="shared" si="163"/>
        <v/>
      </c>
      <c r="R1877" t="str">
        <f t="shared" si="164"/>
        <v/>
      </c>
    </row>
    <row r="1878" spans="1:18" x14ac:dyDescent="0.2">
      <c r="A1878" t="str">
        <f t="shared" si="163"/>
        <v/>
      </c>
      <c r="R1878" t="str">
        <f t="shared" si="164"/>
        <v/>
      </c>
    </row>
    <row r="1879" spans="1:18" x14ac:dyDescent="0.2">
      <c r="A1879" t="str">
        <f t="shared" si="163"/>
        <v/>
      </c>
      <c r="R1879" t="str">
        <f t="shared" si="164"/>
        <v/>
      </c>
    </row>
    <row r="1880" spans="1:18" x14ac:dyDescent="0.2">
      <c r="A1880" t="str">
        <f t="shared" si="163"/>
        <v/>
      </c>
      <c r="R1880" t="str">
        <f t="shared" si="164"/>
        <v/>
      </c>
    </row>
    <row r="1881" spans="1:18" x14ac:dyDescent="0.2">
      <c r="A1881" t="str">
        <f t="shared" si="163"/>
        <v/>
      </c>
      <c r="R1881" t="str">
        <f t="shared" si="164"/>
        <v/>
      </c>
    </row>
    <row r="1882" spans="1:18" x14ac:dyDescent="0.2">
      <c r="A1882" t="str">
        <f t="shared" si="163"/>
        <v/>
      </c>
      <c r="R1882" t="str">
        <f t="shared" si="164"/>
        <v/>
      </c>
    </row>
    <row r="1883" spans="1:18" x14ac:dyDescent="0.2">
      <c r="A1883" t="str">
        <f t="shared" si="163"/>
        <v/>
      </c>
      <c r="R1883" t="str">
        <f t="shared" si="164"/>
        <v/>
      </c>
    </row>
    <row r="1884" spans="1:18" x14ac:dyDescent="0.2">
      <c r="A1884" t="str">
        <f t="shared" si="163"/>
        <v/>
      </c>
      <c r="R1884" t="str">
        <f t="shared" si="164"/>
        <v/>
      </c>
    </row>
    <row r="1885" spans="1:18" x14ac:dyDescent="0.2">
      <c r="A1885" t="str">
        <f t="shared" si="163"/>
        <v/>
      </c>
      <c r="R1885" t="str">
        <f t="shared" si="164"/>
        <v/>
      </c>
    </row>
    <row r="1886" spans="1:18" x14ac:dyDescent="0.2">
      <c r="A1886" t="str">
        <f t="shared" si="163"/>
        <v/>
      </c>
      <c r="R1886" t="str">
        <f t="shared" si="164"/>
        <v/>
      </c>
    </row>
    <row r="1887" spans="1:18" x14ac:dyDescent="0.2">
      <c r="A1887" t="str">
        <f t="shared" si="163"/>
        <v/>
      </c>
      <c r="R1887" t="str">
        <f t="shared" si="164"/>
        <v/>
      </c>
    </row>
    <row r="1888" spans="1:18" x14ac:dyDescent="0.2">
      <c r="A1888" t="str">
        <f t="shared" si="163"/>
        <v/>
      </c>
      <c r="R1888" t="str">
        <f t="shared" si="164"/>
        <v/>
      </c>
    </row>
    <row r="1889" spans="1:18" x14ac:dyDescent="0.2">
      <c r="A1889" t="str">
        <f t="shared" si="163"/>
        <v/>
      </c>
      <c r="R1889" t="str">
        <f t="shared" si="164"/>
        <v/>
      </c>
    </row>
    <row r="1890" spans="1:18" x14ac:dyDescent="0.2">
      <c r="A1890" t="str">
        <f t="shared" si="163"/>
        <v/>
      </c>
      <c r="R1890" t="str">
        <f t="shared" si="164"/>
        <v/>
      </c>
    </row>
    <row r="1891" spans="1:18" x14ac:dyDescent="0.2">
      <c r="A1891" t="str">
        <f t="shared" si="163"/>
        <v/>
      </c>
      <c r="R1891" t="str">
        <f t="shared" si="164"/>
        <v/>
      </c>
    </row>
    <row r="1892" spans="1:18" x14ac:dyDescent="0.2">
      <c r="A1892" t="str">
        <f t="shared" si="163"/>
        <v/>
      </c>
      <c r="R1892" t="str">
        <f t="shared" si="164"/>
        <v/>
      </c>
    </row>
    <row r="1893" spans="1:18" x14ac:dyDescent="0.2">
      <c r="A1893" t="str">
        <f t="shared" si="163"/>
        <v/>
      </c>
      <c r="R1893" t="str">
        <f t="shared" si="164"/>
        <v/>
      </c>
    </row>
    <row r="1894" spans="1:18" x14ac:dyDescent="0.2">
      <c r="A1894" t="str">
        <f t="shared" si="163"/>
        <v/>
      </c>
      <c r="R1894" t="str">
        <f t="shared" si="164"/>
        <v/>
      </c>
    </row>
    <row r="1895" spans="1:18" x14ac:dyDescent="0.2">
      <c r="A1895" t="str">
        <f t="shared" si="163"/>
        <v/>
      </c>
      <c r="R1895" t="str">
        <f t="shared" si="164"/>
        <v/>
      </c>
    </row>
    <row r="1896" spans="1:18" x14ac:dyDescent="0.2">
      <c r="A1896" t="str">
        <f t="shared" si="163"/>
        <v/>
      </c>
      <c r="R1896" t="str">
        <f t="shared" si="164"/>
        <v/>
      </c>
    </row>
    <row r="1897" spans="1:18" x14ac:dyDescent="0.2">
      <c r="A1897" t="str">
        <f t="shared" si="163"/>
        <v/>
      </c>
      <c r="R1897" t="str">
        <f t="shared" si="164"/>
        <v/>
      </c>
    </row>
    <row r="1898" spans="1:18" x14ac:dyDescent="0.2">
      <c r="A1898" t="str">
        <f t="shared" si="163"/>
        <v/>
      </c>
      <c r="R1898" t="str">
        <f t="shared" si="164"/>
        <v/>
      </c>
    </row>
    <row r="1899" spans="1:18" x14ac:dyDescent="0.2">
      <c r="A1899" t="str">
        <f t="shared" si="163"/>
        <v/>
      </c>
      <c r="R1899" t="str">
        <f t="shared" si="164"/>
        <v/>
      </c>
    </row>
    <row r="1900" spans="1:18" x14ac:dyDescent="0.2">
      <c r="A1900" t="str">
        <f t="shared" si="163"/>
        <v/>
      </c>
      <c r="R1900" t="str">
        <f t="shared" si="164"/>
        <v/>
      </c>
    </row>
    <row r="1901" spans="1:18" x14ac:dyDescent="0.2">
      <c r="A1901" t="str">
        <f t="shared" si="163"/>
        <v/>
      </c>
      <c r="R1901" t="str">
        <f t="shared" si="164"/>
        <v/>
      </c>
    </row>
    <row r="1902" spans="1:18" x14ac:dyDescent="0.2">
      <c r="A1902" t="str">
        <f t="shared" si="163"/>
        <v/>
      </c>
      <c r="R1902" t="str">
        <f t="shared" si="164"/>
        <v/>
      </c>
    </row>
    <row r="1903" spans="1:18" x14ac:dyDescent="0.2">
      <c r="A1903" t="str">
        <f t="shared" si="163"/>
        <v/>
      </c>
      <c r="R1903" t="str">
        <f t="shared" si="164"/>
        <v/>
      </c>
    </row>
    <row r="1904" spans="1:18" x14ac:dyDescent="0.2">
      <c r="A1904" t="str">
        <f t="shared" si="163"/>
        <v/>
      </c>
      <c r="R1904" t="str">
        <f t="shared" si="164"/>
        <v/>
      </c>
    </row>
    <row r="1905" spans="1:18" x14ac:dyDescent="0.2">
      <c r="A1905" t="str">
        <f t="shared" si="163"/>
        <v/>
      </c>
      <c r="R1905" t="str">
        <f t="shared" si="164"/>
        <v/>
      </c>
    </row>
    <row r="1906" spans="1:18" x14ac:dyDescent="0.2">
      <c r="A1906" t="str">
        <f t="shared" si="163"/>
        <v/>
      </c>
      <c r="R1906" t="str">
        <f t="shared" si="164"/>
        <v/>
      </c>
    </row>
    <row r="1907" spans="1:18" x14ac:dyDescent="0.2">
      <c r="A1907" t="str">
        <f t="shared" si="163"/>
        <v/>
      </c>
      <c r="R1907" t="str">
        <f t="shared" si="164"/>
        <v/>
      </c>
    </row>
    <row r="1908" spans="1:18" x14ac:dyDescent="0.2">
      <c r="A1908" t="str">
        <f t="shared" si="163"/>
        <v/>
      </c>
      <c r="R1908" t="str">
        <f t="shared" si="164"/>
        <v/>
      </c>
    </row>
    <row r="1909" spans="1:18" x14ac:dyDescent="0.2">
      <c r="A1909" t="str">
        <f t="shared" si="163"/>
        <v/>
      </c>
      <c r="R1909" t="str">
        <f t="shared" si="164"/>
        <v/>
      </c>
    </row>
    <row r="1910" spans="1:18" x14ac:dyDescent="0.2">
      <c r="A1910" t="str">
        <f t="shared" si="163"/>
        <v/>
      </c>
      <c r="R1910" t="str">
        <f t="shared" si="164"/>
        <v/>
      </c>
    </row>
    <row r="1911" spans="1:18" x14ac:dyDescent="0.2">
      <c r="A1911" t="str">
        <f t="shared" si="163"/>
        <v/>
      </c>
      <c r="R1911" t="str">
        <f t="shared" si="164"/>
        <v/>
      </c>
    </row>
    <row r="1912" spans="1:18" x14ac:dyDescent="0.2">
      <c r="A1912" t="str">
        <f t="shared" si="163"/>
        <v/>
      </c>
      <c r="R1912" t="str">
        <f t="shared" si="164"/>
        <v/>
      </c>
    </row>
    <row r="1913" spans="1:18" x14ac:dyDescent="0.2">
      <c r="A1913" t="str">
        <f t="shared" si="163"/>
        <v/>
      </c>
      <c r="R1913" t="str">
        <f t="shared" si="164"/>
        <v/>
      </c>
    </row>
    <row r="1914" spans="1:18" x14ac:dyDescent="0.2">
      <c r="A1914" t="str">
        <f t="shared" si="163"/>
        <v/>
      </c>
      <c r="R1914" t="str">
        <f t="shared" si="164"/>
        <v/>
      </c>
    </row>
    <row r="1915" spans="1:18" x14ac:dyDescent="0.2">
      <c r="A1915" t="str">
        <f t="shared" si="163"/>
        <v/>
      </c>
      <c r="R1915" t="str">
        <f t="shared" si="164"/>
        <v/>
      </c>
    </row>
    <row r="1916" spans="1:18" x14ac:dyDescent="0.2">
      <c r="A1916" t="str">
        <f t="shared" si="163"/>
        <v/>
      </c>
      <c r="R1916" t="str">
        <f t="shared" si="164"/>
        <v/>
      </c>
    </row>
    <row r="1917" spans="1:18" x14ac:dyDescent="0.2">
      <c r="A1917" t="str">
        <f t="shared" si="163"/>
        <v/>
      </c>
      <c r="R1917" t="str">
        <f t="shared" si="164"/>
        <v/>
      </c>
    </row>
    <row r="1918" spans="1:18" x14ac:dyDescent="0.2">
      <c r="A1918" t="str">
        <f t="shared" si="163"/>
        <v/>
      </c>
      <c r="R1918" t="str">
        <f t="shared" si="164"/>
        <v/>
      </c>
    </row>
    <row r="1919" spans="1:18" x14ac:dyDescent="0.2">
      <c r="A1919" t="str">
        <f t="shared" si="163"/>
        <v/>
      </c>
      <c r="R1919" t="str">
        <f t="shared" si="164"/>
        <v/>
      </c>
    </row>
    <row r="1920" spans="1:18" x14ac:dyDescent="0.2">
      <c r="A1920" t="str">
        <f t="shared" si="163"/>
        <v/>
      </c>
      <c r="R1920" t="str">
        <f t="shared" si="164"/>
        <v/>
      </c>
    </row>
    <row r="1921" spans="1:18" x14ac:dyDescent="0.2">
      <c r="A1921" t="str">
        <f t="shared" si="163"/>
        <v/>
      </c>
      <c r="R1921" t="str">
        <f t="shared" si="164"/>
        <v/>
      </c>
    </row>
    <row r="1922" spans="1:18" x14ac:dyDescent="0.2">
      <c r="A1922" t="str">
        <f t="shared" si="163"/>
        <v/>
      </c>
      <c r="R1922" t="str">
        <f t="shared" si="164"/>
        <v/>
      </c>
    </row>
    <row r="1923" spans="1:18" x14ac:dyDescent="0.2">
      <c r="A1923" t="str">
        <f t="shared" ref="A1923:A1986" si="165">IFERROR(IF(OR(K1923="",I1923=0),"",D1923&amp;K1923&amp;I1923),"")</f>
        <v/>
      </c>
      <c r="R1923" t="str">
        <f t="shared" ref="R1923:R1986" si="166">G1923&amp;K1923&amp;N1923</f>
        <v/>
      </c>
    </row>
    <row r="1924" spans="1:18" x14ac:dyDescent="0.2">
      <c r="A1924" t="str">
        <f t="shared" si="165"/>
        <v/>
      </c>
      <c r="R1924" t="str">
        <f t="shared" si="166"/>
        <v/>
      </c>
    </row>
    <row r="1925" spans="1:18" x14ac:dyDescent="0.2">
      <c r="A1925" t="str">
        <f t="shared" si="165"/>
        <v/>
      </c>
      <c r="R1925" t="str">
        <f t="shared" si="166"/>
        <v/>
      </c>
    </row>
    <row r="1926" spans="1:18" x14ac:dyDescent="0.2">
      <c r="A1926" t="str">
        <f t="shared" si="165"/>
        <v/>
      </c>
      <c r="R1926" t="str">
        <f t="shared" si="166"/>
        <v/>
      </c>
    </row>
    <row r="1927" spans="1:18" x14ac:dyDescent="0.2">
      <c r="A1927" t="str">
        <f t="shared" si="165"/>
        <v/>
      </c>
      <c r="R1927" t="str">
        <f t="shared" si="166"/>
        <v/>
      </c>
    </row>
    <row r="1928" spans="1:18" x14ac:dyDescent="0.2">
      <c r="A1928" t="str">
        <f t="shared" si="165"/>
        <v/>
      </c>
      <c r="R1928" t="str">
        <f t="shared" si="166"/>
        <v/>
      </c>
    </row>
    <row r="1929" spans="1:18" x14ac:dyDescent="0.2">
      <c r="A1929" t="str">
        <f t="shared" si="165"/>
        <v/>
      </c>
      <c r="R1929" t="str">
        <f t="shared" si="166"/>
        <v/>
      </c>
    </row>
    <row r="1930" spans="1:18" x14ac:dyDescent="0.2">
      <c r="A1930" t="str">
        <f t="shared" si="165"/>
        <v/>
      </c>
      <c r="R1930" t="str">
        <f t="shared" si="166"/>
        <v/>
      </c>
    </row>
    <row r="1931" spans="1:18" x14ac:dyDescent="0.2">
      <c r="A1931" t="str">
        <f t="shared" si="165"/>
        <v/>
      </c>
      <c r="R1931" t="str">
        <f t="shared" si="166"/>
        <v/>
      </c>
    </row>
    <row r="1932" spans="1:18" x14ac:dyDescent="0.2">
      <c r="A1932" t="str">
        <f t="shared" si="165"/>
        <v/>
      </c>
      <c r="R1932" t="str">
        <f t="shared" si="166"/>
        <v/>
      </c>
    </row>
    <row r="1933" spans="1:18" x14ac:dyDescent="0.2">
      <c r="A1933" t="str">
        <f t="shared" si="165"/>
        <v/>
      </c>
      <c r="R1933" t="str">
        <f t="shared" si="166"/>
        <v/>
      </c>
    </row>
    <row r="1934" spans="1:18" x14ac:dyDescent="0.2">
      <c r="A1934" t="str">
        <f t="shared" si="165"/>
        <v/>
      </c>
      <c r="R1934" t="str">
        <f t="shared" si="166"/>
        <v/>
      </c>
    </row>
    <row r="1935" spans="1:18" x14ac:dyDescent="0.2">
      <c r="A1935" t="str">
        <f t="shared" si="165"/>
        <v/>
      </c>
      <c r="R1935" t="str">
        <f t="shared" si="166"/>
        <v/>
      </c>
    </row>
    <row r="1936" spans="1:18" x14ac:dyDescent="0.2">
      <c r="A1936" t="str">
        <f t="shared" si="165"/>
        <v/>
      </c>
      <c r="R1936" t="str">
        <f t="shared" si="166"/>
        <v/>
      </c>
    </row>
    <row r="1937" spans="1:18" x14ac:dyDescent="0.2">
      <c r="A1937" t="str">
        <f t="shared" si="165"/>
        <v/>
      </c>
      <c r="R1937" t="str">
        <f t="shared" si="166"/>
        <v/>
      </c>
    </row>
    <row r="1938" spans="1:18" x14ac:dyDescent="0.2">
      <c r="A1938" t="str">
        <f t="shared" si="165"/>
        <v/>
      </c>
      <c r="R1938" t="str">
        <f t="shared" si="166"/>
        <v/>
      </c>
    </row>
    <row r="1939" spans="1:18" x14ac:dyDescent="0.2">
      <c r="A1939" t="str">
        <f t="shared" si="165"/>
        <v/>
      </c>
      <c r="R1939" t="str">
        <f t="shared" si="166"/>
        <v/>
      </c>
    </row>
    <row r="1940" spans="1:18" x14ac:dyDescent="0.2">
      <c r="A1940" t="str">
        <f t="shared" si="165"/>
        <v/>
      </c>
      <c r="R1940" t="str">
        <f t="shared" si="166"/>
        <v/>
      </c>
    </row>
    <row r="1941" spans="1:18" x14ac:dyDescent="0.2">
      <c r="A1941" t="str">
        <f t="shared" si="165"/>
        <v/>
      </c>
      <c r="R1941" t="str">
        <f t="shared" si="166"/>
        <v/>
      </c>
    </row>
    <row r="1942" spans="1:18" x14ac:dyDescent="0.2">
      <c r="A1942" t="str">
        <f t="shared" si="165"/>
        <v/>
      </c>
      <c r="R1942" t="str">
        <f t="shared" si="166"/>
        <v/>
      </c>
    </row>
    <row r="1943" spans="1:18" x14ac:dyDescent="0.2">
      <c r="A1943" t="str">
        <f t="shared" si="165"/>
        <v/>
      </c>
      <c r="R1943" t="str">
        <f t="shared" si="166"/>
        <v/>
      </c>
    </row>
    <row r="1944" spans="1:18" x14ac:dyDescent="0.2">
      <c r="A1944" t="str">
        <f t="shared" si="165"/>
        <v/>
      </c>
      <c r="R1944" t="str">
        <f t="shared" si="166"/>
        <v/>
      </c>
    </row>
    <row r="1945" spans="1:18" x14ac:dyDescent="0.2">
      <c r="A1945" t="str">
        <f t="shared" si="165"/>
        <v/>
      </c>
      <c r="R1945" t="str">
        <f t="shared" si="166"/>
        <v/>
      </c>
    </row>
    <row r="1946" spans="1:18" x14ac:dyDescent="0.2">
      <c r="A1946" t="str">
        <f t="shared" si="165"/>
        <v/>
      </c>
      <c r="R1946" t="str">
        <f t="shared" si="166"/>
        <v/>
      </c>
    </row>
    <row r="1947" spans="1:18" x14ac:dyDescent="0.2">
      <c r="A1947" t="str">
        <f t="shared" si="165"/>
        <v/>
      </c>
      <c r="R1947" t="str">
        <f t="shared" si="166"/>
        <v/>
      </c>
    </row>
    <row r="1948" spans="1:18" x14ac:dyDescent="0.2">
      <c r="A1948" t="str">
        <f t="shared" si="165"/>
        <v/>
      </c>
      <c r="R1948" t="str">
        <f t="shared" si="166"/>
        <v/>
      </c>
    </row>
    <row r="1949" spans="1:18" x14ac:dyDescent="0.2">
      <c r="A1949" t="str">
        <f t="shared" si="165"/>
        <v/>
      </c>
      <c r="R1949" t="str">
        <f t="shared" si="166"/>
        <v/>
      </c>
    </row>
    <row r="1950" spans="1:18" x14ac:dyDescent="0.2">
      <c r="A1950" t="str">
        <f t="shared" si="165"/>
        <v/>
      </c>
      <c r="R1950" t="str">
        <f t="shared" si="166"/>
        <v/>
      </c>
    </row>
    <row r="1951" spans="1:18" x14ac:dyDescent="0.2">
      <c r="A1951" t="str">
        <f t="shared" si="165"/>
        <v/>
      </c>
      <c r="R1951" t="str">
        <f t="shared" si="166"/>
        <v/>
      </c>
    </row>
    <row r="1952" spans="1:18" x14ac:dyDescent="0.2">
      <c r="A1952" t="str">
        <f t="shared" si="165"/>
        <v/>
      </c>
      <c r="R1952" t="str">
        <f t="shared" si="166"/>
        <v/>
      </c>
    </row>
    <row r="1953" spans="1:18" x14ac:dyDescent="0.2">
      <c r="A1953" t="str">
        <f t="shared" si="165"/>
        <v/>
      </c>
      <c r="R1953" t="str">
        <f t="shared" si="166"/>
        <v/>
      </c>
    </row>
    <row r="1954" spans="1:18" x14ac:dyDescent="0.2">
      <c r="A1954" t="str">
        <f t="shared" si="165"/>
        <v/>
      </c>
      <c r="R1954" t="str">
        <f t="shared" si="166"/>
        <v/>
      </c>
    </row>
    <row r="1955" spans="1:18" x14ac:dyDescent="0.2">
      <c r="A1955" t="str">
        <f t="shared" si="165"/>
        <v/>
      </c>
      <c r="R1955" t="str">
        <f t="shared" si="166"/>
        <v/>
      </c>
    </row>
    <row r="1956" spans="1:18" x14ac:dyDescent="0.2">
      <c r="A1956" t="str">
        <f t="shared" si="165"/>
        <v/>
      </c>
      <c r="R1956" t="str">
        <f t="shared" si="166"/>
        <v/>
      </c>
    </row>
    <row r="1957" spans="1:18" x14ac:dyDescent="0.2">
      <c r="A1957" t="str">
        <f t="shared" si="165"/>
        <v/>
      </c>
      <c r="R1957" t="str">
        <f t="shared" si="166"/>
        <v/>
      </c>
    </row>
    <row r="1958" spans="1:18" x14ac:dyDescent="0.2">
      <c r="A1958" t="str">
        <f t="shared" si="165"/>
        <v/>
      </c>
      <c r="R1958" t="str">
        <f t="shared" si="166"/>
        <v/>
      </c>
    </row>
    <row r="1959" spans="1:18" x14ac:dyDescent="0.2">
      <c r="A1959" t="str">
        <f t="shared" si="165"/>
        <v/>
      </c>
      <c r="R1959" t="str">
        <f t="shared" si="166"/>
        <v/>
      </c>
    </row>
    <row r="1960" spans="1:18" x14ac:dyDescent="0.2">
      <c r="A1960" t="str">
        <f t="shared" si="165"/>
        <v/>
      </c>
      <c r="R1960" t="str">
        <f t="shared" si="166"/>
        <v/>
      </c>
    </row>
    <row r="1961" spans="1:18" x14ac:dyDescent="0.2">
      <c r="A1961" t="str">
        <f t="shared" si="165"/>
        <v/>
      </c>
      <c r="R1961" t="str">
        <f t="shared" si="166"/>
        <v/>
      </c>
    </row>
    <row r="1962" spans="1:18" x14ac:dyDescent="0.2">
      <c r="A1962" t="str">
        <f t="shared" si="165"/>
        <v/>
      </c>
      <c r="R1962" t="str">
        <f t="shared" si="166"/>
        <v/>
      </c>
    </row>
    <row r="1963" spans="1:18" x14ac:dyDescent="0.2">
      <c r="A1963" t="str">
        <f t="shared" si="165"/>
        <v/>
      </c>
      <c r="R1963" t="str">
        <f t="shared" si="166"/>
        <v/>
      </c>
    </row>
    <row r="1964" spans="1:18" x14ac:dyDescent="0.2">
      <c r="A1964" t="str">
        <f t="shared" si="165"/>
        <v/>
      </c>
      <c r="R1964" t="str">
        <f t="shared" si="166"/>
        <v/>
      </c>
    </row>
    <row r="1965" spans="1:18" x14ac:dyDescent="0.2">
      <c r="A1965" t="str">
        <f t="shared" si="165"/>
        <v/>
      </c>
      <c r="R1965" t="str">
        <f t="shared" si="166"/>
        <v/>
      </c>
    </row>
    <row r="1966" spans="1:18" x14ac:dyDescent="0.2">
      <c r="A1966" t="str">
        <f t="shared" si="165"/>
        <v/>
      </c>
      <c r="R1966" t="str">
        <f t="shared" si="166"/>
        <v/>
      </c>
    </row>
    <row r="1967" spans="1:18" x14ac:dyDescent="0.2">
      <c r="A1967" t="str">
        <f t="shared" si="165"/>
        <v/>
      </c>
      <c r="R1967" t="str">
        <f t="shared" si="166"/>
        <v/>
      </c>
    </row>
    <row r="1968" spans="1:18" x14ac:dyDescent="0.2">
      <c r="A1968" t="str">
        <f t="shared" si="165"/>
        <v/>
      </c>
      <c r="R1968" t="str">
        <f t="shared" si="166"/>
        <v/>
      </c>
    </row>
    <row r="1969" spans="1:18" x14ac:dyDescent="0.2">
      <c r="A1969" t="str">
        <f t="shared" si="165"/>
        <v/>
      </c>
      <c r="R1969" t="str">
        <f t="shared" si="166"/>
        <v/>
      </c>
    </row>
    <row r="1970" spans="1:18" x14ac:dyDescent="0.2">
      <c r="A1970" t="str">
        <f t="shared" si="165"/>
        <v/>
      </c>
      <c r="R1970" t="str">
        <f t="shared" si="166"/>
        <v/>
      </c>
    </row>
    <row r="1971" spans="1:18" x14ac:dyDescent="0.2">
      <c r="A1971" t="str">
        <f t="shared" si="165"/>
        <v/>
      </c>
      <c r="R1971" t="str">
        <f t="shared" si="166"/>
        <v/>
      </c>
    </row>
    <row r="1972" spans="1:18" x14ac:dyDescent="0.2">
      <c r="A1972" t="str">
        <f t="shared" si="165"/>
        <v/>
      </c>
      <c r="R1972" t="str">
        <f t="shared" si="166"/>
        <v/>
      </c>
    </row>
    <row r="1973" spans="1:18" x14ac:dyDescent="0.2">
      <c r="A1973" t="str">
        <f t="shared" si="165"/>
        <v/>
      </c>
      <c r="R1973" t="str">
        <f t="shared" si="166"/>
        <v/>
      </c>
    </row>
    <row r="1974" spans="1:18" x14ac:dyDescent="0.2">
      <c r="A1974" t="str">
        <f t="shared" si="165"/>
        <v/>
      </c>
      <c r="R1974" t="str">
        <f t="shared" si="166"/>
        <v/>
      </c>
    </row>
    <row r="1975" spans="1:18" x14ac:dyDescent="0.2">
      <c r="A1975" t="str">
        <f t="shared" si="165"/>
        <v/>
      </c>
      <c r="R1975" t="str">
        <f t="shared" si="166"/>
        <v/>
      </c>
    </row>
    <row r="1976" spans="1:18" x14ac:dyDescent="0.2">
      <c r="A1976" t="str">
        <f t="shared" si="165"/>
        <v/>
      </c>
      <c r="R1976" t="str">
        <f t="shared" si="166"/>
        <v/>
      </c>
    </row>
    <row r="1977" spans="1:18" x14ac:dyDescent="0.2">
      <c r="A1977" t="str">
        <f t="shared" si="165"/>
        <v/>
      </c>
      <c r="R1977" t="str">
        <f t="shared" si="166"/>
        <v/>
      </c>
    </row>
    <row r="1978" spans="1:18" x14ac:dyDescent="0.2">
      <c r="A1978" t="str">
        <f t="shared" si="165"/>
        <v/>
      </c>
      <c r="R1978" t="str">
        <f t="shared" si="166"/>
        <v/>
      </c>
    </row>
    <row r="1979" spans="1:18" x14ac:dyDescent="0.2">
      <c r="A1979" t="str">
        <f t="shared" si="165"/>
        <v/>
      </c>
      <c r="R1979" t="str">
        <f t="shared" si="166"/>
        <v/>
      </c>
    </row>
    <row r="1980" spans="1:18" x14ac:dyDescent="0.2">
      <c r="A1980" t="str">
        <f t="shared" si="165"/>
        <v/>
      </c>
      <c r="R1980" t="str">
        <f t="shared" si="166"/>
        <v/>
      </c>
    </row>
    <row r="1981" spans="1:18" x14ac:dyDescent="0.2">
      <c r="A1981" t="str">
        <f t="shared" si="165"/>
        <v/>
      </c>
      <c r="R1981" t="str">
        <f t="shared" si="166"/>
        <v/>
      </c>
    </row>
    <row r="1982" spans="1:18" x14ac:dyDescent="0.2">
      <c r="A1982" t="str">
        <f t="shared" si="165"/>
        <v/>
      </c>
      <c r="R1982" t="str">
        <f t="shared" si="166"/>
        <v/>
      </c>
    </row>
    <row r="1983" spans="1:18" x14ac:dyDescent="0.2">
      <c r="A1983" t="str">
        <f t="shared" si="165"/>
        <v/>
      </c>
      <c r="R1983" t="str">
        <f t="shared" si="166"/>
        <v/>
      </c>
    </row>
    <row r="1984" spans="1:18" x14ac:dyDescent="0.2">
      <c r="A1984" t="str">
        <f t="shared" si="165"/>
        <v/>
      </c>
      <c r="R1984" t="str">
        <f t="shared" si="166"/>
        <v/>
      </c>
    </row>
    <row r="1985" spans="1:18" x14ac:dyDescent="0.2">
      <c r="A1985" t="str">
        <f t="shared" si="165"/>
        <v/>
      </c>
      <c r="R1985" t="str">
        <f t="shared" si="166"/>
        <v/>
      </c>
    </row>
    <row r="1986" spans="1:18" x14ac:dyDescent="0.2">
      <c r="A1986" t="str">
        <f t="shared" si="165"/>
        <v/>
      </c>
      <c r="R1986" t="str">
        <f t="shared" si="166"/>
        <v/>
      </c>
    </row>
    <row r="1987" spans="1:18" x14ac:dyDescent="0.2">
      <c r="A1987" t="str">
        <f t="shared" ref="A1987:A2050" si="167">IFERROR(IF(OR(K1987="",I1987=0),"",D1987&amp;K1987&amp;I1987),"")</f>
        <v/>
      </c>
      <c r="R1987" t="str">
        <f t="shared" ref="R1987:R2050" si="168">G1987&amp;K1987&amp;N1987</f>
        <v/>
      </c>
    </row>
    <row r="1988" spans="1:18" x14ac:dyDescent="0.2">
      <c r="A1988" t="str">
        <f t="shared" si="167"/>
        <v/>
      </c>
      <c r="R1988" t="str">
        <f t="shared" si="168"/>
        <v/>
      </c>
    </row>
    <row r="1989" spans="1:18" x14ac:dyDescent="0.2">
      <c r="A1989" t="str">
        <f t="shared" si="167"/>
        <v/>
      </c>
      <c r="R1989" t="str">
        <f t="shared" si="168"/>
        <v/>
      </c>
    </row>
    <row r="1990" spans="1:18" x14ac:dyDescent="0.2">
      <c r="A1990" t="str">
        <f t="shared" si="167"/>
        <v/>
      </c>
      <c r="R1990" t="str">
        <f t="shared" si="168"/>
        <v/>
      </c>
    </row>
    <row r="1991" spans="1:18" x14ac:dyDescent="0.2">
      <c r="A1991" t="str">
        <f t="shared" si="167"/>
        <v/>
      </c>
      <c r="R1991" t="str">
        <f t="shared" si="168"/>
        <v/>
      </c>
    </row>
    <row r="1992" spans="1:18" x14ac:dyDescent="0.2">
      <c r="A1992" t="str">
        <f t="shared" si="167"/>
        <v/>
      </c>
      <c r="R1992" t="str">
        <f t="shared" si="168"/>
        <v/>
      </c>
    </row>
    <row r="1993" spans="1:18" x14ac:dyDescent="0.2">
      <c r="A1993" t="str">
        <f t="shared" si="167"/>
        <v/>
      </c>
      <c r="R1993" t="str">
        <f t="shared" si="168"/>
        <v/>
      </c>
    </row>
    <row r="1994" spans="1:18" x14ac:dyDescent="0.2">
      <c r="A1994" t="str">
        <f t="shared" si="167"/>
        <v/>
      </c>
      <c r="R1994" t="str">
        <f t="shared" si="168"/>
        <v/>
      </c>
    </row>
    <row r="1995" spans="1:18" x14ac:dyDescent="0.2">
      <c r="A1995" t="str">
        <f t="shared" si="167"/>
        <v/>
      </c>
      <c r="R1995" t="str">
        <f t="shared" si="168"/>
        <v/>
      </c>
    </row>
    <row r="1996" spans="1:18" x14ac:dyDescent="0.2">
      <c r="A1996" t="str">
        <f t="shared" si="167"/>
        <v/>
      </c>
      <c r="R1996" t="str">
        <f t="shared" si="168"/>
        <v/>
      </c>
    </row>
    <row r="1997" spans="1:18" x14ac:dyDescent="0.2">
      <c r="A1997" t="str">
        <f t="shared" si="167"/>
        <v/>
      </c>
      <c r="R1997" t="str">
        <f t="shared" si="168"/>
        <v/>
      </c>
    </row>
    <row r="1998" spans="1:18" x14ac:dyDescent="0.2">
      <c r="A1998" t="str">
        <f t="shared" si="167"/>
        <v/>
      </c>
      <c r="R1998" t="str">
        <f t="shared" si="168"/>
        <v/>
      </c>
    </row>
    <row r="1999" spans="1:18" x14ac:dyDescent="0.2">
      <c r="A1999" t="str">
        <f t="shared" si="167"/>
        <v/>
      </c>
      <c r="R1999" t="str">
        <f t="shared" si="168"/>
        <v/>
      </c>
    </row>
    <row r="2000" spans="1:18" x14ac:dyDescent="0.2">
      <c r="A2000" t="str">
        <f t="shared" si="167"/>
        <v/>
      </c>
      <c r="R2000" t="str">
        <f t="shared" si="168"/>
        <v/>
      </c>
    </row>
    <row r="2001" spans="1:18" x14ac:dyDescent="0.2">
      <c r="A2001" t="str">
        <f t="shared" si="167"/>
        <v/>
      </c>
      <c r="R2001" t="str">
        <f t="shared" si="168"/>
        <v/>
      </c>
    </row>
    <row r="2002" spans="1:18" x14ac:dyDescent="0.2">
      <c r="A2002" t="str">
        <f t="shared" si="167"/>
        <v/>
      </c>
      <c r="R2002" t="str">
        <f t="shared" si="168"/>
        <v/>
      </c>
    </row>
    <row r="2003" spans="1:18" x14ac:dyDescent="0.2">
      <c r="A2003" t="str">
        <f t="shared" si="167"/>
        <v/>
      </c>
      <c r="R2003" t="str">
        <f t="shared" si="168"/>
        <v/>
      </c>
    </row>
    <row r="2004" spans="1:18" x14ac:dyDescent="0.2">
      <c r="A2004" t="str">
        <f t="shared" si="167"/>
        <v/>
      </c>
      <c r="R2004" t="str">
        <f t="shared" si="168"/>
        <v/>
      </c>
    </row>
    <row r="2005" spans="1:18" x14ac:dyDescent="0.2">
      <c r="A2005" t="str">
        <f t="shared" si="167"/>
        <v/>
      </c>
      <c r="R2005" t="str">
        <f t="shared" si="168"/>
        <v/>
      </c>
    </row>
    <row r="2006" spans="1:18" x14ac:dyDescent="0.2">
      <c r="A2006" t="str">
        <f t="shared" si="167"/>
        <v/>
      </c>
      <c r="R2006" t="str">
        <f t="shared" si="168"/>
        <v/>
      </c>
    </row>
    <row r="2007" spans="1:18" x14ac:dyDescent="0.2">
      <c r="A2007" t="str">
        <f t="shared" si="167"/>
        <v/>
      </c>
      <c r="R2007" t="str">
        <f t="shared" si="168"/>
        <v/>
      </c>
    </row>
    <row r="2008" spans="1:18" x14ac:dyDescent="0.2">
      <c r="A2008" t="str">
        <f t="shared" si="167"/>
        <v/>
      </c>
      <c r="R2008" t="str">
        <f t="shared" si="168"/>
        <v/>
      </c>
    </row>
    <row r="2009" spans="1:18" x14ac:dyDescent="0.2">
      <c r="A2009" t="str">
        <f t="shared" si="167"/>
        <v/>
      </c>
      <c r="R2009" t="str">
        <f t="shared" si="168"/>
        <v/>
      </c>
    </row>
    <row r="2010" spans="1:18" x14ac:dyDescent="0.2">
      <c r="A2010" t="str">
        <f t="shared" si="167"/>
        <v/>
      </c>
      <c r="R2010" t="str">
        <f t="shared" si="168"/>
        <v/>
      </c>
    </row>
    <row r="2011" spans="1:18" x14ac:dyDescent="0.2">
      <c r="A2011" t="str">
        <f t="shared" si="167"/>
        <v/>
      </c>
      <c r="R2011" t="str">
        <f t="shared" si="168"/>
        <v/>
      </c>
    </row>
    <row r="2012" spans="1:18" x14ac:dyDescent="0.2">
      <c r="A2012" t="str">
        <f t="shared" si="167"/>
        <v/>
      </c>
      <c r="R2012" t="str">
        <f t="shared" si="168"/>
        <v/>
      </c>
    </row>
    <row r="2013" spans="1:18" x14ac:dyDescent="0.2">
      <c r="A2013" t="str">
        <f t="shared" si="167"/>
        <v/>
      </c>
      <c r="R2013" t="str">
        <f t="shared" si="168"/>
        <v/>
      </c>
    </row>
    <row r="2014" spans="1:18" x14ac:dyDescent="0.2">
      <c r="A2014" t="str">
        <f t="shared" si="167"/>
        <v/>
      </c>
      <c r="R2014" t="str">
        <f t="shared" si="168"/>
        <v/>
      </c>
    </row>
    <row r="2015" spans="1:18" x14ac:dyDescent="0.2">
      <c r="A2015" t="str">
        <f t="shared" si="167"/>
        <v/>
      </c>
      <c r="R2015" t="str">
        <f t="shared" si="168"/>
        <v/>
      </c>
    </row>
    <row r="2016" spans="1:18" x14ac:dyDescent="0.2">
      <c r="A2016" t="str">
        <f t="shared" si="167"/>
        <v/>
      </c>
      <c r="R2016" t="str">
        <f t="shared" si="168"/>
        <v/>
      </c>
    </row>
    <row r="2017" spans="1:18" x14ac:dyDescent="0.2">
      <c r="A2017" t="str">
        <f t="shared" si="167"/>
        <v/>
      </c>
      <c r="R2017" t="str">
        <f t="shared" si="168"/>
        <v/>
      </c>
    </row>
    <row r="2018" spans="1:18" x14ac:dyDescent="0.2">
      <c r="A2018" t="str">
        <f t="shared" si="167"/>
        <v/>
      </c>
      <c r="R2018" t="str">
        <f t="shared" si="168"/>
        <v/>
      </c>
    </row>
    <row r="2019" spans="1:18" x14ac:dyDescent="0.2">
      <c r="A2019" t="str">
        <f t="shared" si="167"/>
        <v/>
      </c>
      <c r="R2019" t="str">
        <f t="shared" si="168"/>
        <v/>
      </c>
    </row>
    <row r="2020" spans="1:18" x14ac:dyDescent="0.2">
      <c r="A2020" t="str">
        <f t="shared" si="167"/>
        <v/>
      </c>
      <c r="R2020" t="str">
        <f t="shared" si="168"/>
        <v/>
      </c>
    </row>
    <row r="2021" spans="1:18" x14ac:dyDescent="0.2">
      <c r="A2021" t="str">
        <f t="shared" si="167"/>
        <v/>
      </c>
      <c r="R2021" t="str">
        <f t="shared" si="168"/>
        <v/>
      </c>
    </row>
    <row r="2022" spans="1:18" x14ac:dyDescent="0.2">
      <c r="A2022" t="str">
        <f t="shared" si="167"/>
        <v/>
      </c>
      <c r="R2022" t="str">
        <f t="shared" si="168"/>
        <v/>
      </c>
    </row>
    <row r="2023" spans="1:18" x14ac:dyDescent="0.2">
      <c r="A2023" t="str">
        <f t="shared" si="167"/>
        <v/>
      </c>
      <c r="R2023" t="str">
        <f t="shared" si="168"/>
        <v/>
      </c>
    </row>
    <row r="2024" spans="1:18" x14ac:dyDescent="0.2">
      <c r="A2024" t="str">
        <f t="shared" si="167"/>
        <v/>
      </c>
      <c r="R2024" t="str">
        <f t="shared" si="168"/>
        <v/>
      </c>
    </row>
    <row r="2025" spans="1:18" x14ac:dyDescent="0.2">
      <c r="A2025" t="str">
        <f t="shared" si="167"/>
        <v/>
      </c>
      <c r="R2025" t="str">
        <f t="shared" si="168"/>
        <v/>
      </c>
    </row>
    <row r="2026" spans="1:18" x14ac:dyDescent="0.2">
      <c r="A2026" t="str">
        <f t="shared" si="167"/>
        <v/>
      </c>
      <c r="R2026" t="str">
        <f t="shared" si="168"/>
        <v/>
      </c>
    </row>
    <row r="2027" spans="1:18" x14ac:dyDescent="0.2">
      <c r="A2027" t="str">
        <f t="shared" si="167"/>
        <v/>
      </c>
      <c r="R2027" t="str">
        <f t="shared" si="168"/>
        <v/>
      </c>
    </row>
    <row r="2028" spans="1:18" x14ac:dyDescent="0.2">
      <c r="A2028" t="str">
        <f t="shared" si="167"/>
        <v/>
      </c>
      <c r="R2028" t="str">
        <f t="shared" si="168"/>
        <v/>
      </c>
    </row>
    <row r="2029" spans="1:18" x14ac:dyDescent="0.2">
      <c r="A2029" t="str">
        <f t="shared" si="167"/>
        <v/>
      </c>
      <c r="R2029" t="str">
        <f t="shared" si="168"/>
        <v/>
      </c>
    </row>
    <row r="2030" spans="1:18" x14ac:dyDescent="0.2">
      <c r="A2030" t="str">
        <f t="shared" si="167"/>
        <v/>
      </c>
      <c r="R2030" t="str">
        <f t="shared" si="168"/>
        <v/>
      </c>
    </row>
    <row r="2031" spans="1:18" x14ac:dyDescent="0.2">
      <c r="A2031" t="str">
        <f t="shared" si="167"/>
        <v/>
      </c>
      <c r="R2031" t="str">
        <f t="shared" si="168"/>
        <v/>
      </c>
    </row>
    <row r="2032" spans="1:18" x14ac:dyDescent="0.2">
      <c r="A2032" t="str">
        <f t="shared" si="167"/>
        <v/>
      </c>
      <c r="R2032" t="str">
        <f t="shared" si="168"/>
        <v/>
      </c>
    </row>
    <row r="2033" spans="1:18" x14ac:dyDescent="0.2">
      <c r="A2033" t="str">
        <f t="shared" si="167"/>
        <v/>
      </c>
      <c r="R2033" t="str">
        <f t="shared" si="168"/>
        <v/>
      </c>
    </row>
    <row r="2034" spans="1:18" x14ac:dyDescent="0.2">
      <c r="A2034" t="str">
        <f t="shared" si="167"/>
        <v/>
      </c>
      <c r="R2034" t="str">
        <f t="shared" si="168"/>
        <v/>
      </c>
    </row>
    <row r="2035" spans="1:18" x14ac:dyDescent="0.2">
      <c r="A2035" t="str">
        <f t="shared" si="167"/>
        <v/>
      </c>
      <c r="R2035" t="str">
        <f t="shared" si="168"/>
        <v/>
      </c>
    </row>
    <row r="2036" spans="1:18" x14ac:dyDescent="0.2">
      <c r="A2036" t="str">
        <f t="shared" si="167"/>
        <v/>
      </c>
      <c r="R2036" t="str">
        <f t="shared" si="168"/>
        <v/>
      </c>
    </row>
    <row r="2037" spans="1:18" x14ac:dyDescent="0.2">
      <c r="A2037" t="str">
        <f t="shared" si="167"/>
        <v/>
      </c>
      <c r="R2037" t="str">
        <f t="shared" si="168"/>
        <v/>
      </c>
    </row>
    <row r="2038" spans="1:18" x14ac:dyDescent="0.2">
      <c r="A2038" t="str">
        <f t="shared" si="167"/>
        <v/>
      </c>
      <c r="R2038" t="str">
        <f t="shared" si="168"/>
        <v/>
      </c>
    </row>
    <row r="2039" spans="1:18" x14ac:dyDescent="0.2">
      <c r="A2039" t="str">
        <f t="shared" si="167"/>
        <v/>
      </c>
      <c r="R2039" t="str">
        <f t="shared" si="168"/>
        <v/>
      </c>
    </row>
    <row r="2040" spans="1:18" x14ac:dyDescent="0.2">
      <c r="A2040" t="str">
        <f t="shared" si="167"/>
        <v/>
      </c>
      <c r="R2040" t="str">
        <f t="shared" si="168"/>
        <v/>
      </c>
    </row>
    <row r="2041" spans="1:18" x14ac:dyDescent="0.2">
      <c r="A2041" t="str">
        <f t="shared" si="167"/>
        <v/>
      </c>
      <c r="R2041" t="str">
        <f t="shared" si="168"/>
        <v/>
      </c>
    </row>
    <row r="2042" spans="1:18" x14ac:dyDescent="0.2">
      <c r="A2042" t="str">
        <f t="shared" si="167"/>
        <v/>
      </c>
      <c r="R2042" t="str">
        <f t="shared" si="168"/>
        <v/>
      </c>
    </row>
    <row r="2043" spans="1:18" x14ac:dyDescent="0.2">
      <c r="A2043" t="str">
        <f t="shared" si="167"/>
        <v/>
      </c>
      <c r="R2043" t="str">
        <f t="shared" si="168"/>
        <v/>
      </c>
    </row>
    <row r="2044" spans="1:18" x14ac:dyDescent="0.2">
      <c r="A2044" t="str">
        <f t="shared" si="167"/>
        <v/>
      </c>
      <c r="R2044" t="str">
        <f t="shared" si="168"/>
        <v/>
      </c>
    </row>
    <row r="2045" spans="1:18" x14ac:dyDescent="0.2">
      <c r="A2045" t="str">
        <f t="shared" si="167"/>
        <v/>
      </c>
      <c r="R2045" t="str">
        <f t="shared" si="168"/>
        <v/>
      </c>
    </row>
    <row r="2046" spans="1:18" x14ac:dyDescent="0.2">
      <c r="A2046" t="str">
        <f t="shared" si="167"/>
        <v/>
      </c>
      <c r="R2046" t="str">
        <f t="shared" si="168"/>
        <v/>
      </c>
    </row>
    <row r="2047" spans="1:18" x14ac:dyDescent="0.2">
      <c r="A2047" t="str">
        <f t="shared" si="167"/>
        <v/>
      </c>
      <c r="R2047" t="str">
        <f t="shared" si="168"/>
        <v/>
      </c>
    </row>
    <row r="2048" spans="1:18" x14ac:dyDescent="0.2">
      <c r="A2048" t="str">
        <f t="shared" si="167"/>
        <v/>
      </c>
      <c r="R2048" t="str">
        <f t="shared" si="168"/>
        <v/>
      </c>
    </row>
    <row r="2049" spans="1:18" x14ac:dyDescent="0.2">
      <c r="A2049" t="str">
        <f t="shared" si="167"/>
        <v/>
      </c>
      <c r="R2049" t="str">
        <f t="shared" si="168"/>
        <v/>
      </c>
    </row>
    <row r="2050" spans="1:18" x14ac:dyDescent="0.2">
      <c r="A2050" t="str">
        <f t="shared" si="167"/>
        <v/>
      </c>
      <c r="R2050" t="str">
        <f t="shared" si="168"/>
        <v/>
      </c>
    </row>
    <row r="2051" spans="1:18" x14ac:dyDescent="0.2">
      <c r="A2051" t="str">
        <f t="shared" ref="A2051:A2114" si="169">IFERROR(IF(OR(K2051="",I2051=0),"",D2051&amp;K2051&amp;I2051),"")</f>
        <v/>
      </c>
      <c r="R2051" t="str">
        <f t="shared" ref="R2051:R2114" si="170">G2051&amp;K2051&amp;N2051</f>
        <v/>
      </c>
    </row>
    <row r="2052" spans="1:18" x14ac:dyDescent="0.2">
      <c r="A2052" t="str">
        <f t="shared" si="169"/>
        <v/>
      </c>
      <c r="R2052" t="str">
        <f t="shared" si="170"/>
        <v/>
      </c>
    </row>
    <row r="2053" spans="1:18" x14ac:dyDescent="0.2">
      <c r="A2053" t="str">
        <f t="shared" si="169"/>
        <v/>
      </c>
      <c r="R2053" t="str">
        <f t="shared" si="170"/>
        <v/>
      </c>
    </row>
    <row r="2054" spans="1:18" x14ac:dyDescent="0.2">
      <c r="A2054" t="str">
        <f t="shared" si="169"/>
        <v/>
      </c>
      <c r="R2054" t="str">
        <f t="shared" si="170"/>
        <v/>
      </c>
    </row>
    <row r="2055" spans="1:18" x14ac:dyDescent="0.2">
      <c r="A2055" t="str">
        <f t="shared" si="169"/>
        <v/>
      </c>
      <c r="R2055" t="str">
        <f t="shared" si="170"/>
        <v/>
      </c>
    </row>
    <row r="2056" spans="1:18" x14ac:dyDescent="0.2">
      <c r="A2056" t="str">
        <f t="shared" si="169"/>
        <v/>
      </c>
      <c r="R2056" t="str">
        <f t="shared" si="170"/>
        <v/>
      </c>
    </row>
    <row r="2057" spans="1:18" x14ac:dyDescent="0.2">
      <c r="A2057" t="str">
        <f t="shared" si="169"/>
        <v/>
      </c>
      <c r="R2057" t="str">
        <f t="shared" si="170"/>
        <v/>
      </c>
    </row>
    <row r="2058" spans="1:18" x14ac:dyDescent="0.2">
      <c r="A2058" t="str">
        <f t="shared" si="169"/>
        <v/>
      </c>
      <c r="R2058" t="str">
        <f t="shared" si="170"/>
        <v/>
      </c>
    </row>
    <row r="2059" spans="1:18" x14ac:dyDescent="0.2">
      <c r="A2059" t="str">
        <f t="shared" si="169"/>
        <v/>
      </c>
      <c r="R2059" t="str">
        <f t="shared" si="170"/>
        <v/>
      </c>
    </row>
    <row r="2060" spans="1:18" x14ac:dyDescent="0.2">
      <c r="A2060" t="str">
        <f t="shared" si="169"/>
        <v/>
      </c>
      <c r="R2060" t="str">
        <f t="shared" si="170"/>
        <v/>
      </c>
    </row>
    <row r="2061" spans="1:18" x14ac:dyDescent="0.2">
      <c r="A2061" t="str">
        <f t="shared" si="169"/>
        <v/>
      </c>
      <c r="R2061" t="str">
        <f t="shared" si="170"/>
        <v/>
      </c>
    </row>
    <row r="2062" spans="1:18" x14ac:dyDescent="0.2">
      <c r="A2062" t="str">
        <f t="shared" si="169"/>
        <v/>
      </c>
      <c r="R2062" t="str">
        <f t="shared" si="170"/>
        <v/>
      </c>
    </row>
    <row r="2063" spans="1:18" x14ac:dyDescent="0.2">
      <c r="A2063" t="str">
        <f t="shared" si="169"/>
        <v/>
      </c>
      <c r="R2063" t="str">
        <f t="shared" si="170"/>
        <v/>
      </c>
    </row>
    <row r="2064" spans="1:18" x14ac:dyDescent="0.2">
      <c r="A2064" t="str">
        <f t="shared" si="169"/>
        <v/>
      </c>
      <c r="R2064" t="str">
        <f t="shared" si="170"/>
        <v/>
      </c>
    </row>
    <row r="2065" spans="1:18" x14ac:dyDescent="0.2">
      <c r="A2065" t="str">
        <f t="shared" si="169"/>
        <v/>
      </c>
      <c r="R2065" t="str">
        <f t="shared" si="170"/>
        <v/>
      </c>
    </row>
    <row r="2066" spans="1:18" x14ac:dyDescent="0.2">
      <c r="A2066" t="str">
        <f t="shared" si="169"/>
        <v/>
      </c>
      <c r="R2066" t="str">
        <f t="shared" si="170"/>
        <v/>
      </c>
    </row>
    <row r="2067" spans="1:18" x14ac:dyDescent="0.2">
      <c r="A2067" t="str">
        <f t="shared" si="169"/>
        <v/>
      </c>
      <c r="R2067" t="str">
        <f t="shared" si="170"/>
        <v/>
      </c>
    </row>
    <row r="2068" spans="1:18" x14ac:dyDescent="0.2">
      <c r="A2068" t="str">
        <f t="shared" si="169"/>
        <v/>
      </c>
      <c r="R2068" t="str">
        <f t="shared" si="170"/>
        <v/>
      </c>
    </row>
    <row r="2069" spans="1:18" x14ac:dyDescent="0.2">
      <c r="A2069" t="str">
        <f t="shared" si="169"/>
        <v/>
      </c>
      <c r="R2069" t="str">
        <f t="shared" si="170"/>
        <v/>
      </c>
    </row>
    <row r="2070" spans="1:18" x14ac:dyDescent="0.2">
      <c r="A2070" t="str">
        <f t="shared" si="169"/>
        <v/>
      </c>
      <c r="R2070" t="str">
        <f t="shared" si="170"/>
        <v/>
      </c>
    </row>
    <row r="2071" spans="1:18" x14ac:dyDescent="0.2">
      <c r="A2071" t="str">
        <f t="shared" si="169"/>
        <v/>
      </c>
      <c r="R2071" t="str">
        <f t="shared" si="170"/>
        <v/>
      </c>
    </row>
    <row r="2072" spans="1:18" x14ac:dyDescent="0.2">
      <c r="A2072" t="str">
        <f t="shared" si="169"/>
        <v/>
      </c>
      <c r="R2072" t="str">
        <f t="shared" si="170"/>
        <v/>
      </c>
    </row>
    <row r="2073" spans="1:18" x14ac:dyDescent="0.2">
      <c r="A2073" t="str">
        <f t="shared" si="169"/>
        <v/>
      </c>
      <c r="R2073" t="str">
        <f t="shared" si="170"/>
        <v/>
      </c>
    </row>
    <row r="2074" spans="1:18" x14ac:dyDescent="0.2">
      <c r="A2074" t="str">
        <f t="shared" si="169"/>
        <v/>
      </c>
      <c r="R2074" t="str">
        <f t="shared" si="170"/>
        <v/>
      </c>
    </row>
    <row r="2075" spans="1:18" x14ac:dyDescent="0.2">
      <c r="A2075" t="str">
        <f t="shared" si="169"/>
        <v/>
      </c>
      <c r="R2075" t="str">
        <f t="shared" si="170"/>
        <v/>
      </c>
    </row>
    <row r="2076" spans="1:18" x14ac:dyDescent="0.2">
      <c r="A2076" t="str">
        <f t="shared" si="169"/>
        <v/>
      </c>
      <c r="R2076" t="str">
        <f t="shared" si="170"/>
        <v/>
      </c>
    </row>
    <row r="2077" spans="1:18" x14ac:dyDescent="0.2">
      <c r="A2077" t="str">
        <f t="shared" si="169"/>
        <v/>
      </c>
      <c r="R2077" t="str">
        <f t="shared" si="170"/>
        <v/>
      </c>
    </row>
    <row r="2078" spans="1:18" x14ac:dyDescent="0.2">
      <c r="A2078" t="str">
        <f t="shared" si="169"/>
        <v/>
      </c>
      <c r="R2078" t="str">
        <f t="shared" si="170"/>
        <v/>
      </c>
    </row>
    <row r="2079" spans="1:18" x14ac:dyDescent="0.2">
      <c r="A2079" t="str">
        <f t="shared" si="169"/>
        <v/>
      </c>
      <c r="R2079" t="str">
        <f t="shared" si="170"/>
        <v/>
      </c>
    </row>
    <row r="2080" spans="1:18" x14ac:dyDescent="0.2">
      <c r="A2080" t="str">
        <f t="shared" si="169"/>
        <v/>
      </c>
      <c r="R2080" t="str">
        <f t="shared" si="170"/>
        <v/>
      </c>
    </row>
    <row r="2081" spans="1:18" x14ac:dyDescent="0.2">
      <c r="A2081" t="str">
        <f t="shared" si="169"/>
        <v/>
      </c>
      <c r="R2081" t="str">
        <f t="shared" si="170"/>
        <v/>
      </c>
    </row>
    <row r="2082" spans="1:18" x14ac:dyDescent="0.2">
      <c r="A2082" t="str">
        <f t="shared" si="169"/>
        <v/>
      </c>
      <c r="R2082" t="str">
        <f t="shared" si="170"/>
        <v/>
      </c>
    </row>
    <row r="2083" spans="1:18" x14ac:dyDescent="0.2">
      <c r="A2083" t="str">
        <f t="shared" si="169"/>
        <v/>
      </c>
      <c r="R2083" t="str">
        <f t="shared" si="170"/>
        <v/>
      </c>
    </row>
    <row r="2084" spans="1:18" x14ac:dyDescent="0.2">
      <c r="A2084" t="str">
        <f t="shared" si="169"/>
        <v/>
      </c>
      <c r="R2084" t="str">
        <f t="shared" si="170"/>
        <v/>
      </c>
    </row>
    <row r="2085" spans="1:18" x14ac:dyDescent="0.2">
      <c r="A2085" t="str">
        <f t="shared" si="169"/>
        <v/>
      </c>
      <c r="R2085" t="str">
        <f t="shared" si="170"/>
        <v/>
      </c>
    </row>
    <row r="2086" spans="1:18" x14ac:dyDescent="0.2">
      <c r="A2086" t="str">
        <f t="shared" si="169"/>
        <v/>
      </c>
      <c r="R2086" t="str">
        <f t="shared" si="170"/>
        <v/>
      </c>
    </row>
    <row r="2087" spans="1:18" x14ac:dyDescent="0.2">
      <c r="A2087" t="str">
        <f t="shared" si="169"/>
        <v/>
      </c>
      <c r="R2087" t="str">
        <f t="shared" si="170"/>
        <v/>
      </c>
    </row>
    <row r="2088" spans="1:18" x14ac:dyDescent="0.2">
      <c r="A2088" t="str">
        <f t="shared" si="169"/>
        <v/>
      </c>
      <c r="R2088" t="str">
        <f t="shared" si="170"/>
        <v/>
      </c>
    </row>
    <row r="2089" spans="1:18" x14ac:dyDescent="0.2">
      <c r="A2089" t="str">
        <f t="shared" si="169"/>
        <v/>
      </c>
      <c r="R2089" t="str">
        <f t="shared" si="170"/>
        <v/>
      </c>
    </row>
    <row r="2090" spans="1:18" x14ac:dyDescent="0.2">
      <c r="A2090" t="str">
        <f t="shared" si="169"/>
        <v/>
      </c>
      <c r="R2090" t="str">
        <f t="shared" si="170"/>
        <v/>
      </c>
    </row>
    <row r="2091" spans="1:18" x14ac:dyDescent="0.2">
      <c r="A2091" t="str">
        <f t="shared" si="169"/>
        <v/>
      </c>
      <c r="R2091" t="str">
        <f t="shared" si="170"/>
        <v/>
      </c>
    </row>
    <row r="2092" spans="1:18" x14ac:dyDescent="0.2">
      <c r="A2092" t="str">
        <f t="shared" si="169"/>
        <v/>
      </c>
      <c r="R2092" t="str">
        <f t="shared" si="170"/>
        <v/>
      </c>
    </row>
    <row r="2093" spans="1:18" x14ac:dyDescent="0.2">
      <c r="A2093" t="str">
        <f t="shared" si="169"/>
        <v/>
      </c>
      <c r="R2093" t="str">
        <f t="shared" si="170"/>
        <v/>
      </c>
    </row>
    <row r="2094" spans="1:18" x14ac:dyDescent="0.2">
      <c r="A2094" t="str">
        <f t="shared" si="169"/>
        <v/>
      </c>
      <c r="R2094" t="str">
        <f t="shared" si="170"/>
        <v/>
      </c>
    </row>
    <row r="2095" spans="1:18" x14ac:dyDescent="0.2">
      <c r="A2095" t="str">
        <f t="shared" si="169"/>
        <v/>
      </c>
      <c r="R2095" t="str">
        <f t="shared" si="170"/>
        <v/>
      </c>
    </row>
    <row r="2096" spans="1:18" x14ac:dyDescent="0.2">
      <c r="A2096" t="str">
        <f t="shared" si="169"/>
        <v/>
      </c>
      <c r="R2096" t="str">
        <f t="shared" si="170"/>
        <v/>
      </c>
    </row>
    <row r="2097" spans="1:18" x14ac:dyDescent="0.2">
      <c r="A2097" t="str">
        <f t="shared" si="169"/>
        <v/>
      </c>
      <c r="R2097" t="str">
        <f t="shared" si="170"/>
        <v/>
      </c>
    </row>
    <row r="2098" spans="1:18" x14ac:dyDescent="0.2">
      <c r="A2098" t="str">
        <f t="shared" si="169"/>
        <v/>
      </c>
      <c r="R2098" t="str">
        <f t="shared" si="170"/>
        <v/>
      </c>
    </row>
    <row r="2099" spans="1:18" x14ac:dyDescent="0.2">
      <c r="A2099" t="str">
        <f t="shared" si="169"/>
        <v/>
      </c>
      <c r="R2099" t="str">
        <f t="shared" si="170"/>
        <v/>
      </c>
    </row>
    <row r="2100" spans="1:18" x14ac:dyDescent="0.2">
      <c r="A2100" t="str">
        <f t="shared" si="169"/>
        <v/>
      </c>
      <c r="R2100" t="str">
        <f t="shared" si="170"/>
        <v/>
      </c>
    </row>
    <row r="2101" spans="1:18" x14ac:dyDescent="0.2">
      <c r="A2101" t="str">
        <f t="shared" si="169"/>
        <v/>
      </c>
      <c r="R2101" t="str">
        <f t="shared" si="170"/>
        <v/>
      </c>
    </row>
    <row r="2102" spans="1:18" x14ac:dyDescent="0.2">
      <c r="A2102" t="str">
        <f t="shared" si="169"/>
        <v/>
      </c>
      <c r="R2102" t="str">
        <f t="shared" si="170"/>
        <v/>
      </c>
    </row>
    <row r="2103" spans="1:18" x14ac:dyDescent="0.2">
      <c r="A2103" t="str">
        <f t="shared" si="169"/>
        <v/>
      </c>
      <c r="R2103" t="str">
        <f t="shared" si="170"/>
        <v/>
      </c>
    </row>
    <row r="2104" spans="1:18" x14ac:dyDescent="0.2">
      <c r="A2104" t="str">
        <f t="shared" si="169"/>
        <v/>
      </c>
      <c r="R2104" t="str">
        <f t="shared" si="170"/>
        <v/>
      </c>
    </row>
    <row r="2105" spans="1:18" x14ac:dyDescent="0.2">
      <c r="A2105" t="str">
        <f t="shared" si="169"/>
        <v/>
      </c>
      <c r="R2105" t="str">
        <f t="shared" si="170"/>
        <v/>
      </c>
    </row>
    <row r="2106" spans="1:18" x14ac:dyDescent="0.2">
      <c r="A2106" t="str">
        <f t="shared" si="169"/>
        <v/>
      </c>
      <c r="R2106" t="str">
        <f t="shared" si="170"/>
        <v/>
      </c>
    </row>
    <row r="2107" spans="1:18" x14ac:dyDescent="0.2">
      <c r="A2107" t="str">
        <f t="shared" si="169"/>
        <v/>
      </c>
      <c r="R2107" t="str">
        <f t="shared" si="170"/>
        <v/>
      </c>
    </row>
    <row r="2108" spans="1:18" x14ac:dyDescent="0.2">
      <c r="A2108" t="str">
        <f t="shared" si="169"/>
        <v/>
      </c>
      <c r="R2108" t="str">
        <f t="shared" si="170"/>
        <v/>
      </c>
    </row>
    <row r="2109" spans="1:18" x14ac:dyDescent="0.2">
      <c r="A2109" t="str">
        <f t="shared" si="169"/>
        <v/>
      </c>
      <c r="R2109" t="str">
        <f t="shared" si="170"/>
        <v/>
      </c>
    </row>
    <row r="2110" spans="1:18" x14ac:dyDescent="0.2">
      <c r="A2110" t="str">
        <f t="shared" si="169"/>
        <v/>
      </c>
      <c r="R2110" t="str">
        <f t="shared" si="170"/>
        <v/>
      </c>
    </row>
    <row r="2111" spans="1:18" x14ac:dyDescent="0.2">
      <c r="A2111" t="str">
        <f t="shared" si="169"/>
        <v/>
      </c>
      <c r="R2111" t="str">
        <f t="shared" si="170"/>
        <v/>
      </c>
    </row>
    <row r="2112" spans="1:18" x14ac:dyDescent="0.2">
      <c r="A2112" t="str">
        <f t="shared" si="169"/>
        <v/>
      </c>
      <c r="R2112" t="str">
        <f t="shared" si="170"/>
        <v/>
      </c>
    </row>
    <row r="2113" spans="1:18" x14ac:dyDescent="0.2">
      <c r="A2113" t="str">
        <f t="shared" si="169"/>
        <v/>
      </c>
      <c r="R2113" t="str">
        <f t="shared" si="170"/>
        <v/>
      </c>
    </row>
    <row r="2114" spans="1:18" x14ac:dyDescent="0.2">
      <c r="A2114" t="str">
        <f t="shared" si="169"/>
        <v/>
      </c>
      <c r="R2114" t="str">
        <f t="shared" si="170"/>
        <v/>
      </c>
    </row>
    <row r="2115" spans="1:18" x14ac:dyDescent="0.2">
      <c r="A2115" t="str">
        <f t="shared" ref="A2115:A2178" si="171">IFERROR(IF(OR(K2115="",I2115=0),"",D2115&amp;K2115&amp;I2115),"")</f>
        <v/>
      </c>
      <c r="R2115" t="str">
        <f t="shared" ref="R2115:R2178" si="172">G2115&amp;K2115&amp;N2115</f>
        <v/>
      </c>
    </row>
    <row r="2116" spans="1:18" x14ac:dyDescent="0.2">
      <c r="A2116" t="str">
        <f t="shared" si="171"/>
        <v/>
      </c>
      <c r="R2116" t="str">
        <f t="shared" si="172"/>
        <v/>
      </c>
    </row>
    <row r="2117" spans="1:18" x14ac:dyDescent="0.2">
      <c r="A2117" t="str">
        <f t="shared" si="171"/>
        <v/>
      </c>
      <c r="R2117" t="str">
        <f t="shared" si="172"/>
        <v/>
      </c>
    </row>
    <row r="2118" spans="1:18" x14ac:dyDescent="0.2">
      <c r="A2118" t="str">
        <f t="shared" si="171"/>
        <v/>
      </c>
      <c r="R2118" t="str">
        <f t="shared" si="172"/>
        <v/>
      </c>
    </row>
    <row r="2119" spans="1:18" x14ac:dyDescent="0.2">
      <c r="A2119" t="str">
        <f t="shared" si="171"/>
        <v/>
      </c>
      <c r="R2119" t="str">
        <f t="shared" si="172"/>
        <v/>
      </c>
    </row>
    <row r="2120" spans="1:18" x14ac:dyDescent="0.2">
      <c r="A2120" t="str">
        <f t="shared" si="171"/>
        <v/>
      </c>
      <c r="R2120" t="str">
        <f t="shared" si="172"/>
        <v/>
      </c>
    </row>
    <row r="2121" spans="1:18" x14ac:dyDescent="0.2">
      <c r="A2121" t="str">
        <f t="shared" si="171"/>
        <v/>
      </c>
      <c r="R2121" t="str">
        <f t="shared" si="172"/>
        <v/>
      </c>
    </row>
    <row r="2122" spans="1:18" x14ac:dyDescent="0.2">
      <c r="A2122" t="str">
        <f t="shared" si="171"/>
        <v/>
      </c>
      <c r="R2122" t="str">
        <f t="shared" si="172"/>
        <v/>
      </c>
    </row>
    <row r="2123" spans="1:18" x14ac:dyDescent="0.2">
      <c r="A2123" t="str">
        <f t="shared" si="171"/>
        <v/>
      </c>
      <c r="R2123" t="str">
        <f t="shared" si="172"/>
        <v/>
      </c>
    </row>
    <row r="2124" spans="1:18" x14ac:dyDescent="0.2">
      <c r="A2124" t="str">
        <f t="shared" si="171"/>
        <v/>
      </c>
      <c r="R2124" t="str">
        <f t="shared" si="172"/>
        <v/>
      </c>
    </row>
    <row r="2125" spans="1:18" x14ac:dyDescent="0.2">
      <c r="A2125" t="str">
        <f t="shared" si="171"/>
        <v/>
      </c>
      <c r="R2125" t="str">
        <f t="shared" si="172"/>
        <v/>
      </c>
    </row>
    <row r="2126" spans="1:18" x14ac:dyDescent="0.2">
      <c r="A2126" t="str">
        <f t="shared" si="171"/>
        <v/>
      </c>
      <c r="R2126" t="str">
        <f t="shared" si="172"/>
        <v/>
      </c>
    </row>
    <row r="2127" spans="1:18" x14ac:dyDescent="0.2">
      <c r="A2127" t="str">
        <f t="shared" si="171"/>
        <v/>
      </c>
      <c r="R2127" t="str">
        <f t="shared" si="172"/>
        <v/>
      </c>
    </row>
    <row r="2128" spans="1:18" x14ac:dyDescent="0.2">
      <c r="A2128" t="str">
        <f t="shared" si="171"/>
        <v/>
      </c>
      <c r="R2128" t="str">
        <f t="shared" si="172"/>
        <v/>
      </c>
    </row>
    <row r="2129" spans="1:18" x14ac:dyDescent="0.2">
      <c r="A2129" t="str">
        <f t="shared" si="171"/>
        <v/>
      </c>
      <c r="R2129" t="str">
        <f t="shared" si="172"/>
        <v/>
      </c>
    </row>
    <row r="2130" spans="1:18" x14ac:dyDescent="0.2">
      <c r="A2130" t="str">
        <f t="shared" si="171"/>
        <v/>
      </c>
      <c r="R2130" t="str">
        <f t="shared" si="172"/>
        <v/>
      </c>
    </row>
    <row r="2131" spans="1:18" x14ac:dyDescent="0.2">
      <c r="A2131" t="str">
        <f t="shared" si="171"/>
        <v/>
      </c>
      <c r="R2131" t="str">
        <f t="shared" si="172"/>
        <v/>
      </c>
    </row>
    <row r="2132" spans="1:18" x14ac:dyDescent="0.2">
      <c r="A2132" t="str">
        <f t="shared" si="171"/>
        <v/>
      </c>
      <c r="R2132" t="str">
        <f t="shared" si="172"/>
        <v/>
      </c>
    </row>
    <row r="2133" spans="1:18" x14ac:dyDescent="0.2">
      <c r="A2133" t="str">
        <f t="shared" si="171"/>
        <v/>
      </c>
      <c r="R2133" t="str">
        <f t="shared" si="172"/>
        <v/>
      </c>
    </row>
    <row r="2134" spans="1:18" x14ac:dyDescent="0.2">
      <c r="A2134" t="str">
        <f t="shared" si="171"/>
        <v/>
      </c>
      <c r="R2134" t="str">
        <f t="shared" si="172"/>
        <v/>
      </c>
    </row>
    <row r="2135" spans="1:18" x14ac:dyDescent="0.2">
      <c r="A2135" t="str">
        <f t="shared" si="171"/>
        <v/>
      </c>
      <c r="R2135" t="str">
        <f t="shared" si="172"/>
        <v/>
      </c>
    </row>
    <row r="2136" spans="1:18" x14ac:dyDescent="0.2">
      <c r="A2136" t="str">
        <f t="shared" si="171"/>
        <v/>
      </c>
      <c r="R2136" t="str">
        <f t="shared" si="172"/>
        <v/>
      </c>
    </row>
    <row r="2137" spans="1:18" x14ac:dyDescent="0.2">
      <c r="A2137" t="str">
        <f t="shared" si="171"/>
        <v/>
      </c>
      <c r="R2137" t="str">
        <f t="shared" si="172"/>
        <v/>
      </c>
    </row>
    <row r="2138" spans="1:18" x14ac:dyDescent="0.2">
      <c r="A2138" t="str">
        <f t="shared" si="171"/>
        <v/>
      </c>
      <c r="R2138" t="str">
        <f t="shared" si="172"/>
        <v/>
      </c>
    </row>
    <row r="2139" spans="1:18" x14ac:dyDescent="0.2">
      <c r="A2139" t="str">
        <f t="shared" si="171"/>
        <v/>
      </c>
      <c r="R2139" t="str">
        <f t="shared" si="172"/>
        <v/>
      </c>
    </row>
    <row r="2140" spans="1:18" x14ac:dyDescent="0.2">
      <c r="A2140" t="str">
        <f t="shared" si="171"/>
        <v/>
      </c>
      <c r="R2140" t="str">
        <f t="shared" si="172"/>
        <v/>
      </c>
    </row>
    <row r="2141" spans="1:18" x14ac:dyDescent="0.2">
      <c r="A2141" t="str">
        <f t="shared" si="171"/>
        <v/>
      </c>
      <c r="R2141" t="str">
        <f t="shared" si="172"/>
        <v/>
      </c>
    </row>
    <row r="2142" spans="1:18" x14ac:dyDescent="0.2">
      <c r="A2142" t="str">
        <f t="shared" si="171"/>
        <v/>
      </c>
      <c r="R2142" t="str">
        <f t="shared" si="172"/>
        <v/>
      </c>
    </row>
    <row r="2143" spans="1:18" x14ac:dyDescent="0.2">
      <c r="A2143" t="str">
        <f t="shared" si="171"/>
        <v/>
      </c>
      <c r="R2143" t="str">
        <f t="shared" si="172"/>
        <v/>
      </c>
    </row>
    <row r="2144" spans="1:18" x14ac:dyDescent="0.2">
      <c r="A2144" t="str">
        <f t="shared" si="171"/>
        <v/>
      </c>
      <c r="R2144" t="str">
        <f t="shared" si="172"/>
        <v/>
      </c>
    </row>
    <row r="2145" spans="1:18" x14ac:dyDescent="0.2">
      <c r="A2145" t="str">
        <f t="shared" si="171"/>
        <v/>
      </c>
      <c r="R2145" t="str">
        <f t="shared" si="172"/>
        <v/>
      </c>
    </row>
    <row r="2146" spans="1:18" x14ac:dyDescent="0.2">
      <c r="A2146" t="str">
        <f t="shared" si="171"/>
        <v/>
      </c>
      <c r="R2146" t="str">
        <f t="shared" si="172"/>
        <v/>
      </c>
    </row>
    <row r="2147" spans="1:18" x14ac:dyDescent="0.2">
      <c r="A2147" t="str">
        <f t="shared" si="171"/>
        <v/>
      </c>
      <c r="R2147" t="str">
        <f t="shared" si="172"/>
        <v/>
      </c>
    </row>
    <row r="2148" spans="1:18" x14ac:dyDescent="0.2">
      <c r="A2148" t="str">
        <f t="shared" si="171"/>
        <v/>
      </c>
      <c r="R2148" t="str">
        <f t="shared" si="172"/>
        <v/>
      </c>
    </row>
    <row r="2149" spans="1:18" x14ac:dyDescent="0.2">
      <c r="A2149" t="str">
        <f t="shared" si="171"/>
        <v/>
      </c>
      <c r="R2149" t="str">
        <f t="shared" si="172"/>
        <v/>
      </c>
    </row>
    <row r="2150" spans="1:18" x14ac:dyDescent="0.2">
      <c r="A2150" t="str">
        <f t="shared" si="171"/>
        <v/>
      </c>
      <c r="R2150" t="str">
        <f t="shared" si="172"/>
        <v/>
      </c>
    </row>
    <row r="2151" spans="1:18" x14ac:dyDescent="0.2">
      <c r="A2151" t="str">
        <f t="shared" si="171"/>
        <v/>
      </c>
      <c r="R2151" t="str">
        <f t="shared" si="172"/>
        <v/>
      </c>
    </row>
    <row r="2152" spans="1:18" x14ac:dyDescent="0.2">
      <c r="A2152" t="str">
        <f t="shared" si="171"/>
        <v/>
      </c>
      <c r="R2152" t="str">
        <f t="shared" si="172"/>
        <v/>
      </c>
    </row>
    <row r="2153" spans="1:18" x14ac:dyDescent="0.2">
      <c r="A2153" t="str">
        <f t="shared" si="171"/>
        <v/>
      </c>
      <c r="R2153" t="str">
        <f t="shared" si="172"/>
        <v/>
      </c>
    </row>
    <row r="2154" spans="1:18" x14ac:dyDescent="0.2">
      <c r="A2154" t="str">
        <f t="shared" si="171"/>
        <v/>
      </c>
      <c r="R2154" t="str">
        <f t="shared" si="172"/>
        <v/>
      </c>
    </row>
    <row r="2155" spans="1:18" x14ac:dyDescent="0.2">
      <c r="A2155" t="str">
        <f t="shared" si="171"/>
        <v/>
      </c>
      <c r="R2155" t="str">
        <f t="shared" si="172"/>
        <v/>
      </c>
    </row>
    <row r="2156" spans="1:18" x14ac:dyDescent="0.2">
      <c r="A2156" t="str">
        <f t="shared" si="171"/>
        <v/>
      </c>
      <c r="R2156" t="str">
        <f t="shared" si="172"/>
        <v/>
      </c>
    </row>
    <row r="2157" spans="1:18" x14ac:dyDescent="0.2">
      <c r="A2157" t="str">
        <f t="shared" si="171"/>
        <v/>
      </c>
      <c r="R2157" t="str">
        <f t="shared" si="172"/>
        <v/>
      </c>
    </row>
    <row r="2158" spans="1:18" x14ac:dyDescent="0.2">
      <c r="A2158" t="str">
        <f t="shared" si="171"/>
        <v/>
      </c>
      <c r="R2158" t="str">
        <f t="shared" si="172"/>
        <v/>
      </c>
    </row>
    <row r="2159" spans="1:18" x14ac:dyDescent="0.2">
      <c r="A2159" t="str">
        <f t="shared" si="171"/>
        <v/>
      </c>
      <c r="R2159" t="str">
        <f t="shared" si="172"/>
        <v/>
      </c>
    </row>
    <row r="2160" spans="1:18" x14ac:dyDescent="0.2">
      <c r="A2160" t="str">
        <f t="shared" si="171"/>
        <v/>
      </c>
      <c r="R2160" t="str">
        <f t="shared" si="172"/>
        <v/>
      </c>
    </row>
    <row r="2161" spans="1:18" x14ac:dyDescent="0.2">
      <c r="A2161" t="str">
        <f t="shared" si="171"/>
        <v/>
      </c>
      <c r="R2161" t="str">
        <f t="shared" si="172"/>
        <v/>
      </c>
    </row>
    <row r="2162" spans="1:18" x14ac:dyDescent="0.2">
      <c r="A2162" t="str">
        <f t="shared" si="171"/>
        <v/>
      </c>
      <c r="R2162" t="str">
        <f t="shared" si="172"/>
        <v/>
      </c>
    </row>
    <row r="2163" spans="1:18" x14ac:dyDescent="0.2">
      <c r="A2163" t="str">
        <f t="shared" si="171"/>
        <v/>
      </c>
      <c r="R2163" t="str">
        <f t="shared" si="172"/>
        <v/>
      </c>
    </row>
    <row r="2164" spans="1:18" x14ac:dyDescent="0.2">
      <c r="A2164" t="str">
        <f t="shared" si="171"/>
        <v/>
      </c>
      <c r="R2164" t="str">
        <f t="shared" si="172"/>
        <v/>
      </c>
    </row>
    <row r="2165" spans="1:18" x14ac:dyDescent="0.2">
      <c r="A2165" t="str">
        <f t="shared" si="171"/>
        <v/>
      </c>
      <c r="R2165" t="str">
        <f t="shared" si="172"/>
        <v/>
      </c>
    </row>
    <row r="2166" spans="1:18" x14ac:dyDescent="0.2">
      <c r="A2166" t="str">
        <f t="shared" si="171"/>
        <v/>
      </c>
      <c r="R2166" t="str">
        <f t="shared" si="172"/>
        <v/>
      </c>
    </row>
    <row r="2167" spans="1:18" x14ac:dyDescent="0.2">
      <c r="A2167" t="str">
        <f t="shared" si="171"/>
        <v/>
      </c>
      <c r="R2167" t="str">
        <f t="shared" si="172"/>
        <v/>
      </c>
    </row>
    <row r="2168" spans="1:18" x14ac:dyDescent="0.2">
      <c r="A2168" t="str">
        <f t="shared" si="171"/>
        <v/>
      </c>
      <c r="R2168" t="str">
        <f t="shared" si="172"/>
        <v/>
      </c>
    </row>
    <row r="2169" spans="1:18" x14ac:dyDescent="0.2">
      <c r="A2169" t="str">
        <f t="shared" si="171"/>
        <v/>
      </c>
      <c r="R2169" t="str">
        <f t="shared" si="172"/>
        <v/>
      </c>
    </row>
    <row r="2170" spans="1:18" x14ac:dyDescent="0.2">
      <c r="A2170" t="str">
        <f t="shared" si="171"/>
        <v/>
      </c>
      <c r="R2170" t="str">
        <f t="shared" si="172"/>
        <v/>
      </c>
    </row>
    <row r="2171" spans="1:18" x14ac:dyDescent="0.2">
      <c r="A2171" t="str">
        <f t="shared" si="171"/>
        <v/>
      </c>
      <c r="R2171" t="str">
        <f t="shared" si="172"/>
        <v/>
      </c>
    </row>
    <row r="2172" spans="1:18" x14ac:dyDescent="0.2">
      <c r="A2172" t="str">
        <f t="shared" si="171"/>
        <v/>
      </c>
      <c r="R2172" t="str">
        <f t="shared" si="172"/>
        <v/>
      </c>
    </row>
    <row r="2173" spans="1:18" x14ac:dyDescent="0.2">
      <c r="A2173" t="str">
        <f t="shared" si="171"/>
        <v/>
      </c>
      <c r="R2173" t="str">
        <f t="shared" si="172"/>
        <v/>
      </c>
    </row>
    <row r="2174" spans="1:18" x14ac:dyDescent="0.2">
      <c r="A2174" t="str">
        <f t="shared" si="171"/>
        <v/>
      </c>
      <c r="R2174" t="str">
        <f t="shared" si="172"/>
        <v/>
      </c>
    </row>
    <row r="2175" spans="1:18" x14ac:dyDescent="0.2">
      <c r="A2175" t="str">
        <f t="shared" si="171"/>
        <v/>
      </c>
      <c r="R2175" t="str">
        <f t="shared" si="172"/>
        <v/>
      </c>
    </row>
    <row r="2176" spans="1:18" x14ac:dyDescent="0.2">
      <c r="A2176" t="str">
        <f t="shared" si="171"/>
        <v/>
      </c>
      <c r="R2176" t="str">
        <f t="shared" si="172"/>
        <v/>
      </c>
    </row>
    <row r="2177" spans="1:18" x14ac:dyDescent="0.2">
      <c r="A2177" t="str">
        <f t="shared" si="171"/>
        <v/>
      </c>
      <c r="R2177" t="str">
        <f t="shared" si="172"/>
        <v/>
      </c>
    </row>
    <row r="2178" spans="1:18" x14ac:dyDescent="0.2">
      <c r="A2178" t="str">
        <f t="shared" si="171"/>
        <v/>
      </c>
      <c r="R2178" t="str">
        <f t="shared" si="172"/>
        <v/>
      </c>
    </row>
    <row r="2179" spans="1:18" x14ac:dyDescent="0.2">
      <c r="A2179" t="str">
        <f t="shared" ref="A2179:A2242" si="173">IFERROR(IF(OR(K2179="",I2179=0),"",D2179&amp;K2179&amp;I2179),"")</f>
        <v/>
      </c>
      <c r="R2179" t="str">
        <f t="shared" ref="R2179:R2242" si="174">G2179&amp;K2179&amp;N2179</f>
        <v/>
      </c>
    </row>
    <row r="2180" spans="1:18" x14ac:dyDescent="0.2">
      <c r="A2180" t="str">
        <f t="shared" si="173"/>
        <v/>
      </c>
      <c r="R2180" t="str">
        <f t="shared" si="174"/>
        <v/>
      </c>
    </row>
    <row r="2181" spans="1:18" x14ac:dyDescent="0.2">
      <c r="A2181" t="str">
        <f t="shared" si="173"/>
        <v/>
      </c>
      <c r="R2181" t="str">
        <f t="shared" si="174"/>
        <v/>
      </c>
    </row>
    <row r="2182" spans="1:18" x14ac:dyDescent="0.2">
      <c r="A2182" t="str">
        <f t="shared" si="173"/>
        <v/>
      </c>
      <c r="R2182" t="str">
        <f t="shared" si="174"/>
        <v/>
      </c>
    </row>
    <row r="2183" spans="1:18" x14ac:dyDescent="0.2">
      <c r="A2183" t="str">
        <f t="shared" si="173"/>
        <v/>
      </c>
      <c r="R2183" t="str">
        <f t="shared" si="174"/>
        <v/>
      </c>
    </row>
    <row r="2184" spans="1:18" x14ac:dyDescent="0.2">
      <c r="A2184" t="str">
        <f t="shared" si="173"/>
        <v/>
      </c>
      <c r="R2184" t="str">
        <f t="shared" si="174"/>
        <v/>
      </c>
    </row>
    <row r="2185" spans="1:18" x14ac:dyDescent="0.2">
      <c r="A2185" t="str">
        <f t="shared" si="173"/>
        <v/>
      </c>
      <c r="R2185" t="str">
        <f t="shared" si="174"/>
        <v/>
      </c>
    </row>
    <row r="2186" spans="1:18" x14ac:dyDescent="0.2">
      <c r="A2186" t="str">
        <f t="shared" si="173"/>
        <v/>
      </c>
      <c r="R2186" t="str">
        <f t="shared" si="174"/>
        <v/>
      </c>
    </row>
    <row r="2187" spans="1:18" x14ac:dyDescent="0.2">
      <c r="A2187" t="str">
        <f t="shared" si="173"/>
        <v/>
      </c>
      <c r="R2187" t="str">
        <f t="shared" si="174"/>
        <v/>
      </c>
    </row>
    <row r="2188" spans="1:18" x14ac:dyDescent="0.2">
      <c r="A2188" t="str">
        <f t="shared" si="173"/>
        <v/>
      </c>
      <c r="R2188" t="str">
        <f t="shared" si="174"/>
        <v/>
      </c>
    </row>
    <row r="2189" spans="1:18" x14ac:dyDescent="0.2">
      <c r="A2189" t="str">
        <f t="shared" si="173"/>
        <v/>
      </c>
      <c r="R2189" t="str">
        <f t="shared" si="174"/>
        <v/>
      </c>
    </row>
    <row r="2190" spans="1:18" x14ac:dyDescent="0.2">
      <c r="A2190" t="str">
        <f t="shared" si="173"/>
        <v/>
      </c>
      <c r="R2190" t="str">
        <f t="shared" si="174"/>
        <v/>
      </c>
    </row>
    <row r="2191" spans="1:18" x14ac:dyDescent="0.2">
      <c r="A2191" t="str">
        <f t="shared" si="173"/>
        <v/>
      </c>
      <c r="R2191" t="str">
        <f t="shared" si="174"/>
        <v/>
      </c>
    </row>
    <row r="2192" spans="1:18" x14ac:dyDescent="0.2">
      <c r="A2192" t="str">
        <f t="shared" si="173"/>
        <v/>
      </c>
      <c r="R2192" t="str">
        <f t="shared" si="174"/>
        <v/>
      </c>
    </row>
    <row r="2193" spans="1:18" x14ac:dyDescent="0.2">
      <c r="A2193" t="str">
        <f t="shared" si="173"/>
        <v/>
      </c>
      <c r="R2193" t="str">
        <f t="shared" si="174"/>
        <v/>
      </c>
    </row>
    <row r="2194" spans="1:18" x14ac:dyDescent="0.2">
      <c r="A2194" t="str">
        <f t="shared" si="173"/>
        <v/>
      </c>
      <c r="R2194" t="str">
        <f t="shared" si="174"/>
        <v/>
      </c>
    </row>
    <row r="2195" spans="1:18" x14ac:dyDescent="0.2">
      <c r="A2195" t="str">
        <f t="shared" si="173"/>
        <v/>
      </c>
      <c r="R2195" t="str">
        <f t="shared" si="174"/>
        <v/>
      </c>
    </row>
    <row r="2196" spans="1:18" x14ac:dyDescent="0.2">
      <c r="A2196" t="str">
        <f t="shared" si="173"/>
        <v/>
      </c>
      <c r="R2196" t="str">
        <f t="shared" si="174"/>
        <v/>
      </c>
    </row>
    <row r="2197" spans="1:18" x14ac:dyDescent="0.2">
      <c r="A2197" t="str">
        <f t="shared" si="173"/>
        <v/>
      </c>
      <c r="R2197" t="str">
        <f t="shared" si="174"/>
        <v/>
      </c>
    </row>
    <row r="2198" spans="1:18" x14ac:dyDescent="0.2">
      <c r="A2198" t="str">
        <f t="shared" si="173"/>
        <v/>
      </c>
      <c r="R2198" t="str">
        <f t="shared" si="174"/>
        <v/>
      </c>
    </row>
    <row r="2199" spans="1:18" x14ac:dyDescent="0.2">
      <c r="A2199" t="str">
        <f t="shared" si="173"/>
        <v/>
      </c>
      <c r="R2199" t="str">
        <f t="shared" si="174"/>
        <v/>
      </c>
    </row>
    <row r="2200" spans="1:18" x14ac:dyDescent="0.2">
      <c r="A2200" t="str">
        <f t="shared" si="173"/>
        <v/>
      </c>
      <c r="R2200" t="str">
        <f t="shared" si="174"/>
        <v/>
      </c>
    </row>
    <row r="2201" spans="1:18" x14ac:dyDescent="0.2">
      <c r="A2201" t="str">
        <f t="shared" si="173"/>
        <v/>
      </c>
      <c r="R2201" t="str">
        <f t="shared" si="174"/>
        <v/>
      </c>
    </row>
    <row r="2202" spans="1:18" x14ac:dyDescent="0.2">
      <c r="A2202" t="str">
        <f t="shared" si="173"/>
        <v/>
      </c>
      <c r="R2202" t="str">
        <f t="shared" si="174"/>
        <v/>
      </c>
    </row>
    <row r="2203" spans="1:18" x14ac:dyDescent="0.2">
      <c r="A2203" t="str">
        <f t="shared" si="173"/>
        <v/>
      </c>
      <c r="R2203" t="str">
        <f t="shared" si="174"/>
        <v/>
      </c>
    </row>
    <row r="2204" spans="1:18" x14ac:dyDescent="0.2">
      <c r="A2204" t="str">
        <f t="shared" si="173"/>
        <v/>
      </c>
      <c r="R2204" t="str">
        <f t="shared" si="174"/>
        <v/>
      </c>
    </row>
    <row r="2205" spans="1:18" x14ac:dyDescent="0.2">
      <c r="A2205" t="str">
        <f t="shared" si="173"/>
        <v/>
      </c>
      <c r="R2205" t="str">
        <f t="shared" si="174"/>
        <v/>
      </c>
    </row>
    <row r="2206" spans="1:18" x14ac:dyDescent="0.2">
      <c r="A2206" t="str">
        <f t="shared" si="173"/>
        <v/>
      </c>
      <c r="R2206" t="str">
        <f t="shared" si="174"/>
        <v/>
      </c>
    </row>
    <row r="2207" spans="1:18" x14ac:dyDescent="0.2">
      <c r="A2207" t="str">
        <f t="shared" si="173"/>
        <v/>
      </c>
      <c r="R2207" t="str">
        <f t="shared" si="174"/>
        <v/>
      </c>
    </row>
    <row r="2208" spans="1:18" x14ac:dyDescent="0.2">
      <c r="A2208" t="str">
        <f t="shared" si="173"/>
        <v/>
      </c>
      <c r="R2208" t="str">
        <f t="shared" si="174"/>
        <v/>
      </c>
    </row>
    <row r="2209" spans="1:18" x14ac:dyDescent="0.2">
      <c r="A2209" t="str">
        <f t="shared" si="173"/>
        <v/>
      </c>
      <c r="R2209" t="str">
        <f t="shared" si="174"/>
        <v/>
      </c>
    </row>
    <row r="2210" spans="1:18" x14ac:dyDescent="0.2">
      <c r="A2210" t="str">
        <f t="shared" si="173"/>
        <v/>
      </c>
      <c r="R2210" t="str">
        <f t="shared" si="174"/>
        <v/>
      </c>
    </row>
    <row r="2211" spans="1:18" x14ac:dyDescent="0.2">
      <c r="A2211" t="str">
        <f t="shared" si="173"/>
        <v/>
      </c>
      <c r="R2211" t="str">
        <f t="shared" si="174"/>
        <v/>
      </c>
    </row>
    <row r="2212" spans="1:18" x14ac:dyDescent="0.2">
      <c r="A2212" t="str">
        <f t="shared" si="173"/>
        <v/>
      </c>
      <c r="R2212" t="str">
        <f t="shared" si="174"/>
        <v/>
      </c>
    </row>
    <row r="2213" spans="1:18" x14ac:dyDescent="0.2">
      <c r="A2213" t="str">
        <f t="shared" si="173"/>
        <v/>
      </c>
      <c r="R2213" t="str">
        <f t="shared" si="174"/>
        <v/>
      </c>
    </row>
    <row r="2214" spans="1:18" x14ac:dyDescent="0.2">
      <c r="A2214" t="str">
        <f t="shared" si="173"/>
        <v/>
      </c>
      <c r="R2214" t="str">
        <f t="shared" si="174"/>
        <v/>
      </c>
    </row>
    <row r="2215" spans="1:18" x14ac:dyDescent="0.2">
      <c r="A2215" t="str">
        <f t="shared" si="173"/>
        <v/>
      </c>
      <c r="R2215" t="str">
        <f t="shared" si="174"/>
        <v/>
      </c>
    </row>
    <row r="2216" spans="1:18" x14ac:dyDescent="0.2">
      <c r="A2216" t="str">
        <f t="shared" si="173"/>
        <v/>
      </c>
      <c r="R2216" t="str">
        <f t="shared" si="174"/>
        <v/>
      </c>
    </row>
    <row r="2217" spans="1:18" x14ac:dyDescent="0.2">
      <c r="A2217" t="str">
        <f t="shared" si="173"/>
        <v/>
      </c>
      <c r="R2217" t="str">
        <f t="shared" si="174"/>
        <v/>
      </c>
    </row>
    <row r="2218" spans="1:18" x14ac:dyDescent="0.2">
      <c r="A2218" t="str">
        <f t="shared" si="173"/>
        <v/>
      </c>
      <c r="R2218" t="str">
        <f t="shared" si="174"/>
        <v/>
      </c>
    </row>
    <row r="2219" spans="1:18" x14ac:dyDescent="0.2">
      <c r="A2219" t="str">
        <f t="shared" si="173"/>
        <v/>
      </c>
      <c r="R2219" t="str">
        <f t="shared" si="174"/>
        <v/>
      </c>
    </row>
    <row r="2220" spans="1:18" x14ac:dyDescent="0.2">
      <c r="A2220" t="str">
        <f t="shared" si="173"/>
        <v/>
      </c>
      <c r="R2220" t="str">
        <f t="shared" si="174"/>
        <v/>
      </c>
    </row>
    <row r="2221" spans="1:18" x14ac:dyDescent="0.2">
      <c r="A2221" t="str">
        <f t="shared" si="173"/>
        <v/>
      </c>
      <c r="R2221" t="str">
        <f t="shared" si="174"/>
        <v/>
      </c>
    </row>
    <row r="2222" spans="1:18" x14ac:dyDescent="0.2">
      <c r="A2222" t="str">
        <f t="shared" si="173"/>
        <v/>
      </c>
      <c r="R2222" t="str">
        <f t="shared" si="174"/>
        <v/>
      </c>
    </row>
    <row r="2223" spans="1:18" x14ac:dyDescent="0.2">
      <c r="A2223" t="str">
        <f t="shared" si="173"/>
        <v/>
      </c>
      <c r="R2223" t="str">
        <f t="shared" si="174"/>
        <v/>
      </c>
    </row>
    <row r="2224" spans="1:18" x14ac:dyDescent="0.2">
      <c r="A2224" t="str">
        <f t="shared" si="173"/>
        <v/>
      </c>
      <c r="R2224" t="str">
        <f t="shared" si="174"/>
        <v/>
      </c>
    </row>
    <row r="2225" spans="1:18" x14ac:dyDescent="0.2">
      <c r="A2225" t="str">
        <f t="shared" si="173"/>
        <v/>
      </c>
      <c r="R2225" t="str">
        <f t="shared" si="174"/>
        <v/>
      </c>
    </row>
    <row r="2226" spans="1:18" x14ac:dyDescent="0.2">
      <c r="A2226" t="str">
        <f t="shared" si="173"/>
        <v/>
      </c>
      <c r="R2226" t="str">
        <f t="shared" si="174"/>
        <v/>
      </c>
    </row>
    <row r="2227" spans="1:18" x14ac:dyDescent="0.2">
      <c r="A2227" t="str">
        <f t="shared" si="173"/>
        <v/>
      </c>
      <c r="R2227" t="str">
        <f t="shared" si="174"/>
        <v/>
      </c>
    </row>
    <row r="2228" spans="1:18" x14ac:dyDescent="0.2">
      <c r="A2228" t="str">
        <f t="shared" si="173"/>
        <v/>
      </c>
      <c r="R2228" t="str">
        <f t="shared" si="174"/>
        <v/>
      </c>
    </row>
    <row r="2229" spans="1:18" x14ac:dyDescent="0.2">
      <c r="A2229" t="str">
        <f t="shared" si="173"/>
        <v/>
      </c>
      <c r="R2229" t="str">
        <f t="shared" si="174"/>
        <v/>
      </c>
    </row>
    <row r="2230" spans="1:18" x14ac:dyDescent="0.2">
      <c r="A2230" t="str">
        <f t="shared" si="173"/>
        <v/>
      </c>
      <c r="R2230" t="str">
        <f t="shared" si="174"/>
        <v/>
      </c>
    </row>
    <row r="2231" spans="1:18" x14ac:dyDescent="0.2">
      <c r="A2231" t="str">
        <f t="shared" si="173"/>
        <v/>
      </c>
      <c r="R2231" t="str">
        <f t="shared" si="174"/>
        <v/>
      </c>
    </row>
    <row r="2232" spans="1:18" x14ac:dyDescent="0.2">
      <c r="A2232" t="str">
        <f t="shared" si="173"/>
        <v/>
      </c>
      <c r="R2232" t="str">
        <f t="shared" si="174"/>
        <v/>
      </c>
    </row>
    <row r="2233" spans="1:18" x14ac:dyDescent="0.2">
      <c r="A2233" t="str">
        <f t="shared" si="173"/>
        <v/>
      </c>
      <c r="R2233" t="str">
        <f t="shared" si="174"/>
        <v/>
      </c>
    </row>
    <row r="2234" spans="1:18" x14ac:dyDescent="0.2">
      <c r="A2234" t="str">
        <f t="shared" si="173"/>
        <v/>
      </c>
      <c r="R2234" t="str">
        <f t="shared" si="174"/>
        <v/>
      </c>
    </row>
    <row r="2235" spans="1:18" x14ac:dyDescent="0.2">
      <c r="A2235" t="str">
        <f t="shared" si="173"/>
        <v/>
      </c>
      <c r="R2235" t="str">
        <f t="shared" si="174"/>
        <v/>
      </c>
    </row>
    <row r="2236" spans="1:18" x14ac:dyDescent="0.2">
      <c r="A2236" t="str">
        <f t="shared" si="173"/>
        <v/>
      </c>
      <c r="R2236" t="str">
        <f t="shared" si="174"/>
        <v/>
      </c>
    </row>
    <row r="2237" spans="1:18" x14ac:dyDescent="0.2">
      <c r="A2237" t="str">
        <f t="shared" si="173"/>
        <v/>
      </c>
      <c r="R2237" t="str">
        <f t="shared" si="174"/>
        <v/>
      </c>
    </row>
    <row r="2238" spans="1:18" x14ac:dyDescent="0.2">
      <c r="A2238" t="str">
        <f t="shared" si="173"/>
        <v/>
      </c>
      <c r="R2238" t="str">
        <f t="shared" si="174"/>
        <v/>
      </c>
    </row>
    <row r="2239" spans="1:18" x14ac:dyDescent="0.2">
      <c r="A2239" t="str">
        <f t="shared" si="173"/>
        <v/>
      </c>
      <c r="R2239" t="str">
        <f t="shared" si="174"/>
        <v/>
      </c>
    </row>
    <row r="2240" spans="1:18" x14ac:dyDescent="0.2">
      <c r="A2240" t="str">
        <f t="shared" si="173"/>
        <v/>
      </c>
      <c r="R2240" t="str">
        <f t="shared" si="174"/>
        <v/>
      </c>
    </row>
    <row r="2241" spans="1:18" x14ac:dyDescent="0.2">
      <c r="A2241" t="str">
        <f t="shared" si="173"/>
        <v/>
      </c>
      <c r="R2241" t="str">
        <f t="shared" si="174"/>
        <v/>
      </c>
    </row>
    <row r="2242" spans="1:18" x14ac:dyDescent="0.2">
      <c r="A2242" t="str">
        <f t="shared" si="173"/>
        <v/>
      </c>
      <c r="R2242" t="str">
        <f t="shared" si="174"/>
        <v/>
      </c>
    </row>
    <row r="2243" spans="1:18" x14ac:dyDescent="0.2">
      <c r="A2243" t="str">
        <f t="shared" ref="A2243:A2306" si="175">IFERROR(IF(OR(K2243="",I2243=0),"",D2243&amp;K2243&amp;I2243),"")</f>
        <v/>
      </c>
      <c r="R2243" t="str">
        <f t="shared" ref="R2243:R2306" si="176">G2243&amp;K2243&amp;N2243</f>
        <v/>
      </c>
    </row>
    <row r="2244" spans="1:18" x14ac:dyDescent="0.2">
      <c r="A2244" t="str">
        <f t="shared" si="175"/>
        <v/>
      </c>
      <c r="R2244" t="str">
        <f t="shared" si="176"/>
        <v/>
      </c>
    </row>
    <row r="2245" spans="1:18" x14ac:dyDescent="0.2">
      <c r="A2245" t="str">
        <f t="shared" si="175"/>
        <v/>
      </c>
      <c r="R2245" t="str">
        <f t="shared" si="176"/>
        <v/>
      </c>
    </row>
    <row r="2246" spans="1:18" x14ac:dyDescent="0.2">
      <c r="A2246" t="str">
        <f t="shared" si="175"/>
        <v/>
      </c>
      <c r="R2246" t="str">
        <f t="shared" si="176"/>
        <v/>
      </c>
    </row>
    <row r="2247" spans="1:18" x14ac:dyDescent="0.2">
      <c r="A2247" t="str">
        <f t="shared" si="175"/>
        <v/>
      </c>
      <c r="R2247" t="str">
        <f t="shared" si="176"/>
        <v/>
      </c>
    </row>
    <row r="2248" spans="1:18" x14ac:dyDescent="0.2">
      <c r="A2248" t="str">
        <f t="shared" si="175"/>
        <v/>
      </c>
      <c r="R2248" t="str">
        <f t="shared" si="176"/>
        <v/>
      </c>
    </row>
    <row r="2249" spans="1:18" x14ac:dyDescent="0.2">
      <c r="A2249" t="str">
        <f t="shared" si="175"/>
        <v/>
      </c>
      <c r="R2249" t="str">
        <f t="shared" si="176"/>
        <v/>
      </c>
    </row>
    <row r="2250" spans="1:18" x14ac:dyDescent="0.2">
      <c r="A2250" t="str">
        <f t="shared" si="175"/>
        <v/>
      </c>
      <c r="R2250" t="str">
        <f t="shared" si="176"/>
        <v/>
      </c>
    </row>
    <row r="2251" spans="1:18" x14ac:dyDescent="0.2">
      <c r="A2251" t="str">
        <f t="shared" si="175"/>
        <v/>
      </c>
      <c r="R2251" t="str">
        <f t="shared" si="176"/>
        <v/>
      </c>
    </row>
    <row r="2252" spans="1:18" x14ac:dyDescent="0.2">
      <c r="A2252" t="str">
        <f t="shared" si="175"/>
        <v/>
      </c>
      <c r="R2252" t="str">
        <f t="shared" si="176"/>
        <v/>
      </c>
    </row>
    <row r="2253" spans="1:18" x14ac:dyDescent="0.2">
      <c r="A2253" t="str">
        <f t="shared" si="175"/>
        <v/>
      </c>
      <c r="R2253" t="str">
        <f t="shared" si="176"/>
        <v/>
      </c>
    </row>
    <row r="2254" spans="1:18" x14ac:dyDescent="0.2">
      <c r="A2254" t="str">
        <f t="shared" si="175"/>
        <v/>
      </c>
      <c r="R2254" t="str">
        <f t="shared" si="176"/>
        <v/>
      </c>
    </row>
    <row r="2255" spans="1:18" x14ac:dyDescent="0.2">
      <c r="A2255" t="str">
        <f t="shared" si="175"/>
        <v/>
      </c>
      <c r="R2255" t="str">
        <f t="shared" si="176"/>
        <v/>
      </c>
    </row>
    <row r="2256" spans="1:18" x14ac:dyDescent="0.2">
      <c r="A2256" t="str">
        <f t="shared" si="175"/>
        <v/>
      </c>
      <c r="R2256" t="str">
        <f t="shared" si="176"/>
        <v/>
      </c>
    </row>
    <row r="2257" spans="1:18" x14ac:dyDescent="0.2">
      <c r="A2257" t="str">
        <f t="shared" si="175"/>
        <v/>
      </c>
      <c r="R2257" t="str">
        <f t="shared" si="176"/>
        <v/>
      </c>
    </row>
    <row r="2258" spans="1:18" x14ac:dyDescent="0.2">
      <c r="A2258" t="str">
        <f t="shared" si="175"/>
        <v/>
      </c>
      <c r="R2258" t="str">
        <f t="shared" si="176"/>
        <v/>
      </c>
    </row>
    <row r="2259" spans="1:18" x14ac:dyDescent="0.2">
      <c r="A2259" t="str">
        <f t="shared" si="175"/>
        <v/>
      </c>
      <c r="R2259" t="str">
        <f t="shared" si="176"/>
        <v/>
      </c>
    </row>
    <row r="2260" spans="1:18" x14ac:dyDescent="0.2">
      <c r="A2260" t="str">
        <f t="shared" si="175"/>
        <v/>
      </c>
      <c r="R2260" t="str">
        <f t="shared" si="176"/>
        <v/>
      </c>
    </row>
    <row r="2261" spans="1:18" x14ac:dyDescent="0.2">
      <c r="A2261" t="str">
        <f t="shared" si="175"/>
        <v/>
      </c>
      <c r="R2261" t="str">
        <f t="shared" si="176"/>
        <v/>
      </c>
    </row>
    <row r="2262" spans="1:18" x14ac:dyDescent="0.2">
      <c r="A2262" t="str">
        <f t="shared" si="175"/>
        <v/>
      </c>
      <c r="R2262" t="str">
        <f t="shared" si="176"/>
        <v/>
      </c>
    </row>
    <row r="2263" spans="1:18" x14ac:dyDescent="0.2">
      <c r="A2263" t="str">
        <f t="shared" si="175"/>
        <v/>
      </c>
      <c r="R2263" t="str">
        <f t="shared" si="176"/>
        <v/>
      </c>
    </row>
    <row r="2264" spans="1:18" x14ac:dyDescent="0.2">
      <c r="A2264" t="str">
        <f t="shared" si="175"/>
        <v/>
      </c>
      <c r="R2264" t="str">
        <f t="shared" si="176"/>
        <v/>
      </c>
    </row>
    <row r="2265" spans="1:18" x14ac:dyDescent="0.2">
      <c r="A2265" t="str">
        <f t="shared" si="175"/>
        <v/>
      </c>
      <c r="R2265" t="str">
        <f t="shared" si="176"/>
        <v/>
      </c>
    </row>
    <row r="2266" spans="1:18" x14ac:dyDescent="0.2">
      <c r="A2266" t="str">
        <f t="shared" si="175"/>
        <v/>
      </c>
      <c r="R2266" t="str">
        <f t="shared" si="176"/>
        <v/>
      </c>
    </row>
    <row r="2267" spans="1:18" x14ac:dyDescent="0.2">
      <c r="A2267" t="str">
        <f t="shared" si="175"/>
        <v/>
      </c>
      <c r="R2267" t="str">
        <f t="shared" si="176"/>
        <v/>
      </c>
    </row>
    <row r="2268" spans="1:18" x14ac:dyDescent="0.2">
      <c r="A2268" t="str">
        <f t="shared" si="175"/>
        <v/>
      </c>
      <c r="R2268" t="str">
        <f t="shared" si="176"/>
        <v/>
      </c>
    </row>
    <row r="2269" spans="1:18" x14ac:dyDescent="0.2">
      <c r="A2269" t="str">
        <f t="shared" si="175"/>
        <v/>
      </c>
      <c r="R2269" t="str">
        <f t="shared" si="176"/>
        <v/>
      </c>
    </row>
    <row r="2270" spans="1:18" x14ac:dyDescent="0.2">
      <c r="A2270" t="str">
        <f t="shared" si="175"/>
        <v/>
      </c>
      <c r="R2270" t="str">
        <f t="shared" si="176"/>
        <v/>
      </c>
    </row>
    <row r="2271" spans="1:18" x14ac:dyDescent="0.2">
      <c r="A2271" t="str">
        <f t="shared" si="175"/>
        <v/>
      </c>
      <c r="R2271" t="str">
        <f t="shared" si="176"/>
        <v/>
      </c>
    </row>
    <row r="2272" spans="1:18" x14ac:dyDescent="0.2">
      <c r="A2272" t="str">
        <f t="shared" si="175"/>
        <v/>
      </c>
      <c r="R2272" t="str">
        <f t="shared" si="176"/>
        <v/>
      </c>
    </row>
    <row r="2273" spans="1:18" x14ac:dyDescent="0.2">
      <c r="A2273" t="str">
        <f t="shared" si="175"/>
        <v/>
      </c>
      <c r="R2273" t="str">
        <f t="shared" si="176"/>
        <v/>
      </c>
    </row>
    <row r="2274" spans="1:18" x14ac:dyDescent="0.2">
      <c r="A2274" t="str">
        <f t="shared" si="175"/>
        <v/>
      </c>
      <c r="R2274" t="str">
        <f t="shared" si="176"/>
        <v/>
      </c>
    </row>
    <row r="2275" spans="1:18" x14ac:dyDescent="0.2">
      <c r="A2275" t="str">
        <f t="shared" si="175"/>
        <v/>
      </c>
      <c r="R2275" t="str">
        <f t="shared" si="176"/>
        <v/>
      </c>
    </row>
    <row r="2276" spans="1:18" x14ac:dyDescent="0.2">
      <c r="A2276" t="str">
        <f t="shared" si="175"/>
        <v/>
      </c>
      <c r="R2276" t="str">
        <f t="shared" si="176"/>
        <v/>
      </c>
    </row>
    <row r="2277" spans="1:18" x14ac:dyDescent="0.2">
      <c r="A2277" t="str">
        <f t="shared" si="175"/>
        <v/>
      </c>
      <c r="R2277" t="str">
        <f t="shared" si="176"/>
        <v/>
      </c>
    </row>
    <row r="2278" spans="1:18" x14ac:dyDescent="0.2">
      <c r="A2278" t="str">
        <f t="shared" si="175"/>
        <v/>
      </c>
      <c r="R2278" t="str">
        <f t="shared" si="176"/>
        <v/>
      </c>
    </row>
    <row r="2279" spans="1:18" x14ac:dyDescent="0.2">
      <c r="A2279" t="str">
        <f t="shared" si="175"/>
        <v/>
      </c>
      <c r="R2279" t="str">
        <f t="shared" si="176"/>
        <v/>
      </c>
    </row>
    <row r="2280" spans="1:18" x14ac:dyDescent="0.2">
      <c r="A2280" t="str">
        <f t="shared" si="175"/>
        <v/>
      </c>
      <c r="R2280" t="str">
        <f t="shared" si="176"/>
        <v/>
      </c>
    </row>
    <row r="2281" spans="1:18" x14ac:dyDescent="0.2">
      <c r="A2281" t="str">
        <f t="shared" si="175"/>
        <v/>
      </c>
      <c r="R2281" t="str">
        <f t="shared" si="176"/>
        <v/>
      </c>
    </row>
    <row r="2282" spans="1:18" x14ac:dyDescent="0.2">
      <c r="A2282" t="str">
        <f t="shared" si="175"/>
        <v/>
      </c>
      <c r="R2282" t="str">
        <f t="shared" si="176"/>
        <v/>
      </c>
    </row>
    <row r="2283" spans="1:18" x14ac:dyDescent="0.2">
      <c r="A2283" t="str">
        <f t="shared" si="175"/>
        <v/>
      </c>
      <c r="R2283" t="str">
        <f t="shared" si="176"/>
        <v/>
      </c>
    </row>
    <row r="2284" spans="1:18" x14ac:dyDescent="0.2">
      <c r="A2284" t="str">
        <f t="shared" si="175"/>
        <v/>
      </c>
      <c r="R2284" t="str">
        <f t="shared" si="176"/>
        <v/>
      </c>
    </row>
    <row r="2285" spans="1:18" x14ac:dyDescent="0.2">
      <c r="A2285" t="str">
        <f t="shared" si="175"/>
        <v/>
      </c>
      <c r="R2285" t="str">
        <f t="shared" si="176"/>
        <v/>
      </c>
    </row>
    <row r="2286" spans="1:18" x14ac:dyDescent="0.2">
      <c r="A2286" t="str">
        <f t="shared" si="175"/>
        <v/>
      </c>
      <c r="R2286" t="str">
        <f t="shared" si="176"/>
        <v/>
      </c>
    </row>
    <row r="2287" spans="1:18" x14ac:dyDescent="0.2">
      <c r="A2287" t="str">
        <f t="shared" si="175"/>
        <v/>
      </c>
      <c r="R2287" t="str">
        <f t="shared" si="176"/>
        <v/>
      </c>
    </row>
    <row r="2288" spans="1:18" x14ac:dyDescent="0.2">
      <c r="A2288" t="str">
        <f t="shared" si="175"/>
        <v/>
      </c>
      <c r="R2288" t="str">
        <f t="shared" si="176"/>
        <v/>
      </c>
    </row>
    <row r="2289" spans="1:18" x14ac:dyDescent="0.2">
      <c r="A2289" t="str">
        <f t="shared" si="175"/>
        <v/>
      </c>
      <c r="R2289" t="str">
        <f t="shared" si="176"/>
        <v/>
      </c>
    </row>
    <row r="2290" spans="1:18" x14ac:dyDescent="0.2">
      <c r="A2290" t="str">
        <f t="shared" si="175"/>
        <v/>
      </c>
      <c r="R2290" t="str">
        <f t="shared" si="176"/>
        <v/>
      </c>
    </row>
    <row r="2291" spans="1:18" x14ac:dyDescent="0.2">
      <c r="A2291" t="str">
        <f t="shared" si="175"/>
        <v/>
      </c>
      <c r="R2291" t="str">
        <f t="shared" si="176"/>
        <v/>
      </c>
    </row>
    <row r="2292" spans="1:18" x14ac:dyDescent="0.2">
      <c r="A2292" t="str">
        <f t="shared" si="175"/>
        <v/>
      </c>
      <c r="R2292" t="str">
        <f t="shared" si="176"/>
        <v/>
      </c>
    </row>
    <row r="2293" spans="1:18" x14ac:dyDescent="0.2">
      <c r="A2293" t="str">
        <f t="shared" si="175"/>
        <v/>
      </c>
      <c r="R2293" t="str">
        <f t="shared" si="176"/>
        <v/>
      </c>
    </row>
    <row r="2294" spans="1:18" x14ac:dyDescent="0.2">
      <c r="A2294" t="str">
        <f t="shared" si="175"/>
        <v/>
      </c>
      <c r="R2294" t="str">
        <f t="shared" si="176"/>
        <v/>
      </c>
    </row>
    <row r="2295" spans="1:18" x14ac:dyDescent="0.2">
      <c r="A2295" t="str">
        <f t="shared" si="175"/>
        <v/>
      </c>
      <c r="R2295" t="str">
        <f t="shared" si="176"/>
        <v/>
      </c>
    </row>
    <row r="2296" spans="1:18" x14ac:dyDescent="0.2">
      <c r="A2296" t="str">
        <f t="shared" si="175"/>
        <v/>
      </c>
      <c r="R2296" t="str">
        <f t="shared" si="176"/>
        <v/>
      </c>
    </row>
    <row r="2297" spans="1:18" x14ac:dyDescent="0.2">
      <c r="A2297" t="str">
        <f t="shared" si="175"/>
        <v/>
      </c>
      <c r="R2297" t="str">
        <f t="shared" si="176"/>
        <v/>
      </c>
    </row>
    <row r="2298" spans="1:18" x14ac:dyDescent="0.2">
      <c r="A2298" t="str">
        <f t="shared" si="175"/>
        <v/>
      </c>
      <c r="R2298" t="str">
        <f t="shared" si="176"/>
        <v/>
      </c>
    </row>
    <row r="2299" spans="1:18" x14ac:dyDescent="0.2">
      <c r="A2299" t="str">
        <f t="shared" si="175"/>
        <v/>
      </c>
      <c r="R2299" t="str">
        <f t="shared" si="176"/>
        <v/>
      </c>
    </row>
    <row r="2300" spans="1:18" x14ac:dyDescent="0.2">
      <c r="A2300" t="str">
        <f t="shared" si="175"/>
        <v/>
      </c>
      <c r="R2300" t="str">
        <f t="shared" si="176"/>
        <v/>
      </c>
    </row>
    <row r="2301" spans="1:18" x14ac:dyDescent="0.2">
      <c r="A2301" t="str">
        <f t="shared" si="175"/>
        <v/>
      </c>
      <c r="R2301" t="str">
        <f t="shared" si="176"/>
        <v/>
      </c>
    </row>
    <row r="2302" spans="1:18" x14ac:dyDescent="0.2">
      <c r="A2302" t="str">
        <f t="shared" si="175"/>
        <v/>
      </c>
      <c r="R2302" t="str">
        <f t="shared" si="176"/>
        <v/>
      </c>
    </row>
    <row r="2303" spans="1:18" x14ac:dyDescent="0.2">
      <c r="A2303" t="str">
        <f t="shared" si="175"/>
        <v/>
      </c>
      <c r="R2303" t="str">
        <f t="shared" si="176"/>
        <v/>
      </c>
    </row>
    <row r="2304" spans="1:18" x14ac:dyDescent="0.2">
      <c r="A2304" t="str">
        <f t="shared" si="175"/>
        <v/>
      </c>
      <c r="R2304" t="str">
        <f t="shared" si="176"/>
        <v/>
      </c>
    </row>
    <row r="2305" spans="1:18" x14ac:dyDescent="0.2">
      <c r="A2305" t="str">
        <f t="shared" si="175"/>
        <v/>
      </c>
      <c r="R2305" t="str">
        <f t="shared" si="176"/>
        <v/>
      </c>
    </row>
    <row r="2306" spans="1:18" x14ac:dyDescent="0.2">
      <c r="A2306" t="str">
        <f t="shared" si="175"/>
        <v/>
      </c>
      <c r="R2306" t="str">
        <f t="shared" si="176"/>
        <v/>
      </c>
    </row>
    <row r="2307" spans="1:18" x14ac:dyDescent="0.2">
      <c r="A2307" t="str">
        <f t="shared" ref="A2307:A2370" si="177">IFERROR(IF(OR(K2307="",I2307=0),"",D2307&amp;K2307&amp;I2307),"")</f>
        <v/>
      </c>
      <c r="R2307" t="str">
        <f t="shared" ref="R2307:R2370" si="178">G2307&amp;K2307&amp;N2307</f>
        <v/>
      </c>
    </row>
    <row r="2308" spans="1:18" x14ac:dyDescent="0.2">
      <c r="A2308" t="str">
        <f t="shared" si="177"/>
        <v/>
      </c>
      <c r="R2308" t="str">
        <f t="shared" si="178"/>
        <v/>
      </c>
    </row>
    <row r="2309" spans="1:18" x14ac:dyDescent="0.2">
      <c r="A2309" t="str">
        <f t="shared" si="177"/>
        <v/>
      </c>
      <c r="R2309" t="str">
        <f t="shared" si="178"/>
        <v/>
      </c>
    </row>
    <row r="2310" spans="1:18" x14ac:dyDescent="0.2">
      <c r="A2310" t="str">
        <f t="shared" si="177"/>
        <v/>
      </c>
      <c r="R2310" t="str">
        <f t="shared" si="178"/>
        <v/>
      </c>
    </row>
    <row r="2311" spans="1:18" x14ac:dyDescent="0.2">
      <c r="A2311" t="str">
        <f t="shared" si="177"/>
        <v/>
      </c>
      <c r="R2311" t="str">
        <f t="shared" si="178"/>
        <v/>
      </c>
    </row>
    <row r="2312" spans="1:18" x14ac:dyDescent="0.2">
      <c r="A2312" t="str">
        <f t="shared" si="177"/>
        <v/>
      </c>
      <c r="R2312" t="str">
        <f t="shared" si="178"/>
        <v/>
      </c>
    </row>
    <row r="2313" spans="1:18" x14ac:dyDescent="0.2">
      <c r="A2313" t="str">
        <f t="shared" si="177"/>
        <v/>
      </c>
      <c r="R2313" t="str">
        <f t="shared" si="178"/>
        <v/>
      </c>
    </row>
    <row r="2314" spans="1:18" x14ac:dyDescent="0.2">
      <c r="A2314" t="str">
        <f t="shared" si="177"/>
        <v/>
      </c>
      <c r="R2314" t="str">
        <f t="shared" si="178"/>
        <v/>
      </c>
    </row>
    <row r="2315" spans="1:18" x14ac:dyDescent="0.2">
      <c r="A2315" t="str">
        <f t="shared" si="177"/>
        <v/>
      </c>
      <c r="R2315" t="str">
        <f t="shared" si="178"/>
        <v/>
      </c>
    </row>
    <row r="2316" spans="1:18" x14ac:dyDescent="0.2">
      <c r="A2316" t="str">
        <f t="shared" si="177"/>
        <v/>
      </c>
      <c r="R2316" t="str">
        <f t="shared" si="178"/>
        <v/>
      </c>
    </row>
    <row r="2317" spans="1:18" x14ac:dyDescent="0.2">
      <c r="A2317" t="str">
        <f t="shared" si="177"/>
        <v/>
      </c>
      <c r="R2317" t="str">
        <f t="shared" si="178"/>
        <v/>
      </c>
    </row>
    <row r="2318" spans="1:18" x14ac:dyDescent="0.2">
      <c r="A2318" t="str">
        <f t="shared" si="177"/>
        <v/>
      </c>
      <c r="R2318" t="str">
        <f t="shared" si="178"/>
        <v/>
      </c>
    </row>
    <row r="2319" spans="1:18" x14ac:dyDescent="0.2">
      <c r="A2319" t="str">
        <f t="shared" si="177"/>
        <v/>
      </c>
      <c r="R2319" t="str">
        <f t="shared" si="178"/>
        <v/>
      </c>
    </row>
    <row r="2320" spans="1:18" x14ac:dyDescent="0.2">
      <c r="A2320" t="str">
        <f t="shared" si="177"/>
        <v/>
      </c>
      <c r="R2320" t="str">
        <f t="shared" si="178"/>
        <v/>
      </c>
    </row>
    <row r="2321" spans="1:18" x14ac:dyDescent="0.2">
      <c r="A2321" t="str">
        <f t="shared" si="177"/>
        <v/>
      </c>
      <c r="R2321" t="str">
        <f t="shared" si="178"/>
        <v/>
      </c>
    </row>
    <row r="2322" spans="1:18" x14ac:dyDescent="0.2">
      <c r="A2322" t="str">
        <f t="shared" si="177"/>
        <v/>
      </c>
      <c r="R2322" t="str">
        <f t="shared" si="178"/>
        <v/>
      </c>
    </row>
    <row r="2323" spans="1:18" x14ac:dyDescent="0.2">
      <c r="A2323" t="str">
        <f t="shared" si="177"/>
        <v/>
      </c>
      <c r="R2323" t="str">
        <f t="shared" si="178"/>
        <v/>
      </c>
    </row>
    <row r="2324" spans="1:18" x14ac:dyDescent="0.2">
      <c r="A2324" t="str">
        <f t="shared" si="177"/>
        <v/>
      </c>
      <c r="R2324" t="str">
        <f t="shared" si="178"/>
        <v/>
      </c>
    </row>
    <row r="2325" spans="1:18" x14ac:dyDescent="0.2">
      <c r="A2325" t="str">
        <f t="shared" si="177"/>
        <v/>
      </c>
      <c r="R2325" t="str">
        <f t="shared" si="178"/>
        <v/>
      </c>
    </row>
    <row r="2326" spans="1:18" x14ac:dyDescent="0.2">
      <c r="A2326" t="str">
        <f t="shared" si="177"/>
        <v/>
      </c>
      <c r="R2326" t="str">
        <f t="shared" si="178"/>
        <v/>
      </c>
    </row>
    <row r="2327" spans="1:18" x14ac:dyDescent="0.2">
      <c r="A2327" t="str">
        <f t="shared" si="177"/>
        <v/>
      </c>
      <c r="R2327" t="str">
        <f t="shared" si="178"/>
        <v/>
      </c>
    </row>
    <row r="2328" spans="1:18" x14ac:dyDescent="0.2">
      <c r="A2328" t="str">
        <f t="shared" si="177"/>
        <v/>
      </c>
      <c r="R2328" t="str">
        <f t="shared" si="178"/>
        <v/>
      </c>
    </row>
    <row r="2329" spans="1:18" x14ac:dyDescent="0.2">
      <c r="A2329" t="str">
        <f t="shared" si="177"/>
        <v/>
      </c>
      <c r="R2329" t="str">
        <f t="shared" si="178"/>
        <v/>
      </c>
    </row>
    <row r="2330" spans="1:18" x14ac:dyDescent="0.2">
      <c r="A2330" t="str">
        <f t="shared" si="177"/>
        <v/>
      </c>
      <c r="R2330" t="str">
        <f t="shared" si="178"/>
        <v/>
      </c>
    </row>
    <row r="2331" spans="1:18" x14ac:dyDescent="0.2">
      <c r="A2331" t="str">
        <f t="shared" si="177"/>
        <v/>
      </c>
      <c r="R2331" t="str">
        <f t="shared" si="178"/>
        <v/>
      </c>
    </row>
    <row r="2332" spans="1:18" x14ac:dyDescent="0.2">
      <c r="A2332" t="str">
        <f t="shared" si="177"/>
        <v/>
      </c>
      <c r="R2332" t="str">
        <f t="shared" si="178"/>
        <v/>
      </c>
    </row>
    <row r="2333" spans="1:18" x14ac:dyDescent="0.2">
      <c r="A2333" t="str">
        <f t="shared" si="177"/>
        <v/>
      </c>
      <c r="R2333" t="str">
        <f t="shared" si="178"/>
        <v/>
      </c>
    </row>
    <row r="2334" spans="1:18" x14ac:dyDescent="0.2">
      <c r="A2334" t="str">
        <f t="shared" si="177"/>
        <v/>
      </c>
      <c r="R2334" t="str">
        <f t="shared" si="178"/>
        <v/>
      </c>
    </row>
    <row r="2335" spans="1:18" x14ac:dyDescent="0.2">
      <c r="A2335" t="str">
        <f t="shared" si="177"/>
        <v/>
      </c>
      <c r="R2335" t="str">
        <f t="shared" si="178"/>
        <v/>
      </c>
    </row>
    <row r="2336" spans="1:18" x14ac:dyDescent="0.2">
      <c r="A2336" t="str">
        <f t="shared" si="177"/>
        <v/>
      </c>
      <c r="R2336" t="str">
        <f t="shared" si="178"/>
        <v/>
      </c>
    </row>
    <row r="2337" spans="1:18" x14ac:dyDescent="0.2">
      <c r="A2337" t="str">
        <f t="shared" si="177"/>
        <v/>
      </c>
      <c r="R2337" t="str">
        <f t="shared" si="178"/>
        <v/>
      </c>
    </row>
    <row r="2338" spans="1:18" x14ac:dyDescent="0.2">
      <c r="A2338" t="str">
        <f t="shared" si="177"/>
        <v/>
      </c>
      <c r="R2338" t="str">
        <f t="shared" si="178"/>
        <v/>
      </c>
    </row>
    <row r="2339" spans="1:18" x14ac:dyDescent="0.2">
      <c r="A2339" t="str">
        <f t="shared" si="177"/>
        <v/>
      </c>
      <c r="R2339" t="str">
        <f t="shared" si="178"/>
        <v/>
      </c>
    </row>
    <row r="2340" spans="1:18" x14ac:dyDescent="0.2">
      <c r="A2340" t="str">
        <f t="shared" si="177"/>
        <v/>
      </c>
      <c r="R2340" t="str">
        <f t="shared" si="178"/>
        <v/>
      </c>
    </row>
    <row r="2341" spans="1:18" x14ac:dyDescent="0.2">
      <c r="A2341" t="str">
        <f t="shared" si="177"/>
        <v/>
      </c>
      <c r="R2341" t="str">
        <f t="shared" si="178"/>
        <v/>
      </c>
    </row>
    <row r="2342" spans="1:18" x14ac:dyDescent="0.2">
      <c r="A2342" t="str">
        <f t="shared" si="177"/>
        <v/>
      </c>
      <c r="R2342" t="str">
        <f t="shared" si="178"/>
        <v/>
      </c>
    </row>
    <row r="2343" spans="1:18" x14ac:dyDescent="0.2">
      <c r="A2343" t="str">
        <f t="shared" si="177"/>
        <v/>
      </c>
      <c r="R2343" t="str">
        <f t="shared" si="178"/>
        <v/>
      </c>
    </row>
    <row r="2344" spans="1:18" x14ac:dyDescent="0.2">
      <c r="A2344" t="str">
        <f t="shared" si="177"/>
        <v/>
      </c>
      <c r="R2344" t="str">
        <f t="shared" si="178"/>
        <v/>
      </c>
    </row>
    <row r="2345" spans="1:18" x14ac:dyDescent="0.2">
      <c r="A2345" t="str">
        <f t="shared" si="177"/>
        <v/>
      </c>
      <c r="R2345" t="str">
        <f t="shared" si="178"/>
        <v/>
      </c>
    </row>
    <row r="2346" spans="1:18" x14ac:dyDescent="0.2">
      <c r="A2346" t="str">
        <f t="shared" si="177"/>
        <v/>
      </c>
      <c r="R2346" t="str">
        <f t="shared" si="178"/>
        <v/>
      </c>
    </row>
    <row r="2347" spans="1:18" x14ac:dyDescent="0.2">
      <c r="A2347" t="str">
        <f t="shared" si="177"/>
        <v/>
      </c>
      <c r="R2347" t="str">
        <f t="shared" si="178"/>
        <v/>
      </c>
    </row>
    <row r="2348" spans="1:18" x14ac:dyDescent="0.2">
      <c r="A2348" t="str">
        <f t="shared" si="177"/>
        <v/>
      </c>
      <c r="R2348" t="str">
        <f t="shared" si="178"/>
        <v/>
      </c>
    </row>
    <row r="2349" spans="1:18" x14ac:dyDescent="0.2">
      <c r="A2349" t="str">
        <f t="shared" si="177"/>
        <v/>
      </c>
      <c r="R2349" t="str">
        <f t="shared" si="178"/>
        <v/>
      </c>
    </row>
    <row r="2350" spans="1:18" x14ac:dyDescent="0.2">
      <c r="A2350" t="str">
        <f t="shared" si="177"/>
        <v/>
      </c>
      <c r="R2350" t="str">
        <f t="shared" si="178"/>
        <v/>
      </c>
    </row>
    <row r="2351" spans="1:18" x14ac:dyDescent="0.2">
      <c r="A2351" t="str">
        <f t="shared" si="177"/>
        <v/>
      </c>
      <c r="R2351" t="str">
        <f t="shared" si="178"/>
        <v/>
      </c>
    </row>
    <row r="2352" spans="1:18" x14ac:dyDescent="0.2">
      <c r="A2352" t="str">
        <f t="shared" si="177"/>
        <v/>
      </c>
      <c r="R2352" t="str">
        <f t="shared" si="178"/>
        <v/>
      </c>
    </row>
    <row r="2353" spans="1:18" x14ac:dyDescent="0.2">
      <c r="A2353" t="str">
        <f t="shared" si="177"/>
        <v/>
      </c>
      <c r="R2353" t="str">
        <f t="shared" si="178"/>
        <v/>
      </c>
    </row>
    <row r="2354" spans="1:18" x14ac:dyDescent="0.2">
      <c r="A2354" t="str">
        <f t="shared" si="177"/>
        <v/>
      </c>
      <c r="R2354" t="str">
        <f t="shared" si="178"/>
        <v/>
      </c>
    </row>
    <row r="2355" spans="1:18" x14ac:dyDescent="0.2">
      <c r="A2355" t="str">
        <f t="shared" si="177"/>
        <v/>
      </c>
      <c r="R2355" t="str">
        <f t="shared" si="178"/>
        <v/>
      </c>
    </row>
    <row r="2356" spans="1:18" x14ac:dyDescent="0.2">
      <c r="A2356" t="str">
        <f t="shared" si="177"/>
        <v/>
      </c>
      <c r="R2356" t="str">
        <f t="shared" si="178"/>
        <v/>
      </c>
    </row>
    <row r="2357" spans="1:18" x14ac:dyDescent="0.2">
      <c r="A2357" t="str">
        <f t="shared" si="177"/>
        <v/>
      </c>
      <c r="R2357" t="str">
        <f t="shared" si="178"/>
        <v/>
      </c>
    </row>
    <row r="2358" spans="1:18" x14ac:dyDescent="0.2">
      <c r="A2358" t="str">
        <f t="shared" si="177"/>
        <v/>
      </c>
      <c r="R2358" t="str">
        <f t="shared" si="178"/>
        <v/>
      </c>
    </row>
    <row r="2359" spans="1:18" x14ac:dyDescent="0.2">
      <c r="A2359" t="str">
        <f t="shared" si="177"/>
        <v/>
      </c>
      <c r="R2359" t="str">
        <f t="shared" si="178"/>
        <v/>
      </c>
    </row>
    <row r="2360" spans="1:18" x14ac:dyDescent="0.2">
      <c r="A2360" t="str">
        <f t="shared" si="177"/>
        <v/>
      </c>
      <c r="R2360" t="str">
        <f t="shared" si="178"/>
        <v/>
      </c>
    </row>
    <row r="2361" spans="1:18" x14ac:dyDescent="0.2">
      <c r="A2361" t="str">
        <f t="shared" si="177"/>
        <v/>
      </c>
      <c r="R2361" t="str">
        <f t="shared" si="178"/>
        <v/>
      </c>
    </row>
    <row r="2362" spans="1:18" x14ac:dyDescent="0.2">
      <c r="A2362" t="str">
        <f t="shared" si="177"/>
        <v/>
      </c>
      <c r="R2362" t="str">
        <f t="shared" si="178"/>
        <v/>
      </c>
    </row>
    <row r="2363" spans="1:18" x14ac:dyDescent="0.2">
      <c r="A2363" t="str">
        <f t="shared" si="177"/>
        <v/>
      </c>
      <c r="R2363" t="str">
        <f t="shared" si="178"/>
        <v/>
      </c>
    </row>
    <row r="2364" spans="1:18" x14ac:dyDescent="0.2">
      <c r="A2364" t="str">
        <f t="shared" si="177"/>
        <v/>
      </c>
      <c r="R2364" t="str">
        <f t="shared" si="178"/>
        <v/>
      </c>
    </row>
    <row r="2365" spans="1:18" x14ac:dyDescent="0.2">
      <c r="A2365" t="str">
        <f t="shared" si="177"/>
        <v/>
      </c>
      <c r="R2365" t="str">
        <f t="shared" si="178"/>
        <v/>
      </c>
    </row>
    <row r="2366" spans="1:18" x14ac:dyDescent="0.2">
      <c r="A2366" t="str">
        <f t="shared" si="177"/>
        <v/>
      </c>
      <c r="R2366" t="str">
        <f t="shared" si="178"/>
        <v/>
      </c>
    </row>
    <row r="2367" spans="1:18" x14ac:dyDescent="0.2">
      <c r="A2367" t="str">
        <f t="shared" si="177"/>
        <v/>
      </c>
      <c r="R2367" t="str">
        <f t="shared" si="178"/>
        <v/>
      </c>
    </row>
    <row r="2368" spans="1:18" x14ac:dyDescent="0.2">
      <c r="A2368" t="str">
        <f t="shared" si="177"/>
        <v/>
      </c>
      <c r="R2368" t="str">
        <f t="shared" si="178"/>
        <v/>
      </c>
    </row>
    <row r="2369" spans="1:18" x14ac:dyDescent="0.2">
      <c r="A2369" t="str">
        <f t="shared" si="177"/>
        <v/>
      </c>
      <c r="R2369" t="str">
        <f t="shared" si="178"/>
        <v/>
      </c>
    </row>
    <row r="2370" spans="1:18" x14ac:dyDescent="0.2">
      <c r="A2370" t="str">
        <f t="shared" si="177"/>
        <v/>
      </c>
      <c r="R2370" t="str">
        <f t="shared" si="178"/>
        <v/>
      </c>
    </row>
    <row r="2371" spans="1:18" x14ac:dyDescent="0.2">
      <c r="A2371" t="str">
        <f t="shared" ref="A2371:A2434" si="179">IFERROR(IF(OR(K2371="",I2371=0),"",D2371&amp;K2371&amp;I2371),"")</f>
        <v/>
      </c>
      <c r="R2371" t="str">
        <f t="shared" ref="R2371:R2434" si="180">G2371&amp;K2371&amp;N2371</f>
        <v/>
      </c>
    </row>
    <row r="2372" spans="1:18" x14ac:dyDescent="0.2">
      <c r="A2372" t="str">
        <f t="shared" si="179"/>
        <v/>
      </c>
      <c r="R2372" t="str">
        <f t="shared" si="180"/>
        <v/>
      </c>
    </row>
    <row r="2373" spans="1:18" x14ac:dyDescent="0.2">
      <c r="A2373" t="str">
        <f t="shared" si="179"/>
        <v/>
      </c>
      <c r="R2373" t="str">
        <f t="shared" si="180"/>
        <v/>
      </c>
    </row>
    <row r="2374" spans="1:18" x14ac:dyDescent="0.2">
      <c r="A2374" t="str">
        <f t="shared" si="179"/>
        <v/>
      </c>
      <c r="R2374" t="str">
        <f t="shared" si="180"/>
        <v/>
      </c>
    </row>
    <row r="2375" spans="1:18" x14ac:dyDescent="0.2">
      <c r="A2375" t="str">
        <f t="shared" si="179"/>
        <v/>
      </c>
      <c r="R2375" t="str">
        <f t="shared" si="180"/>
        <v/>
      </c>
    </row>
    <row r="2376" spans="1:18" x14ac:dyDescent="0.2">
      <c r="A2376" t="str">
        <f t="shared" si="179"/>
        <v/>
      </c>
      <c r="R2376" t="str">
        <f t="shared" si="180"/>
        <v/>
      </c>
    </row>
    <row r="2377" spans="1:18" x14ac:dyDescent="0.2">
      <c r="A2377" t="str">
        <f t="shared" si="179"/>
        <v/>
      </c>
      <c r="R2377" t="str">
        <f t="shared" si="180"/>
        <v/>
      </c>
    </row>
    <row r="2378" spans="1:18" x14ac:dyDescent="0.2">
      <c r="A2378" t="str">
        <f t="shared" si="179"/>
        <v/>
      </c>
      <c r="R2378" t="str">
        <f t="shared" si="180"/>
        <v/>
      </c>
    </row>
    <row r="2379" spans="1:18" x14ac:dyDescent="0.2">
      <c r="A2379" t="str">
        <f t="shared" si="179"/>
        <v/>
      </c>
      <c r="R2379" t="str">
        <f t="shared" si="180"/>
        <v/>
      </c>
    </row>
    <row r="2380" spans="1:18" x14ac:dyDescent="0.2">
      <c r="A2380" t="str">
        <f t="shared" si="179"/>
        <v/>
      </c>
      <c r="R2380" t="str">
        <f t="shared" si="180"/>
        <v/>
      </c>
    </row>
    <row r="2381" spans="1:18" x14ac:dyDescent="0.2">
      <c r="A2381" t="str">
        <f t="shared" si="179"/>
        <v/>
      </c>
      <c r="R2381" t="str">
        <f t="shared" si="180"/>
        <v/>
      </c>
    </row>
    <row r="2382" spans="1:18" x14ac:dyDescent="0.2">
      <c r="A2382" t="str">
        <f t="shared" si="179"/>
        <v/>
      </c>
      <c r="R2382" t="str">
        <f t="shared" si="180"/>
        <v/>
      </c>
    </row>
    <row r="2383" spans="1:18" x14ac:dyDescent="0.2">
      <c r="A2383" t="str">
        <f t="shared" si="179"/>
        <v/>
      </c>
      <c r="R2383" t="str">
        <f t="shared" si="180"/>
        <v/>
      </c>
    </row>
    <row r="2384" spans="1:18" x14ac:dyDescent="0.2">
      <c r="A2384" t="str">
        <f t="shared" si="179"/>
        <v/>
      </c>
      <c r="R2384" t="str">
        <f t="shared" si="180"/>
        <v/>
      </c>
    </row>
    <row r="2385" spans="1:18" x14ac:dyDescent="0.2">
      <c r="A2385" t="str">
        <f t="shared" si="179"/>
        <v/>
      </c>
      <c r="R2385" t="str">
        <f t="shared" si="180"/>
        <v/>
      </c>
    </row>
    <row r="2386" spans="1:18" x14ac:dyDescent="0.2">
      <c r="A2386" t="str">
        <f t="shared" si="179"/>
        <v/>
      </c>
      <c r="R2386" t="str">
        <f t="shared" si="180"/>
        <v/>
      </c>
    </row>
    <row r="2387" spans="1:18" x14ac:dyDescent="0.2">
      <c r="A2387" t="str">
        <f t="shared" si="179"/>
        <v/>
      </c>
      <c r="R2387" t="str">
        <f t="shared" si="180"/>
        <v/>
      </c>
    </row>
    <row r="2388" spans="1:18" x14ac:dyDescent="0.2">
      <c r="A2388" t="str">
        <f t="shared" si="179"/>
        <v/>
      </c>
      <c r="R2388" t="str">
        <f t="shared" si="180"/>
        <v/>
      </c>
    </row>
    <row r="2389" spans="1:18" x14ac:dyDescent="0.2">
      <c r="A2389" t="str">
        <f t="shared" si="179"/>
        <v/>
      </c>
      <c r="R2389" t="str">
        <f t="shared" si="180"/>
        <v/>
      </c>
    </row>
    <row r="2390" spans="1:18" x14ac:dyDescent="0.2">
      <c r="A2390" t="str">
        <f t="shared" si="179"/>
        <v/>
      </c>
      <c r="R2390" t="str">
        <f t="shared" si="180"/>
        <v/>
      </c>
    </row>
    <row r="2391" spans="1:18" x14ac:dyDescent="0.2">
      <c r="A2391" t="str">
        <f t="shared" si="179"/>
        <v/>
      </c>
      <c r="R2391" t="str">
        <f t="shared" si="180"/>
        <v/>
      </c>
    </row>
    <row r="2392" spans="1:18" x14ac:dyDescent="0.2">
      <c r="A2392" t="str">
        <f t="shared" si="179"/>
        <v/>
      </c>
      <c r="R2392" t="str">
        <f t="shared" si="180"/>
        <v/>
      </c>
    </row>
    <row r="2393" spans="1:18" x14ac:dyDescent="0.2">
      <c r="A2393" t="str">
        <f t="shared" si="179"/>
        <v/>
      </c>
      <c r="R2393" t="str">
        <f t="shared" si="180"/>
        <v/>
      </c>
    </row>
    <row r="2394" spans="1:18" x14ac:dyDescent="0.2">
      <c r="A2394" t="str">
        <f t="shared" si="179"/>
        <v/>
      </c>
      <c r="R2394" t="str">
        <f t="shared" si="180"/>
        <v/>
      </c>
    </row>
    <row r="2395" spans="1:18" x14ac:dyDescent="0.2">
      <c r="A2395" t="str">
        <f t="shared" si="179"/>
        <v/>
      </c>
      <c r="R2395" t="str">
        <f t="shared" si="180"/>
        <v/>
      </c>
    </row>
    <row r="2396" spans="1:18" x14ac:dyDescent="0.2">
      <c r="A2396" t="str">
        <f t="shared" si="179"/>
        <v/>
      </c>
      <c r="R2396" t="str">
        <f t="shared" si="180"/>
        <v/>
      </c>
    </row>
    <row r="2397" spans="1:18" x14ac:dyDescent="0.2">
      <c r="A2397" t="str">
        <f t="shared" si="179"/>
        <v/>
      </c>
      <c r="R2397" t="str">
        <f t="shared" si="180"/>
        <v/>
      </c>
    </row>
    <row r="2398" spans="1:18" x14ac:dyDescent="0.2">
      <c r="A2398" t="str">
        <f t="shared" si="179"/>
        <v/>
      </c>
      <c r="R2398" t="str">
        <f t="shared" si="180"/>
        <v/>
      </c>
    </row>
    <row r="2399" spans="1:18" x14ac:dyDescent="0.2">
      <c r="A2399" t="str">
        <f t="shared" si="179"/>
        <v/>
      </c>
      <c r="R2399" t="str">
        <f t="shared" si="180"/>
        <v/>
      </c>
    </row>
    <row r="2400" spans="1:18" x14ac:dyDescent="0.2">
      <c r="A2400" t="str">
        <f t="shared" si="179"/>
        <v/>
      </c>
      <c r="R2400" t="str">
        <f t="shared" si="180"/>
        <v/>
      </c>
    </row>
    <row r="2401" spans="1:18" x14ac:dyDescent="0.2">
      <c r="A2401" t="str">
        <f t="shared" si="179"/>
        <v/>
      </c>
      <c r="R2401" t="str">
        <f t="shared" si="180"/>
        <v/>
      </c>
    </row>
    <row r="2402" spans="1:18" x14ac:dyDescent="0.2">
      <c r="A2402" t="str">
        <f t="shared" si="179"/>
        <v/>
      </c>
      <c r="R2402" t="str">
        <f t="shared" si="180"/>
        <v/>
      </c>
    </row>
    <row r="2403" spans="1:18" x14ac:dyDescent="0.2">
      <c r="A2403" t="str">
        <f t="shared" si="179"/>
        <v/>
      </c>
      <c r="R2403" t="str">
        <f t="shared" si="180"/>
        <v/>
      </c>
    </row>
    <row r="2404" spans="1:18" x14ac:dyDescent="0.2">
      <c r="A2404" t="str">
        <f t="shared" si="179"/>
        <v/>
      </c>
      <c r="R2404" t="str">
        <f t="shared" si="180"/>
        <v/>
      </c>
    </row>
    <row r="2405" spans="1:18" x14ac:dyDescent="0.2">
      <c r="A2405" t="str">
        <f t="shared" si="179"/>
        <v/>
      </c>
      <c r="R2405" t="str">
        <f t="shared" si="180"/>
        <v/>
      </c>
    </row>
    <row r="2406" spans="1:18" x14ac:dyDescent="0.2">
      <c r="A2406" t="str">
        <f t="shared" si="179"/>
        <v/>
      </c>
      <c r="R2406" t="str">
        <f t="shared" si="180"/>
        <v/>
      </c>
    </row>
    <row r="2407" spans="1:18" x14ac:dyDescent="0.2">
      <c r="A2407" t="str">
        <f t="shared" si="179"/>
        <v/>
      </c>
      <c r="R2407" t="str">
        <f t="shared" si="180"/>
        <v/>
      </c>
    </row>
    <row r="2408" spans="1:18" x14ac:dyDescent="0.2">
      <c r="A2408" t="str">
        <f t="shared" si="179"/>
        <v/>
      </c>
      <c r="R2408" t="str">
        <f t="shared" si="180"/>
        <v/>
      </c>
    </row>
    <row r="2409" spans="1:18" x14ac:dyDescent="0.2">
      <c r="A2409" t="str">
        <f t="shared" si="179"/>
        <v/>
      </c>
      <c r="R2409" t="str">
        <f t="shared" si="180"/>
        <v/>
      </c>
    </row>
    <row r="2410" spans="1:18" x14ac:dyDescent="0.2">
      <c r="A2410" t="str">
        <f t="shared" si="179"/>
        <v/>
      </c>
      <c r="R2410" t="str">
        <f t="shared" si="180"/>
        <v/>
      </c>
    </row>
    <row r="2411" spans="1:18" x14ac:dyDescent="0.2">
      <c r="A2411" t="str">
        <f t="shared" si="179"/>
        <v/>
      </c>
      <c r="R2411" t="str">
        <f t="shared" si="180"/>
        <v/>
      </c>
    </row>
    <row r="2412" spans="1:18" x14ac:dyDescent="0.2">
      <c r="A2412" t="str">
        <f t="shared" si="179"/>
        <v/>
      </c>
      <c r="R2412" t="str">
        <f t="shared" si="180"/>
        <v/>
      </c>
    </row>
    <row r="2413" spans="1:18" x14ac:dyDescent="0.2">
      <c r="A2413" t="str">
        <f t="shared" si="179"/>
        <v/>
      </c>
      <c r="R2413" t="str">
        <f t="shared" si="180"/>
        <v/>
      </c>
    </row>
    <row r="2414" spans="1:18" x14ac:dyDescent="0.2">
      <c r="A2414" t="str">
        <f t="shared" si="179"/>
        <v/>
      </c>
      <c r="R2414" t="str">
        <f t="shared" si="180"/>
        <v/>
      </c>
    </row>
    <row r="2415" spans="1:18" x14ac:dyDescent="0.2">
      <c r="A2415" t="str">
        <f t="shared" si="179"/>
        <v/>
      </c>
      <c r="R2415" t="str">
        <f t="shared" si="180"/>
        <v/>
      </c>
    </row>
    <row r="2416" spans="1:18" x14ac:dyDescent="0.2">
      <c r="A2416" t="str">
        <f t="shared" si="179"/>
        <v/>
      </c>
      <c r="R2416" t="str">
        <f t="shared" si="180"/>
        <v/>
      </c>
    </row>
    <row r="2417" spans="1:18" x14ac:dyDescent="0.2">
      <c r="A2417" t="str">
        <f t="shared" si="179"/>
        <v/>
      </c>
      <c r="R2417" t="str">
        <f t="shared" si="180"/>
        <v/>
      </c>
    </row>
    <row r="2418" spans="1:18" x14ac:dyDescent="0.2">
      <c r="A2418" t="str">
        <f t="shared" si="179"/>
        <v/>
      </c>
      <c r="R2418" t="str">
        <f t="shared" si="180"/>
        <v/>
      </c>
    </row>
    <row r="2419" spans="1:18" x14ac:dyDescent="0.2">
      <c r="A2419" t="str">
        <f t="shared" si="179"/>
        <v/>
      </c>
      <c r="R2419" t="str">
        <f t="shared" si="180"/>
        <v/>
      </c>
    </row>
    <row r="2420" spans="1:18" x14ac:dyDescent="0.2">
      <c r="A2420" t="str">
        <f t="shared" si="179"/>
        <v/>
      </c>
      <c r="R2420" t="str">
        <f t="shared" si="180"/>
        <v/>
      </c>
    </row>
    <row r="2421" spans="1:18" x14ac:dyDescent="0.2">
      <c r="A2421" t="str">
        <f t="shared" si="179"/>
        <v/>
      </c>
      <c r="R2421" t="str">
        <f t="shared" si="180"/>
        <v/>
      </c>
    </row>
    <row r="2422" spans="1:18" x14ac:dyDescent="0.2">
      <c r="A2422" t="str">
        <f t="shared" si="179"/>
        <v/>
      </c>
      <c r="R2422" t="str">
        <f t="shared" si="180"/>
        <v/>
      </c>
    </row>
    <row r="2423" spans="1:18" x14ac:dyDescent="0.2">
      <c r="A2423" t="str">
        <f t="shared" si="179"/>
        <v/>
      </c>
      <c r="R2423" t="str">
        <f t="shared" si="180"/>
        <v/>
      </c>
    </row>
    <row r="2424" spans="1:18" x14ac:dyDescent="0.2">
      <c r="A2424" t="str">
        <f t="shared" si="179"/>
        <v/>
      </c>
      <c r="R2424" t="str">
        <f t="shared" si="180"/>
        <v/>
      </c>
    </row>
    <row r="2425" spans="1:18" x14ac:dyDescent="0.2">
      <c r="A2425" t="str">
        <f t="shared" si="179"/>
        <v/>
      </c>
      <c r="R2425" t="str">
        <f t="shared" si="180"/>
        <v/>
      </c>
    </row>
    <row r="2426" spans="1:18" x14ac:dyDescent="0.2">
      <c r="A2426" t="str">
        <f t="shared" si="179"/>
        <v/>
      </c>
      <c r="R2426" t="str">
        <f t="shared" si="180"/>
        <v/>
      </c>
    </row>
    <row r="2427" spans="1:18" x14ac:dyDescent="0.2">
      <c r="A2427" t="str">
        <f t="shared" si="179"/>
        <v/>
      </c>
      <c r="R2427" t="str">
        <f t="shared" si="180"/>
        <v/>
      </c>
    </row>
    <row r="2428" spans="1:18" x14ac:dyDescent="0.2">
      <c r="A2428" t="str">
        <f t="shared" si="179"/>
        <v/>
      </c>
      <c r="R2428" t="str">
        <f t="shared" si="180"/>
        <v/>
      </c>
    </row>
    <row r="2429" spans="1:18" x14ac:dyDescent="0.2">
      <c r="A2429" t="str">
        <f t="shared" si="179"/>
        <v/>
      </c>
      <c r="R2429" t="str">
        <f t="shared" si="180"/>
        <v/>
      </c>
    </row>
    <row r="2430" spans="1:18" x14ac:dyDescent="0.2">
      <c r="A2430" t="str">
        <f t="shared" si="179"/>
        <v/>
      </c>
      <c r="R2430" t="str">
        <f t="shared" si="180"/>
        <v/>
      </c>
    </row>
    <row r="2431" spans="1:18" x14ac:dyDescent="0.2">
      <c r="A2431" t="str">
        <f t="shared" si="179"/>
        <v/>
      </c>
      <c r="R2431" t="str">
        <f t="shared" si="180"/>
        <v/>
      </c>
    </row>
    <row r="2432" spans="1:18" x14ac:dyDescent="0.2">
      <c r="A2432" t="str">
        <f t="shared" si="179"/>
        <v/>
      </c>
      <c r="R2432" t="str">
        <f t="shared" si="180"/>
        <v/>
      </c>
    </row>
    <row r="2433" spans="1:18" x14ac:dyDescent="0.2">
      <c r="A2433" t="str">
        <f t="shared" si="179"/>
        <v/>
      </c>
      <c r="R2433" t="str">
        <f t="shared" si="180"/>
        <v/>
      </c>
    </row>
    <row r="2434" spans="1:18" x14ac:dyDescent="0.2">
      <c r="A2434" t="str">
        <f t="shared" si="179"/>
        <v/>
      </c>
      <c r="R2434" t="str">
        <f t="shared" si="180"/>
        <v/>
      </c>
    </row>
    <row r="2435" spans="1:18" x14ac:dyDescent="0.2">
      <c r="A2435" t="str">
        <f t="shared" ref="A2435:A2498" si="181">IFERROR(IF(OR(K2435="",I2435=0),"",D2435&amp;K2435&amp;I2435),"")</f>
        <v/>
      </c>
      <c r="R2435" t="str">
        <f t="shared" ref="R2435:R2498" si="182">G2435&amp;K2435&amp;N2435</f>
        <v/>
      </c>
    </row>
    <row r="2436" spans="1:18" x14ac:dyDescent="0.2">
      <c r="A2436" t="str">
        <f t="shared" si="181"/>
        <v/>
      </c>
      <c r="R2436" t="str">
        <f t="shared" si="182"/>
        <v/>
      </c>
    </row>
    <row r="2437" spans="1:18" x14ac:dyDescent="0.2">
      <c r="A2437" t="str">
        <f t="shared" si="181"/>
        <v/>
      </c>
      <c r="R2437" t="str">
        <f t="shared" si="182"/>
        <v/>
      </c>
    </row>
    <row r="2438" spans="1:18" x14ac:dyDescent="0.2">
      <c r="A2438" t="str">
        <f t="shared" si="181"/>
        <v/>
      </c>
      <c r="R2438" t="str">
        <f t="shared" si="182"/>
        <v/>
      </c>
    </row>
    <row r="2439" spans="1:18" x14ac:dyDescent="0.2">
      <c r="A2439" t="str">
        <f t="shared" si="181"/>
        <v/>
      </c>
      <c r="R2439" t="str">
        <f t="shared" si="182"/>
        <v/>
      </c>
    </row>
    <row r="2440" spans="1:18" x14ac:dyDescent="0.2">
      <c r="A2440" t="str">
        <f t="shared" si="181"/>
        <v/>
      </c>
      <c r="R2440" t="str">
        <f t="shared" si="182"/>
        <v/>
      </c>
    </row>
    <row r="2441" spans="1:18" x14ac:dyDescent="0.2">
      <c r="A2441" t="str">
        <f t="shared" si="181"/>
        <v/>
      </c>
      <c r="R2441" t="str">
        <f t="shared" si="182"/>
        <v/>
      </c>
    </row>
    <row r="2442" spans="1:18" x14ac:dyDescent="0.2">
      <c r="A2442" t="str">
        <f t="shared" si="181"/>
        <v/>
      </c>
      <c r="R2442" t="str">
        <f t="shared" si="182"/>
        <v/>
      </c>
    </row>
    <row r="2443" spans="1:18" x14ac:dyDescent="0.2">
      <c r="A2443" t="str">
        <f t="shared" si="181"/>
        <v/>
      </c>
      <c r="R2443" t="str">
        <f t="shared" si="182"/>
        <v/>
      </c>
    </row>
    <row r="2444" spans="1:18" x14ac:dyDescent="0.2">
      <c r="A2444" t="str">
        <f t="shared" si="181"/>
        <v/>
      </c>
      <c r="R2444" t="str">
        <f t="shared" si="182"/>
        <v/>
      </c>
    </row>
    <row r="2445" spans="1:18" x14ac:dyDescent="0.2">
      <c r="A2445" t="str">
        <f t="shared" si="181"/>
        <v/>
      </c>
      <c r="R2445" t="str">
        <f t="shared" si="182"/>
        <v/>
      </c>
    </row>
    <row r="2446" spans="1:18" x14ac:dyDescent="0.2">
      <c r="A2446" t="str">
        <f t="shared" si="181"/>
        <v/>
      </c>
      <c r="R2446" t="str">
        <f t="shared" si="182"/>
        <v/>
      </c>
    </row>
    <row r="2447" spans="1:18" x14ac:dyDescent="0.2">
      <c r="A2447" t="str">
        <f t="shared" si="181"/>
        <v/>
      </c>
      <c r="R2447" t="str">
        <f t="shared" si="182"/>
        <v/>
      </c>
    </row>
    <row r="2448" spans="1:18" x14ac:dyDescent="0.2">
      <c r="A2448" t="str">
        <f t="shared" si="181"/>
        <v/>
      </c>
      <c r="R2448" t="str">
        <f t="shared" si="182"/>
        <v/>
      </c>
    </row>
    <row r="2449" spans="1:18" x14ac:dyDescent="0.2">
      <c r="A2449" t="str">
        <f t="shared" si="181"/>
        <v/>
      </c>
      <c r="R2449" t="str">
        <f t="shared" si="182"/>
        <v/>
      </c>
    </row>
    <row r="2450" spans="1:18" x14ac:dyDescent="0.2">
      <c r="A2450" t="str">
        <f t="shared" si="181"/>
        <v/>
      </c>
      <c r="R2450" t="str">
        <f t="shared" si="182"/>
        <v/>
      </c>
    </row>
    <row r="2451" spans="1:18" x14ac:dyDescent="0.2">
      <c r="A2451" t="str">
        <f t="shared" si="181"/>
        <v/>
      </c>
      <c r="R2451" t="str">
        <f t="shared" si="182"/>
        <v/>
      </c>
    </row>
    <row r="2452" spans="1:18" x14ac:dyDescent="0.2">
      <c r="A2452" t="str">
        <f t="shared" si="181"/>
        <v/>
      </c>
      <c r="R2452" t="str">
        <f t="shared" si="182"/>
        <v/>
      </c>
    </row>
    <row r="2453" spans="1:18" x14ac:dyDescent="0.2">
      <c r="A2453" t="str">
        <f t="shared" si="181"/>
        <v/>
      </c>
      <c r="R2453" t="str">
        <f t="shared" si="182"/>
        <v/>
      </c>
    </row>
    <row r="2454" spans="1:18" x14ac:dyDescent="0.2">
      <c r="A2454" t="str">
        <f t="shared" si="181"/>
        <v/>
      </c>
      <c r="R2454" t="str">
        <f t="shared" si="182"/>
        <v/>
      </c>
    </row>
    <row r="2455" spans="1:18" x14ac:dyDescent="0.2">
      <c r="A2455" t="str">
        <f t="shared" si="181"/>
        <v/>
      </c>
      <c r="R2455" t="str">
        <f t="shared" si="182"/>
        <v/>
      </c>
    </row>
    <row r="2456" spans="1:18" x14ac:dyDescent="0.2">
      <c r="A2456" t="str">
        <f t="shared" si="181"/>
        <v/>
      </c>
      <c r="R2456" t="str">
        <f t="shared" si="182"/>
        <v/>
      </c>
    </row>
    <row r="2457" spans="1:18" x14ac:dyDescent="0.2">
      <c r="A2457" t="str">
        <f t="shared" si="181"/>
        <v/>
      </c>
      <c r="R2457" t="str">
        <f t="shared" si="182"/>
        <v/>
      </c>
    </row>
    <row r="2458" spans="1:18" x14ac:dyDescent="0.2">
      <c r="A2458" t="str">
        <f t="shared" si="181"/>
        <v/>
      </c>
      <c r="R2458" t="str">
        <f t="shared" si="182"/>
        <v/>
      </c>
    </row>
    <row r="2459" spans="1:18" x14ac:dyDescent="0.2">
      <c r="A2459" t="str">
        <f t="shared" si="181"/>
        <v/>
      </c>
      <c r="R2459" t="str">
        <f t="shared" si="182"/>
        <v/>
      </c>
    </row>
    <row r="2460" spans="1:18" x14ac:dyDescent="0.2">
      <c r="A2460" t="str">
        <f t="shared" si="181"/>
        <v/>
      </c>
      <c r="R2460" t="str">
        <f t="shared" si="182"/>
        <v/>
      </c>
    </row>
    <row r="2461" spans="1:18" x14ac:dyDescent="0.2">
      <c r="A2461" t="str">
        <f t="shared" si="181"/>
        <v/>
      </c>
      <c r="R2461" t="str">
        <f t="shared" si="182"/>
        <v/>
      </c>
    </row>
    <row r="2462" spans="1:18" x14ac:dyDescent="0.2">
      <c r="A2462" t="str">
        <f t="shared" si="181"/>
        <v/>
      </c>
      <c r="R2462" t="str">
        <f t="shared" si="182"/>
        <v/>
      </c>
    </row>
    <row r="2463" spans="1:18" x14ac:dyDescent="0.2">
      <c r="A2463" t="str">
        <f t="shared" si="181"/>
        <v/>
      </c>
      <c r="R2463" t="str">
        <f t="shared" si="182"/>
        <v/>
      </c>
    </row>
    <row r="2464" spans="1:18" x14ac:dyDescent="0.2">
      <c r="A2464" t="str">
        <f t="shared" si="181"/>
        <v/>
      </c>
      <c r="R2464" t="str">
        <f t="shared" si="182"/>
        <v/>
      </c>
    </row>
    <row r="2465" spans="1:18" x14ac:dyDescent="0.2">
      <c r="A2465" t="str">
        <f t="shared" si="181"/>
        <v/>
      </c>
      <c r="R2465" t="str">
        <f t="shared" si="182"/>
        <v/>
      </c>
    </row>
    <row r="2466" spans="1:18" x14ac:dyDescent="0.2">
      <c r="A2466" t="str">
        <f t="shared" si="181"/>
        <v/>
      </c>
      <c r="R2466" t="str">
        <f t="shared" si="182"/>
        <v/>
      </c>
    </row>
    <row r="2467" spans="1:18" x14ac:dyDescent="0.2">
      <c r="A2467" t="str">
        <f t="shared" si="181"/>
        <v/>
      </c>
      <c r="R2467" t="str">
        <f t="shared" si="182"/>
        <v/>
      </c>
    </row>
    <row r="2468" spans="1:18" x14ac:dyDescent="0.2">
      <c r="A2468" t="str">
        <f t="shared" si="181"/>
        <v/>
      </c>
      <c r="R2468" t="str">
        <f t="shared" si="182"/>
        <v/>
      </c>
    </row>
    <row r="2469" spans="1:18" x14ac:dyDescent="0.2">
      <c r="A2469" t="str">
        <f t="shared" si="181"/>
        <v/>
      </c>
      <c r="R2469" t="str">
        <f t="shared" si="182"/>
        <v/>
      </c>
    </row>
    <row r="2470" spans="1:18" x14ac:dyDescent="0.2">
      <c r="A2470" t="str">
        <f t="shared" si="181"/>
        <v/>
      </c>
      <c r="R2470" t="str">
        <f t="shared" si="182"/>
        <v/>
      </c>
    </row>
    <row r="2471" spans="1:18" x14ac:dyDescent="0.2">
      <c r="A2471" t="str">
        <f t="shared" si="181"/>
        <v/>
      </c>
      <c r="R2471" t="str">
        <f t="shared" si="182"/>
        <v/>
      </c>
    </row>
    <row r="2472" spans="1:18" x14ac:dyDescent="0.2">
      <c r="A2472" t="str">
        <f t="shared" si="181"/>
        <v/>
      </c>
      <c r="R2472" t="str">
        <f t="shared" si="182"/>
        <v/>
      </c>
    </row>
    <row r="2473" spans="1:18" x14ac:dyDescent="0.2">
      <c r="A2473" t="str">
        <f t="shared" si="181"/>
        <v/>
      </c>
      <c r="R2473" t="str">
        <f t="shared" si="182"/>
        <v/>
      </c>
    </row>
    <row r="2474" spans="1:18" x14ac:dyDescent="0.2">
      <c r="A2474" t="str">
        <f t="shared" si="181"/>
        <v/>
      </c>
      <c r="R2474" t="str">
        <f t="shared" si="182"/>
        <v/>
      </c>
    </row>
    <row r="2475" spans="1:18" x14ac:dyDescent="0.2">
      <c r="A2475" t="str">
        <f t="shared" si="181"/>
        <v/>
      </c>
      <c r="R2475" t="str">
        <f t="shared" si="182"/>
        <v/>
      </c>
    </row>
    <row r="2476" spans="1:18" x14ac:dyDescent="0.2">
      <c r="A2476" t="str">
        <f t="shared" si="181"/>
        <v/>
      </c>
      <c r="R2476" t="str">
        <f t="shared" si="182"/>
        <v/>
      </c>
    </row>
    <row r="2477" spans="1:18" x14ac:dyDescent="0.2">
      <c r="A2477" t="str">
        <f t="shared" si="181"/>
        <v/>
      </c>
      <c r="R2477" t="str">
        <f t="shared" si="182"/>
        <v/>
      </c>
    </row>
    <row r="2478" spans="1:18" x14ac:dyDescent="0.2">
      <c r="A2478" t="str">
        <f t="shared" si="181"/>
        <v/>
      </c>
      <c r="R2478" t="str">
        <f t="shared" si="182"/>
        <v/>
      </c>
    </row>
    <row r="2479" spans="1:18" x14ac:dyDescent="0.2">
      <c r="A2479" t="str">
        <f t="shared" si="181"/>
        <v/>
      </c>
      <c r="R2479" t="str">
        <f t="shared" si="182"/>
        <v/>
      </c>
    </row>
    <row r="2480" spans="1:18" x14ac:dyDescent="0.2">
      <c r="A2480" t="str">
        <f t="shared" si="181"/>
        <v/>
      </c>
      <c r="R2480" t="str">
        <f t="shared" si="182"/>
        <v/>
      </c>
    </row>
    <row r="2481" spans="1:18" x14ac:dyDescent="0.2">
      <c r="A2481" t="str">
        <f t="shared" si="181"/>
        <v/>
      </c>
      <c r="R2481" t="str">
        <f t="shared" si="182"/>
        <v/>
      </c>
    </row>
    <row r="2482" spans="1:18" x14ac:dyDescent="0.2">
      <c r="A2482" t="str">
        <f t="shared" si="181"/>
        <v/>
      </c>
      <c r="R2482" t="str">
        <f t="shared" si="182"/>
        <v/>
      </c>
    </row>
    <row r="2483" spans="1:18" x14ac:dyDescent="0.2">
      <c r="A2483" t="str">
        <f t="shared" si="181"/>
        <v/>
      </c>
      <c r="R2483" t="str">
        <f t="shared" si="182"/>
        <v/>
      </c>
    </row>
    <row r="2484" spans="1:18" x14ac:dyDescent="0.2">
      <c r="A2484" t="str">
        <f t="shared" si="181"/>
        <v/>
      </c>
      <c r="R2484" t="str">
        <f t="shared" si="182"/>
        <v/>
      </c>
    </row>
    <row r="2485" spans="1:18" x14ac:dyDescent="0.2">
      <c r="A2485" t="str">
        <f t="shared" si="181"/>
        <v/>
      </c>
      <c r="R2485" t="str">
        <f t="shared" si="182"/>
        <v/>
      </c>
    </row>
    <row r="2486" spans="1:18" x14ac:dyDescent="0.2">
      <c r="A2486" t="str">
        <f t="shared" si="181"/>
        <v/>
      </c>
      <c r="R2486" t="str">
        <f t="shared" si="182"/>
        <v/>
      </c>
    </row>
    <row r="2487" spans="1:18" x14ac:dyDescent="0.2">
      <c r="A2487" t="str">
        <f t="shared" si="181"/>
        <v/>
      </c>
      <c r="R2487" t="str">
        <f t="shared" si="182"/>
        <v/>
      </c>
    </row>
    <row r="2488" spans="1:18" x14ac:dyDescent="0.2">
      <c r="A2488" t="str">
        <f t="shared" si="181"/>
        <v/>
      </c>
      <c r="R2488" t="str">
        <f t="shared" si="182"/>
        <v/>
      </c>
    </row>
    <row r="2489" spans="1:18" x14ac:dyDescent="0.2">
      <c r="A2489" t="str">
        <f t="shared" si="181"/>
        <v/>
      </c>
      <c r="R2489" t="str">
        <f t="shared" si="182"/>
        <v/>
      </c>
    </row>
    <row r="2490" spans="1:18" x14ac:dyDescent="0.2">
      <c r="A2490" t="str">
        <f t="shared" si="181"/>
        <v/>
      </c>
      <c r="R2490" t="str">
        <f t="shared" si="182"/>
        <v/>
      </c>
    </row>
    <row r="2491" spans="1:18" x14ac:dyDescent="0.2">
      <c r="A2491" t="str">
        <f t="shared" si="181"/>
        <v/>
      </c>
      <c r="R2491" t="str">
        <f t="shared" si="182"/>
        <v/>
      </c>
    </row>
    <row r="2492" spans="1:18" x14ac:dyDescent="0.2">
      <c r="A2492" t="str">
        <f t="shared" si="181"/>
        <v/>
      </c>
      <c r="R2492" t="str">
        <f t="shared" si="182"/>
        <v/>
      </c>
    </row>
    <row r="2493" spans="1:18" x14ac:dyDescent="0.2">
      <c r="A2493" t="str">
        <f t="shared" si="181"/>
        <v/>
      </c>
      <c r="R2493" t="str">
        <f t="shared" si="182"/>
        <v/>
      </c>
    </row>
    <row r="2494" spans="1:18" x14ac:dyDescent="0.2">
      <c r="A2494" t="str">
        <f t="shared" si="181"/>
        <v/>
      </c>
      <c r="R2494" t="str">
        <f t="shared" si="182"/>
        <v/>
      </c>
    </row>
    <row r="2495" spans="1:18" x14ac:dyDescent="0.2">
      <c r="A2495" t="str">
        <f t="shared" si="181"/>
        <v/>
      </c>
      <c r="R2495" t="str">
        <f t="shared" si="182"/>
        <v/>
      </c>
    </row>
    <row r="2496" spans="1:18" x14ac:dyDescent="0.2">
      <c r="A2496" t="str">
        <f t="shared" si="181"/>
        <v/>
      </c>
      <c r="R2496" t="str">
        <f t="shared" si="182"/>
        <v/>
      </c>
    </row>
    <row r="2497" spans="1:18" x14ac:dyDescent="0.2">
      <c r="A2497" t="str">
        <f t="shared" si="181"/>
        <v/>
      </c>
      <c r="R2497" t="str">
        <f t="shared" si="182"/>
        <v/>
      </c>
    </row>
    <row r="2498" spans="1:18" x14ac:dyDescent="0.2">
      <c r="A2498" t="str">
        <f t="shared" si="181"/>
        <v/>
      </c>
      <c r="R2498" t="str">
        <f t="shared" si="182"/>
        <v/>
      </c>
    </row>
    <row r="2499" spans="1:18" x14ac:dyDescent="0.2">
      <c r="A2499" t="str">
        <f t="shared" ref="A2499:A2562" si="183">IFERROR(IF(OR(K2499="",I2499=0),"",D2499&amp;K2499&amp;I2499),"")</f>
        <v/>
      </c>
      <c r="R2499" t="str">
        <f t="shared" ref="R2499:R2562" si="184">G2499&amp;K2499&amp;N2499</f>
        <v/>
      </c>
    </row>
    <row r="2500" spans="1:18" x14ac:dyDescent="0.2">
      <c r="A2500" t="str">
        <f t="shared" si="183"/>
        <v/>
      </c>
      <c r="R2500" t="str">
        <f t="shared" si="184"/>
        <v/>
      </c>
    </row>
    <row r="2501" spans="1:18" x14ac:dyDescent="0.2">
      <c r="A2501" t="str">
        <f t="shared" si="183"/>
        <v/>
      </c>
      <c r="R2501" t="str">
        <f t="shared" si="184"/>
        <v/>
      </c>
    </row>
    <row r="2502" spans="1:18" x14ac:dyDescent="0.2">
      <c r="A2502" t="str">
        <f t="shared" si="183"/>
        <v/>
      </c>
      <c r="R2502" t="str">
        <f t="shared" si="184"/>
        <v/>
      </c>
    </row>
    <row r="2503" spans="1:18" x14ac:dyDescent="0.2">
      <c r="A2503" t="str">
        <f t="shared" si="183"/>
        <v/>
      </c>
      <c r="R2503" t="str">
        <f t="shared" si="184"/>
        <v/>
      </c>
    </row>
    <row r="2504" spans="1:18" x14ac:dyDescent="0.2">
      <c r="A2504" t="str">
        <f t="shared" si="183"/>
        <v/>
      </c>
      <c r="R2504" t="str">
        <f t="shared" si="184"/>
        <v/>
      </c>
    </row>
    <row r="2505" spans="1:18" x14ac:dyDescent="0.2">
      <c r="A2505" t="str">
        <f t="shared" si="183"/>
        <v/>
      </c>
      <c r="R2505" t="str">
        <f t="shared" si="184"/>
        <v/>
      </c>
    </row>
    <row r="2506" spans="1:18" x14ac:dyDescent="0.2">
      <c r="A2506" t="str">
        <f t="shared" si="183"/>
        <v/>
      </c>
      <c r="R2506" t="str">
        <f t="shared" si="184"/>
        <v/>
      </c>
    </row>
    <row r="2507" spans="1:18" x14ac:dyDescent="0.2">
      <c r="A2507" t="str">
        <f t="shared" si="183"/>
        <v/>
      </c>
      <c r="R2507" t="str">
        <f t="shared" si="184"/>
        <v/>
      </c>
    </row>
    <row r="2508" spans="1:18" x14ac:dyDescent="0.2">
      <c r="A2508" t="str">
        <f t="shared" si="183"/>
        <v/>
      </c>
      <c r="R2508" t="str">
        <f t="shared" si="184"/>
        <v/>
      </c>
    </row>
    <row r="2509" spans="1:18" x14ac:dyDescent="0.2">
      <c r="A2509" t="str">
        <f t="shared" si="183"/>
        <v/>
      </c>
      <c r="R2509" t="str">
        <f t="shared" si="184"/>
        <v/>
      </c>
    </row>
    <row r="2510" spans="1:18" x14ac:dyDescent="0.2">
      <c r="A2510" t="str">
        <f t="shared" si="183"/>
        <v/>
      </c>
      <c r="R2510" t="str">
        <f t="shared" si="184"/>
        <v/>
      </c>
    </row>
    <row r="2511" spans="1:18" x14ac:dyDescent="0.2">
      <c r="A2511" t="str">
        <f t="shared" si="183"/>
        <v/>
      </c>
      <c r="R2511" t="str">
        <f t="shared" si="184"/>
        <v/>
      </c>
    </row>
    <row r="2512" spans="1:18" x14ac:dyDescent="0.2">
      <c r="A2512" t="str">
        <f t="shared" si="183"/>
        <v/>
      </c>
      <c r="R2512" t="str">
        <f t="shared" si="184"/>
        <v/>
      </c>
    </row>
    <row r="2513" spans="1:18" x14ac:dyDescent="0.2">
      <c r="A2513" t="str">
        <f t="shared" si="183"/>
        <v/>
      </c>
      <c r="R2513" t="str">
        <f t="shared" si="184"/>
        <v/>
      </c>
    </row>
    <row r="2514" spans="1:18" x14ac:dyDescent="0.2">
      <c r="A2514" t="str">
        <f t="shared" si="183"/>
        <v/>
      </c>
      <c r="R2514" t="str">
        <f t="shared" si="184"/>
        <v/>
      </c>
    </row>
    <row r="2515" spans="1:18" x14ac:dyDescent="0.2">
      <c r="A2515" t="str">
        <f t="shared" si="183"/>
        <v/>
      </c>
      <c r="R2515" t="str">
        <f t="shared" si="184"/>
        <v/>
      </c>
    </row>
    <row r="2516" spans="1:18" x14ac:dyDescent="0.2">
      <c r="A2516" t="str">
        <f t="shared" si="183"/>
        <v/>
      </c>
      <c r="R2516" t="str">
        <f t="shared" si="184"/>
        <v/>
      </c>
    </row>
    <row r="2517" spans="1:18" x14ac:dyDescent="0.2">
      <c r="A2517" t="str">
        <f t="shared" si="183"/>
        <v/>
      </c>
      <c r="R2517" t="str">
        <f t="shared" si="184"/>
        <v/>
      </c>
    </row>
    <row r="2518" spans="1:18" x14ac:dyDescent="0.2">
      <c r="A2518" t="str">
        <f t="shared" si="183"/>
        <v/>
      </c>
      <c r="R2518" t="str">
        <f t="shared" si="184"/>
        <v/>
      </c>
    </row>
    <row r="2519" spans="1:18" x14ac:dyDescent="0.2">
      <c r="A2519" t="str">
        <f t="shared" si="183"/>
        <v/>
      </c>
      <c r="R2519" t="str">
        <f t="shared" si="184"/>
        <v/>
      </c>
    </row>
    <row r="2520" spans="1:18" x14ac:dyDescent="0.2">
      <c r="A2520" t="str">
        <f t="shared" si="183"/>
        <v/>
      </c>
      <c r="R2520" t="str">
        <f t="shared" si="184"/>
        <v/>
      </c>
    </row>
    <row r="2521" spans="1:18" x14ac:dyDescent="0.2">
      <c r="A2521" t="str">
        <f t="shared" si="183"/>
        <v/>
      </c>
      <c r="R2521" t="str">
        <f t="shared" si="184"/>
        <v/>
      </c>
    </row>
    <row r="2522" spans="1:18" x14ac:dyDescent="0.2">
      <c r="A2522" t="str">
        <f t="shared" si="183"/>
        <v/>
      </c>
      <c r="R2522" t="str">
        <f t="shared" si="184"/>
        <v/>
      </c>
    </row>
    <row r="2523" spans="1:18" x14ac:dyDescent="0.2">
      <c r="A2523" t="str">
        <f t="shared" si="183"/>
        <v/>
      </c>
      <c r="R2523" t="str">
        <f t="shared" si="184"/>
        <v/>
      </c>
    </row>
    <row r="2524" spans="1:18" x14ac:dyDescent="0.2">
      <c r="A2524" t="str">
        <f t="shared" si="183"/>
        <v/>
      </c>
      <c r="R2524" t="str">
        <f t="shared" si="184"/>
        <v/>
      </c>
    </row>
    <row r="2525" spans="1:18" x14ac:dyDescent="0.2">
      <c r="A2525" t="str">
        <f t="shared" si="183"/>
        <v/>
      </c>
      <c r="R2525" t="str">
        <f t="shared" si="184"/>
        <v/>
      </c>
    </row>
    <row r="2526" spans="1:18" x14ac:dyDescent="0.2">
      <c r="A2526" t="str">
        <f t="shared" si="183"/>
        <v/>
      </c>
      <c r="R2526" t="str">
        <f t="shared" si="184"/>
        <v/>
      </c>
    </row>
    <row r="2527" spans="1:18" x14ac:dyDescent="0.2">
      <c r="A2527" t="str">
        <f t="shared" si="183"/>
        <v/>
      </c>
      <c r="R2527" t="str">
        <f t="shared" si="184"/>
        <v/>
      </c>
    </row>
    <row r="2528" spans="1:18" x14ac:dyDescent="0.2">
      <c r="A2528" t="str">
        <f t="shared" si="183"/>
        <v/>
      </c>
      <c r="R2528" t="str">
        <f t="shared" si="184"/>
        <v/>
      </c>
    </row>
    <row r="2529" spans="1:18" x14ac:dyDescent="0.2">
      <c r="A2529" t="str">
        <f t="shared" si="183"/>
        <v/>
      </c>
      <c r="R2529" t="str">
        <f t="shared" si="184"/>
        <v/>
      </c>
    </row>
    <row r="2530" spans="1:18" x14ac:dyDescent="0.2">
      <c r="A2530" t="str">
        <f t="shared" si="183"/>
        <v/>
      </c>
      <c r="R2530" t="str">
        <f t="shared" si="184"/>
        <v/>
      </c>
    </row>
    <row r="2531" spans="1:18" x14ac:dyDescent="0.2">
      <c r="A2531" t="str">
        <f t="shared" si="183"/>
        <v/>
      </c>
      <c r="R2531" t="str">
        <f t="shared" si="184"/>
        <v/>
      </c>
    </row>
    <row r="2532" spans="1:18" x14ac:dyDescent="0.2">
      <c r="A2532" t="str">
        <f t="shared" si="183"/>
        <v/>
      </c>
      <c r="R2532" t="str">
        <f t="shared" si="184"/>
        <v/>
      </c>
    </row>
    <row r="2533" spans="1:18" x14ac:dyDescent="0.2">
      <c r="A2533" t="str">
        <f t="shared" si="183"/>
        <v/>
      </c>
      <c r="R2533" t="str">
        <f t="shared" si="184"/>
        <v/>
      </c>
    </row>
    <row r="2534" spans="1:18" x14ac:dyDescent="0.2">
      <c r="A2534" t="str">
        <f t="shared" si="183"/>
        <v/>
      </c>
      <c r="R2534" t="str">
        <f t="shared" si="184"/>
        <v/>
      </c>
    </row>
    <row r="2535" spans="1:18" x14ac:dyDescent="0.2">
      <c r="A2535" t="str">
        <f t="shared" si="183"/>
        <v/>
      </c>
      <c r="R2535" t="str">
        <f t="shared" si="184"/>
        <v/>
      </c>
    </row>
    <row r="2536" spans="1:18" x14ac:dyDescent="0.2">
      <c r="A2536" t="str">
        <f t="shared" si="183"/>
        <v/>
      </c>
      <c r="R2536" t="str">
        <f t="shared" si="184"/>
        <v/>
      </c>
    </row>
    <row r="2537" spans="1:18" x14ac:dyDescent="0.2">
      <c r="A2537" t="str">
        <f t="shared" si="183"/>
        <v/>
      </c>
      <c r="R2537" t="str">
        <f t="shared" si="184"/>
        <v/>
      </c>
    </row>
    <row r="2538" spans="1:18" x14ac:dyDescent="0.2">
      <c r="A2538" t="str">
        <f t="shared" si="183"/>
        <v/>
      </c>
      <c r="R2538" t="str">
        <f t="shared" si="184"/>
        <v/>
      </c>
    </row>
    <row r="2539" spans="1:18" x14ac:dyDescent="0.2">
      <c r="A2539" t="str">
        <f t="shared" si="183"/>
        <v/>
      </c>
      <c r="R2539" t="str">
        <f t="shared" si="184"/>
        <v/>
      </c>
    </row>
    <row r="2540" spans="1:18" x14ac:dyDescent="0.2">
      <c r="A2540" t="str">
        <f t="shared" si="183"/>
        <v/>
      </c>
      <c r="R2540" t="str">
        <f t="shared" si="184"/>
        <v/>
      </c>
    </row>
    <row r="2541" spans="1:18" x14ac:dyDescent="0.2">
      <c r="A2541" t="str">
        <f t="shared" si="183"/>
        <v/>
      </c>
      <c r="R2541" t="str">
        <f t="shared" si="184"/>
        <v/>
      </c>
    </row>
    <row r="2542" spans="1:18" x14ac:dyDescent="0.2">
      <c r="A2542" t="str">
        <f t="shared" si="183"/>
        <v/>
      </c>
      <c r="R2542" t="str">
        <f t="shared" si="184"/>
        <v/>
      </c>
    </row>
    <row r="2543" spans="1:18" x14ac:dyDescent="0.2">
      <c r="A2543" t="str">
        <f t="shared" si="183"/>
        <v/>
      </c>
      <c r="R2543" t="str">
        <f t="shared" si="184"/>
        <v/>
      </c>
    </row>
    <row r="2544" spans="1:18" x14ac:dyDescent="0.2">
      <c r="A2544" t="str">
        <f t="shared" si="183"/>
        <v/>
      </c>
      <c r="R2544" t="str">
        <f t="shared" si="184"/>
        <v/>
      </c>
    </row>
    <row r="2545" spans="1:18" x14ac:dyDescent="0.2">
      <c r="A2545" t="str">
        <f t="shared" si="183"/>
        <v/>
      </c>
      <c r="R2545" t="str">
        <f t="shared" si="184"/>
        <v/>
      </c>
    </row>
    <row r="2546" spans="1:18" x14ac:dyDescent="0.2">
      <c r="A2546" t="str">
        <f t="shared" si="183"/>
        <v/>
      </c>
      <c r="R2546" t="str">
        <f t="shared" si="184"/>
        <v/>
      </c>
    </row>
    <row r="2547" spans="1:18" x14ac:dyDescent="0.2">
      <c r="A2547" t="str">
        <f t="shared" si="183"/>
        <v/>
      </c>
      <c r="R2547" t="str">
        <f t="shared" si="184"/>
        <v/>
      </c>
    </row>
    <row r="2548" spans="1:18" x14ac:dyDescent="0.2">
      <c r="A2548" t="str">
        <f t="shared" si="183"/>
        <v/>
      </c>
      <c r="R2548" t="str">
        <f t="shared" si="184"/>
        <v/>
      </c>
    </row>
    <row r="2549" spans="1:18" x14ac:dyDescent="0.2">
      <c r="A2549" t="str">
        <f t="shared" si="183"/>
        <v/>
      </c>
      <c r="R2549" t="str">
        <f t="shared" si="184"/>
        <v/>
      </c>
    </row>
    <row r="2550" spans="1:18" x14ac:dyDescent="0.2">
      <c r="A2550" t="str">
        <f t="shared" si="183"/>
        <v/>
      </c>
      <c r="R2550" t="str">
        <f t="shared" si="184"/>
        <v/>
      </c>
    </row>
    <row r="2551" spans="1:18" x14ac:dyDescent="0.2">
      <c r="A2551" t="str">
        <f t="shared" si="183"/>
        <v/>
      </c>
      <c r="R2551" t="str">
        <f t="shared" si="184"/>
        <v/>
      </c>
    </row>
    <row r="2552" spans="1:18" x14ac:dyDescent="0.2">
      <c r="A2552" t="str">
        <f t="shared" si="183"/>
        <v/>
      </c>
      <c r="R2552" t="str">
        <f t="shared" si="184"/>
        <v/>
      </c>
    </row>
    <row r="2553" spans="1:18" x14ac:dyDescent="0.2">
      <c r="A2553" t="str">
        <f t="shared" si="183"/>
        <v/>
      </c>
      <c r="R2553" t="str">
        <f t="shared" si="184"/>
        <v/>
      </c>
    </row>
    <row r="2554" spans="1:18" x14ac:dyDescent="0.2">
      <c r="A2554" t="str">
        <f t="shared" si="183"/>
        <v/>
      </c>
      <c r="R2554" t="str">
        <f t="shared" si="184"/>
        <v/>
      </c>
    </row>
    <row r="2555" spans="1:18" x14ac:dyDescent="0.2">
      <c r="A2555" t="str">
        <f t="shared" si="183"/>
        <v/>
      </c>
      <c r="R2555" t="str">
        <f t="shared" si="184"/>
        <v/>
      </c>
    </row>
    <row r="2556" spans="1:18" x14ac:dyDescent="0.2">
      <c r="A2556" t="str">
        <f t="shared" si="183"/>
        <v/>
      </c>
      <c r="R2556" t="str">
        <f t="shared" si="184"/>
        <v/>
      </c>
    </row>
    <row r="2557" spans="1:18" x14ac:dyDescent="0.2">
      <c r="A2557" t="str">
        <f t="shared" si="183"/>
        <v/>
      </c>
      <c r="R2557" t="str">
        <f t="shared" si="184"/>
        <v/>
      </c>
    </row>
    <row r="2558" spans="1:18" x14ac:dyDescent="0.2">
      <c r="A2558" t="str">
        <f t="shared" si="183"/>
        <v/>
      </c>
      <c r="R2558" t="str">
        <f t="shared" si="184"/>
        <v/>
      </c>
    </row>
    <row r="2559" spans="1:18" x14ac:dyDescent="0.2">
      <c r="A2559" t="str">
        <f t="shared" si="183"/>
        <v/>
      </c>
      <c r="R2559" t="str">
        <f t="shared" si="184"/>
        <v/>
      </c>
    </row>
    <row r="2560" spans="1:18" x14ac:dyDescent="0.2">
      <c r="A2560" t="str">
        <f t="shared" si="183"/>
        <v/>
      </c>
      <c r="R2560" t="str">
        <f t="shared" si="184"/>
        <v/>
      </c>
    </row>
    <row r="2561" spans="1:18" x14ac:dyDescent="0.2">
      <c r="A2561" t="str">
        <f t="shared" si="183"/>
        <v/>
      </c>
      <c r="R2561" t="str">
        <f t="shared" si="184"/>
        <v/>
      </c>
    </row>
    <row r="2562" spans="1:18" x14ac:dyDescent="0.2">
      <c r="A2562" t="str">
        <f t="shared" si="183"/>
        <v/>
      </c>
      <c r="R2562" t="str">
        <f t="shared" si="184"/>
        <v/>
      </c>
    </row>
    <row r="2563" spans="1:18" x14ac:dyDescent="0.2">
      <c r="A2563" t="str">
        <f t="shared" ref="A2563:A2626" si="185">IFERROR(IF(OR(K2563="",I2563=0),"",D2563&amp;K2563&amp;I2563),"")</f>
        <v/>
      </c>
      <c r="R2563" t="str">
        <f t="shared" ref="R2563:R2626" si="186">G2563&amp;K2563&amp;N2563</f>
        <v/>
      </c>
    </row>
    <row r="2564" spans="1:18" x14ac:dyDescent="0.2">
      <c r="A2564" t="str">
        <f t="shared" si="185"/>
        <v/>
      </c>
      <c r="R2564" t="str">
        <f t="shared" si="186"/>
        <v/>
      </c>
    </row>
    <row r="2565" spans="1:18" x14ac:dyDescent="0.2">
      <c r="A2565" t="str">
        <f t="shared" si="185"/>
        <v/>
      </c>
      <c r="R2565" t="str">
        <f t="shared" si="186"/>
        <v/>
      </c>
    </row>
    <row r="2566" spans="1:18" x14ac:dyDescent="0.2">
      <c r="A2566" t="str">
        <f t="shared" si="185"/>
        <v/>
      </c>
      <c r="R2566" t="str">
        <f t="shared" si="186"/>
        <v/>
      </c>
    </row>
    <row r="2567" spans="1:18" x14ac:dyDescent="0.2">
      <c r="A2567" t="str">
        <f t="shared" si="185"/>
        <v/>
      </c>
      <c r="R2567" t="str">
        <f t="shared" si="186"/>
        <v/>
      </c>
    </row>
    <row r="2568" spans="1:18" x14ac:dyDescent="0.2">
      <c r="A2568" t="str">
        <f t="shared" si="185"/>
        <v/>
      </c>
      <c r="R2568" t="str">
        <f t="shared" si="186"/>
        <v/>
      </c>
    </row>
    <row r="2569" spans="1:18" x14ac:dyDescent="0.2">
      <c r="A2569" t="str">
        <f t="shared" si="185"/>
        <v/>
      </c>
      <c r="R2569" t="str">
        <f t="shared" si="186"/>
        <v/>
      </c>
    </row>
    <row r="2570" spans="1:18" x14ac:dyDescent="0.2">
      <c r="A2570" t="str">
        <f t="shared" si="185"/>
        <v/>
      </c>
      <c r="R2570" t="str">
        <f t="shared" si="186"/>
        <v/>
      </c>
    </row>
    <row r="2571" spans="1:18" x14ac:dyDescent="0.2">
      <c r="A2571" t="str">
        <f t="shared" si="185"/>
        <v/>
      </c>
      <c r="R2571" t="str">
        <f t="shared" si="186"/>
        <v/>
      </c>
    </row>
    <row r="2572" spans="1:18" x14ac:dyDescent="0.2">
      <c r="A2572" t="str">
        <f t="shared" si="185"/>
        <v/>
      </c>
      <c r="R2572" t="str">
        <f t="shared" si="186"/>
        <v/>
      </c>
    </row>
    <row r="2573" spans="1:18" x14ac:dyDescent="0.2">
      <c r="A2573" t="str">
        <f t="shared" si="185"/>
        <v/>
      </c>
      <c r="R2573" t="str">
        <f t="shared" si="186"/>
        <v/>
      </c>
    </row>
    <row r="2574" spans="1:18" x14ac:dyDescent="0.2">
      <c r="A2574" t="str">
        <f t="shared" si="185"/>
        <v/>
      </c>
      <c r="R2574" t="str">
        <f t="shared" si="186"/>
        <v/>
      </c>
    </row>
    <row r="2575" spans="1:18" x14ac:dyDescent="0.2">
      <c r="A2575" t="str">
        <f t="shared" si="185"/>
        <v/>
      </c>
      <c r="R2575" t="str">
        <f t="shared" si="186"/>
        <v/>
      </c>
    </row>
    <row r="2576" spans="1:18" x14ac:dyDescent="0.2">
      <c r="A2576" t="str">
        <f t="shared" si="185"/>
        <v/>
      </c>
      <c r="R2576" t="str">
        <f t="shared" si="186"/>
        <v/>
      </c>
    </row>
    <row r="2577" spans="1:18" x14ac:dyDescent="0.2">
      <c r="A2577" t="str">
        <f t="shared" si="185"/>
        <v/>
      </c>
      <c r="R2577" t="str">
        <f t="shared" si="186"/>
        <v/>
      </c>
    </row>
    <row r="2578" spans="1:18" x14ac:dyDescent="0.2">
      <c r="A2578" t="str">
        <f t="shared" si="185"/>
        <v/>
      </c>
      <c r="R2578" t="str">
        <f t="shared" si="186"/>
        <v/>
      </c>
    </row>
    <row r="2579" spans="1:18" x14ac:dyDescent="0.2">
      <c r="A2579" t="str">
        <f t="shared" si="185"/>
        <v/>
      </c>
      <c r="R2579" t="str">
        <f t="shared" si="186"/>
        <v/>
      </c>
    </row>
    <row r="2580" spans="1:18" x14ac:dyDescent="0.2">
      <c r="A2580" t="str">
        <f t="shared" si="185"/>
        <v/>
      </c>
      <c r="R2580" t="str">
        <f t="shared" si="186"/>
        <v/>
      </c>
    </row>
    <row r="2581" spans="1:18" x14ac:dyDescent="0.2">
      <c r="A2581" t="str">
        <f t="shared" si="185"/>
        <v/>
      </c>
      <c r="R2581" t="str">
        <f t="shared" si="186"/>
        <v/>
      </c>
    </row>
    <row r="2582" spans="1:18" x14ac:dyDescent="0.2">
      <c r="A2582" t="str">
        <f t="shared" si="185"/>
        <v/>
      </c>
      <c r="R2582" t="str">
        <f t="shared" si="186"/>
        <v/>
      </c>
    </row>
    <row r="2583" spans="1:18" x14ac:dyDescent="0.2">
      <c r="A2583" t="str">
        <f t="shared" si="185"/>
        <v/>
      </c>
      <c r="R2583" t="str">
        <f t="shared" si="186"/>
        <v/>
      </c>
    </row>
    <row r="2584" spans="1:18" x14ac:dyDescent="0.2">
      <c r="A2584" t="str">
        <f t="shared" si="185"/>
        <v/>
      </c>
      <c r="R2584" t="str">
        <f t="shared" si="186"/>
        <v/>
      </c>
    </row>
    <row r="2585" spans="1:18" x14ac:dyDescent="0.2">
      <c r="A2585" t="str">
        <f t="shared" si="185"/>
        <v/>
      </c>
      <c r="R2585" t="str">
        <f t="shared" si="186"/>
        <v/>
      </c>
    </row>
    <row r="2586" spans="1:18" x14ac:dyDescent="0.2">
      <c r="A2586" t="str">
        <f t="shared" si="185"/>
        <v/>
      </c>
      <c r="R2586" t="str">
        <f t="shared" si="186"/>
        <v/>
      </c>
    </row>
    <row r="2587" spans="1:18" x14ac:dyDescent="0.2">
      <c r="A2587" t="str">
        <f t="shared" si="185"/>
        <v/>
      </c>
      <c r="R2587" t="str">
        <f t="shared" si="186"/>
        <v/>
      </c>
    </row>
    <row r="2588" spans="1:18" x14ac:dyDescent="0.2">
      <c r="A2588" t="str">
        <f t="shared" si="185"/>
        <v/>
      </c>
      <c r="R2588" t="str">
        <f t="shared" si="186"/>
        <v/>
      </c>
    </row>
    <row r="2589" spans="1:18" x14ac:dyDescent="0.2">
      <c r="A2589" t="str">
        <f t="shared" si="185"/>
        <v/>
      </c>
      <c r="R2589" t="str">
        <f t="shared" si="186"/>
        <v/>
      </c>
    </row>
    <row r="2590" spans="1:18" x14ac:dyDescent="0.2">
      <c r="A2590" t="str">
        <f t="shared" si="185"/>
        <v/>
      </c>
      <c r="R2590" t="str">
        <f t="shared" si="186"/>
        <v/>
      </c>
    </row>
    <row r="2591" spans="1:18" x14ac:dyDescent="0.2">
      <c r="A2591" t="str">
        <f t="shared" si="185"/>
        <v/>
      </c>
      <c r="R2591" t="str">
        <f t="shared" si="186"/>
        <v/>
      </c>
    </row>
    <row r="2592" spans="1:18" x14ac:dyDescent="0.2">
      <c r="A2592" t="str">
        <f t="shared" si="185"/>
        <v/>
      </c>
      <c r="R2592" t="str">
        <f t="shared" si="186"/>
        <v/>
      </c>
    </row>
    <row r="2593" spans="1:18" x14ac:dyDescent="0.2">
      <c r="A2593" t="str">
        <f t="shared" si="185"/>
        <v/>
      </c>
      <c r="R2593" t="str">
        <f t="shared" si="186"/>
        <v/>
      </c>
    </row>
    <row r="2594" spans="1:18" x14ac:dyDescent="0.2">
      <c r="A2594" t="str">
        <f t="shared" si="185"/>
        <v/>
      </c>
      <c r="R2594" t="str">
        <f t="shared" si="186"/>
        <v/>
      </c>
    </row>
    <row r="2595" spans="1:18" x14ac:dyDescent="0.2">
      <c r="A2595" t="str">
        <f t="shared" si="185"/>
        <v/>
      </c>
      <c r="R2595" t="str">
        <f t="shared" si="186"/>
        <v/>
      </c>
    </row>
    <row r="2596" spans="1:18" x14ac:dyDescent="0.2">
      <c r="A2596" t="str">
        <f t="shared" si="185"/>
        <v/>
      </c>
      <c r="R2596" t="str">
        <f t="shared" si="186"/>
        <v/>
      </c>
    </row>
    <row r="2597" spans="1:18" x14ac:dyDescent="0.2">
      <c r="A2597" t="str">
        <f t="shared" si="185"/>
        <v/>
      </c>
      <c r="R2597" t="str">
        <f t="shared" si="186"/>
        <v/>
      </c>
    </row>
    <row r="2598" spans="1:18" x14ac:dyDescent="0.2">
      <c r="A2598" t="str">
        <f t="shared" si="185"/>
        <v/>
      </c>
      <c r="R2598" t="str">
        <f t="shared" si="186"/>
        <v/>
      </c>
    </row>
    <row r="2599" spans="1:18" x14ac:dyDescent="0.2">
      <c r="A2599" t="str">
        <f t="shared" si="185"/>
        <v/>
      </c>
      <c r="R2599" t="str">
        <f t="shared" si="186"/>
        <v/>
      </c>
    </row>
    <row r="2600" spans="1:18" x14ac:dyDescent="0.2">
      <c r="A2600" t="str">
        <f t="shared" si="185"/>
        <v/>
      </c>
      <c r="R2600" t="str">
        <f t="shared" si="186"/>
        <v/>
      </c>
    </row>
    <row r="2601" spans="1:18" x14ac:dyDescent="0.2">
      <c r="A2601" t="str">
        <f t="shared" si="185"/>
        <v/>
      </c>
      <c r="R2601" t="str">
        <f t="shared" si="186"/>
        <v/>
      </c>
    </row>
    <row r="2602" spans="1:18" x14ac:dyDescent="0.2">
      <c r="A2602" t="str">
        <f t="shared" si="185"/>
        <v/>
      </c>
      <c r="R2602" t="str">
        <f t="shared" si="186"/>
        <v/>
      </c>
    </row>
    <row r="2603" spans="1:18" x14ac:dyDescent="0.2">
      <c r="A2603" t="str">
        <f t="shared" si="185"/>
        <v/>
      </c>
      <c r="R2603" t="str">
        <f t="shared" si="186"/>
        <v/>
      </c>
    </row>
    <row r="2604" spans="1:18" x14ac:dyDescent="0.2">
      <c r="A2604" t="str">
        <f t="shared" si="185"/>
        <v/>
      </c>
      <c r="R2604" t="str">
        <f t="shared" si="186"/>
        <v/>
      </c>
    </row>
    <row r="2605" spans="1:18" x14ac:dyDescent="0.2">
      <c r="A2605" t="str">
        <f t="shared" si="185"/>
        <v/>
      </c>
      <c r="R2605" t="str">
        <f t="shared" si="186"/>
        <v/>
      </c>
    </row>
    <row r="2606" spans="1:18" x14ac:dyDescent="0.2">
      <c r="A2606" t="str">
        <f t="shared" si="185"/>
        <v/>
      </c>
      <c r="R2606" t="str">
        <f t="shared" si="186"/>
        <v/>
      </c>
    </row>
    <row r="2607" spans="1:18" x14ac:dyDescent="0.2">
      <c r="A2607" t="str">
        <f t="shared" si="185"/>
        <v/>
      </c>
      <c r="R2607" t="str">
        <f t="shared" si="186"/>
        <v/>
      </c>
    </row>
    <row r="2608" spans="1:18" x14ac:dyDescent="0.2">
      <c r="A2608" t="str">
        <f t="shared" si="185"/>
        <v/>
      </c>
      <c r="R2608" t="str">
        <f t="shared" si="186"/>
        <v/>
      </c>
    </row>
    <row r="2609" spans="1:18" x14ac:dyDescent="0.2">
      <c r="A2609" t="str">
        <f t="shared" si="185"/>
        <v/>
      </c>
      <c r="R2609" t="str">
        <f t="shared" si="186"/>
        <v/>
      </c>
    </row>
    <row r="2610" spans="1:18" x14ac:dyDescent="0.2">
      <c r="A2610" t="str">
        <f t="shared" si="185"/>
        <v/>
      </c>
      <c r="R2610" t="str">
        <f t="shared" si="186"/>
        <v/>
      </c>
    </row>
    <row r="2611" spans="1:18" x14ac:dyDescent="0.2">
      <c r="A2611" t="str">
        <f t="shared" si="185"/>
        <v/>
      </c>
      <c r="R2611" t="str">
        <f t="shared" si="186"/>
        <v/>
      </c>
    </row>
    <row r="2612" spans="1:18" x14ac:dyDescent="0.2">
      <c r="A2612" t="str">
        <f t="shared" si="185"/>
        <v/>
      </c>
      <c r="R2612" t="str">
        <f t="shared" si="186"/>
        <v/>
      </c>
    </row>
    <row r="2613" spans="1:18" x14ac:dyDescent="0.2">
      <c r="A2613" t="str">
        <f t="shared" si="185"/>
        <v/>
      </c>
      <c r="R2613" t="str">
        <f t="shared" si="186"/>
        <v/>
      </c>
    </row>
    <row r="2614" spans="1:18" x14ac:dyDescent="0.2">
      <c r="A2614" t="str">
        <f t="shared" si="185"/>
        <v/>
      </c>
      <c r="R2614" t="str">
        <f t="shared" si="186"/>
        <v/>
      </c>
    </row>
    <row r="2615" spans="1:18" x14ac:dyDescent="0.2">
      <c r="A2615" t="str">
        <f t="shared" si="185"/>
        <v/>
      </c>
      <c r="R2615" t="str">
        <f t="shared" si="186"/>
        <v/>
      </c>
    </row>
    <row r="2616" spans="1:18" x14ac:dyDescent="0.2">
      <c r="A2616" t="str">
        <f t="shared" si="185"/>
        <v/>
      </c>
      <c r="R2616" t="str">
        <f t="shared" si="186"/>
        <v/>
      </c>
    </row>
    <row r="2617" spans="1:18" x14ac:dyDescent="0.2">
      <c r="A2617" t="str">
        <f t="shared" si="185"/>
        <v/>
      </c>
      <c r="R2617" t="str">
        <f t="shared" si="186"/>
        <v/>
      </c>
    </row>
    <row r="2618" spans="1:18" x14ac:dyDescent="0.2">
      <c r="A2618" t="str">
        <f t="shared" si="185"/>
        <v/>
      </c>
      <c r="R2618" t="str">
        <f t="shared" si="186"/>
        <v/>
      </c>
    </row>
    <row r="2619" spans="1:18" x14ac:dyDescent="0.2">
      <c r="A2619" t="str">
        <f t="shared" si="185"/>
        <v/>
      </c>
      <c r="R2619" t="str">
        <f t="shared" si="186"/>
        <v/>
      </c>
    </row>
    <row r="2620" spans="1:18" x14ac:dyDescent="0.2">
      <c r="A2620" t="str">
        <f t="shared" si="185"/>
        <v/>
      </c>
      <c r="R2620" t="str">
        <f t="shared" si="186"/>
        <v/>
      </c>
    </row>
    <row r="2621" spans="1:18" x14ac:dyDescent="0.2">
      <c r="A2621" t="str">
        <f t="shared" si="185"/>
        <v/>
      </c>
      <c r="R2621" t="str">
        <f t="shared" si="186"/>
        <v/>
      </c>
    </row>
    <row r="2622" spans="1:18" x14ac:dyDescent="0.2">
      <c r="A2622" t="str">
        <f t="shared" si="185"/>
        <v/>
      </c>
      <c r="R2622" t="str">
        <f t="shared" si="186"/>
        <v/>
      </c>
    </row>
    <row r="2623" spans="1:18" x14ac:dyDescent="0.2">
      <c r="A2623" t="str">
        <f t="shared" si="185"/>
        <v/>
      </c>
      <c r="R2623" t="str">
        <f t="shared" si="186"/>
        <v/>
      </c>
    </row>
    <row r="2624" spans="1:18" x14ac:dyDescent="0.2">
      <c r="A2624" t="str">
        <f t="shared" si="185"/>
        <v/>
      </c>
      <c r="R2624" t="str">
        <f t="shared" si="186"/>
        <v/>
      </c>
    </row>
    <row r="2625" spans="1:18" x14ac:dyDescent="0.2">
      <c r="A2625" t="str">
        <f t="shared" si="185"/>
        <v/>
      </c>
      <c r="R2625" t="str">
        <f t="shared" si="186"/>
        <v/>
      </c>
    </row>
    <row r="2626" spans="1:18" x14ac:dyDescent="0.2">
      <c r="A2626" t="str">
        <f t="shared" si="185"/>
        <v/>
      </c>
      <c r="R2626" t="str">
        <f t="shared" si="186"/>
        <v/>
      </c>
    </row>
    <row r="2627" spans="1:18" x14ac:dyDescent="0.2">
      <c r="A2627" t="str">
        <f t="shared" ref="A2627:A2690" si="187">IFERROR(IF(OR(K2627="",I2627=0),"",D2627&amp;K2627&amp;I2627),"")</f>
        <v/>
      </c>
      <c r="R2627" t="str">
        <f t="shared" ref="R2627:R2690" si="188">G2627&amp;K2627&amp;N2627</f>
        <v/>
      </c>
    </row>
    <row r="2628" spans="1:18" x14ac:dyDescent="0.2">
      <c r="A2628" t="str">
        <f t="shared" si="187"/>
        <v/>
      </c>
      <c r="R2628" t="str">
        <f t="shared" si="188"/>
        <v/>
      </c>
    </row>
    <row r="2629" spans="1:18" x14ac:dyDescent="0.2">
      <c r="A2629" t="str">
        <f t="shared" si="187"/>
        <v/>
      </c>
      <c r="R2629" t="str">
        <f t="shared" si="188"/>
        <v/>
      </c>
    </row>
    <row r="2630" spans="1:18" x14ac:dyDescent="0.2">
      <c r="A2630" t="str">
        <f t="shared" si="187"/>
        <v/>
      </c>
      <c r="R2630" t="str">
        <f t="shared" si="188"/>
        <v/>
      </c>
    </row>
    <row r="2631" spans="1:18" x14ac:dyDescent="0.2">
      <c r="A2631" t="str">
        <f t="shared" si="187"/>
        <v/>
      </c>
      <c r="R2631" t="str">
        <f t="shared" si="188"/>
        <v/>
      </c>
    </row>
    <row r="2632" spans="1:18" x14ac:dyDescent="0.2">
      <c r="A2632" t="str">
        <f t="shared" si="187"/>
        <v/>
      </c>
      <c r="R2632" t="str">
        <f t="shared" si="188"/>
        <v/>
      </c>
    </row>
    <row r="2633" spans="1:18" x14ac:dyDescent="0.2">
      <c r="A2633" t="str">
        <f t="shared" si="187"/>
        <v/>
      </c>
      <c r="R2633" t="str">
        <f t="shared" si="188"/>
        <v/>
      </c>
    </row>
    <row r="2634" spans="1:18" x14ac:dyDescent="0.2">
      <c r="A2634" t="str">
        <f t="shared" si="187"/>
        <v/>
      </c>
      <c r="R2634" t="str">
        <f t="shared" si="188"/>
        <v/>
      </c>
    </row>
    <row r="2635" spans="1:18" x14ac:dyDescent="0.2">
      <c r="A2635" t="str">
        <f t="shared" si="187"/>
        <v/>
      </c>
      <c r="R2635" t="str">
        <f t="shared" si="188"/>
        <v/>
      </c>
    </row>
    <row r="2636" spans="1:18" x14ac:dyDescent="0.2">
      <c r="A2636" t="str">
        <f t="shared" si="187"/>
        <v/>
      </c>
      <c r="R2636" t="str">
        <f t="shared" si="188"/>
        <v/>
      </c>
    </row>
    <row r="2637" spans="1:18" x14ac:dyDescent="0.2">
      <c r="A2637" t="str">
        <f t="shared" si="187"/>
        <v/>
      </c>
      <c r="R2637" t="str">
        <f t="shared" si="188"/>
        <v/>
      </c>
    </row>
    <row r="2638" spans="1:18" x14ac:dyDescent="0.2">
      <c r="A2638" t="str">
        <f t="shared" si="187"/>
        <v/>
      </c>
      <c r="R2638" t="str">
        <f t="shared" si="188"/>
        <v/>
      </c>
    </row>
    <row r="2639" spans="1:18" x14ac:dyDescent="0.2">
      <c r="A2639" t="str">
        <f t="shared" si="187"/>
        <v/>
      </c>
      <c r="R2639" t="str">
        <f t="shared" si="188"/>
        <v/>
      </c>
    </row>
    <row r="2640" spans="1:18" x14ac:dyDescent="0.2">
      <c r="A2640" t="str">
        <f t="shared" si="187"/>
        <v/>
      </c>
      <c r="R2640" t="str">
        <f t="shared" si="188"/>
        <v/>
      </c>
    </row>
    <row r="2641" spans="1:18" x14ac:dyDescent="0.2">
      <c r="A2641" t="str">
        <f t="shared" si="187"/>
        <v/>
      </c>
      <c r="R2641" t="str">
        <f t="shared" si="188"/>
        <v/>
      </c>
    </row>
    <row r="2642" spans="1:18" x14ac:dyDescent="0.2">
      <c r="A2642" t="str">
        <f t="shared" si="187"/>
        <v/>
      </c>
      <c r="R2642" t="str">
        <f t="shared" si="188"/>
        <v/>
      </c>
    </row>
    <row r="2643" spans="1:18" x14ac:dyDescent="0.2">
      <c r="A2643" t="str">
        <f t="shared" si="187"/>
        <v/>
      </c>
      <c r="R2643" t="str">
        <f t="shared" si="188"/>
        <v/>
      </c>
    </row>
    <row r="2644" spans="1:18" x14ac:dyDescent="0.2">
      <c r="A2644" t="str">
        <f t="shared" si="187"/>
        <v/>
      </c>
      <c r="R2644" t="str">
        <f t="shared" si="188"/>
        <v/>
      </c>
    </row>
    <row r="2645" spans="1:18" x14ac:dyDescent="0.2">
      <c r="A2645" t="str">
        <f t="shared" si="187"/>
        <v/>
      </c>
      <c r="R2645" t="str">
        <f t="shared" si="188"/>
        <v/>
      </c>
    </row>
    <row r="2646" spans="1:18" x14ac:dyDescent="0.2">
      <c r="A2646" t="str">
        <f t="shared" si="187"/>
        <v/>
      </c>
      <c r="R2646" t="str">
        <f t="shared" si="188"/>
        <v/>
      </c>
    </row>
    <row r="2647" spans="1:18" x14ac:dyDescent="0.2">
      <c r="A2647" t="str">
        <f t="shared" si="187"/>
        <v/>
      </c>
      <c r="R2647" t="str">
        <f t="shared" si="188"/>
        <v/>
      </c>
    </row>
    <row r="2648" spans="1:18" x14ac:dyDescent="0.2">
      <c r="A2648" t="str">
        <f t="shared" si="187"/>
        <v/>
      </c>
      <c r="R2648" t="str">
        <f t="shared" si="188"/>
        <v/>
      </c>
    </row>
    <row r="2649" spans="1:18" x14ac:dyDescent="0.2">
      <c r="A2649" t="str">
        <f t="shared" si="187"/>
        <v/>
      </c>
      <c r="R2649" t="str">
        <f t="shared" si="188"/>
        <v/>
      </c>
    </row>
    <row r="2650" spans="1:18" x14ac:dyDescent="0.2">
      <c r="A2650" t="str">
        <f t="shared" si="187"/>
        <v/>
      </c>
      <c r="R2650" t="str">
        <f t="shared" si="188"/>
        <v/>
      </c>
    </row>
    <row r="2651" spans="1:18" x14ac:dyDescent="0.2">
      <c r="A2651" t="str">
        <f t="shared" si="187"/>
        <v/>
      </c>
      <c r="R2651" t="str">
        <f t="shared" si="188"/>
        <v/>
      </c>
    </row>
    <row r="2652" spans="1:18" x14ac:dyDescent="0.2">
      <c r="A2652" t="str">
        <f t="shared" si="187"/>
        <v/>
      </c>
      <c r="R2652" t="str">
        <f t="shared" si="188"/>
        <v/>
      </c>
    </row>
    <row r="2653" spans="1:18" x14ac:dyDescent="0.2">
      <c r="A2653" t="str">
        <f t="shared" si="187"/>
        <v/>
      </c>
      <c r="R2653" t="str">
        <f t="shared" si="188"/>
        <v/>
      </c>
    </row>
    <row r="2654" spans="1:18" x14ac:dyDescent="0.2">
      <c r="A2654" t="str">
        <f t="shared" si="187"/>
        <v/>
      </c>
      <c r="R2654" t="str">
        <f t="shared" si="188"/>
        <v/>
      </c>
    </row>
    <row r="2655" spans="1:18" x14ac:dyDescent="0.2">
      <c r="A2655" t="str">
        <f t="shared" si="187"/>
        <v/>
      </c>
      <c r="R2655" t="str">
        <f t="shared" si="188"/>
        <v/>
      </c>
    </row>
    <row r="2656" spans="1:18" x14ac:dyDescent="0.2">
      <c r="A2656" t="str">
        <f t="shared" si="187"/>
        <v/>
      </c>
      <c r="R2656" t="str">
        <f t="shared" si="188"/>
        <v/>
      </c>
    </row>
    <row r="2657" spans="1:18" x14ac:dyDescent="0.2">
      <c r="A2657" t="str">
        <f t="shared" si="187"/>
        <v/>
      </c>
      <c r="R2657" t="str">
        <f t="shared" si="188"/>
        <v/>
      </c>
    </row>
    <row r="2658" spans="1:18" x14ac:dyDescent="0.2">
      <c r="A2658" t="str">
        <f t="shared" si="187"/>
        <v/>
      </c>
      <c r="R2658" t="str">
        <f t="shared" si="188"/>
        <v/>
      </c>
    </row>
    <row r="2659" spans="1:18" x14ac:dyDescent="0.2">
      <c r="A2659" t="str">
        <f t="shared" si="187"/>
        <v/>
      </c>
      <c r="R2659" t="str">
        <f t="shared" si="188"/>
        <v/>
      </c>
    </row>
    <row r="2660" spans="1:18" x14ac:dyDescent="0.2">
      <c r="A2660" t="str">
        <f t="shared" si="187"/>
        <v/>
      </c>
      <c r="R2660" t="str">
        <f t="shared" si="188"/>
        <v/>
      </c>
    </row>
    <row r="2661" spans="1:18" x14ac:dyDescent="0.2">
      <c r="A2661" t="str">
        <f t="shared" si="187"/>
        <v/>
      </c>
      <c r="R2661" t="str">
        <f t="shared" si="188"/>
        <v/>
      </c>
    </row>
    <row r="2662" spans="1:18" x14ac:dyDescent="0.2">
      <c r="A2662" t="str">
        <f t="shared" si="187"/>
        <v/>
      </c>
      <c r="R2662" t="str">
        <f t="shared" si="188"/>
        <v/>
      </c>
    </row>
    <row r="2663" spans="1:18" x14ac:dyDescent="0.2">
      <c r="A2663" t="str">
        <f t="shared" si="187"/>
        <v/>
      </c>
      <c r="R2663" t="str">
        <f t="shared" si="188"/>
        <v/>
      </c>
    </row>
    <row r="2664" spans="1:18" x14ac:dyDescent="0.2">
      <c r="A2664" t="str">
        <f t="shared" si="187"/>
        <v/>
      </c>
      <c r="R2664" t="str">
        <f t="shared" si="188"/>
        <v/>
      </c>
    </row>
    <row r="2665" spans="1:18" x14ac:dyDescent="0.2">
      <c r="A2665" t="str">
        <f t="shared" si="187"/>
        <v/>
      </c>
      <c r="R2665" t="str">
        <f t="shared" si="188"/>
        <v/>
      </c>
    </row>
    <row r="2666" spans="1:18" x14ac:dyDescent="0.2">
      <c r="A2666" t="str">
        <f t="shared" si="187"/>
        <v/>
      </c>
      <c r="R2666" t="str">
        <f t="shared" si="188"/>
        <v/>
      </c>
    </row>
    <row r="2667" spans="1:18" x14ac:dyDescent="0.2">
      <c r="A2667" t="str">
        <f t="shared" si="187"/>
        <v/>
      </c>
      <c r="R2667" t="str">
        <f t="shared" si="188"/>
        <v/>
      </c>
    </row>
    <row r="2668" spans="1:18" x14ac:dyDescent="0.2">
      <c r="A2668" t="str">
        <f t="shared" si="187"/>
        <v/>
      </c>
      <c r="R2668" t="str">
        <f t="shared" si="188"/>
        <v/>
      </c>
    </row>
    <row r="2669" spans="1:18" x14ac:dyDescent="0.2">
      <c r="A2669" t="str">
        <f t="shared" si="187"/>
        <v/>
      </c>
      <c r="R2669" t="str">
        <f t="shared" si="188"/>
        <v/>
      </c>
    </row>
    <row r="2670" spans="1:18" x14ac:dyDescent="0.2">
      <c r="A2670" t="str">
        <f t="shared" si="187"/>
        <v/>
      </c>
      <c r="R2670" t="str">
        <f t="shared" si="188"/>
        <v/>
      </c>
    </row>
    <row r="2671" spans="1:18" x14ac:dyDescent="0.2">
      <c r="A2671" t="str">
        <f t="shared" si="187"/>
        <v/>
      </c>
      <c r="R2671" t="str">
        <f t="shared" si="188"/>
        <v/>
      </c>
    </row>
    <row r="2672" spans="1:18" x14ac:dyDescent="0.2">
      <c r="A2672" t="str">
        <f t="shared" si="187"/>
        <v/>
      </c>
      <c r="R2672" t="str">
        <f t="shared" si="188"/>
        <v/>
      </c>
    </row>
    <row r="2673" spans="1:18" x14ac:dyDescent="0.2">
      <c r="A2673" t="str">
        <f t="shared" si="187"/>
        <v/>
      </c>
      <c r="R2673" t="str">
        <f t="shared" si="188"/>
        <v/>
      </c>
    </row>
    <row r="2674" spans="1:18" x14ac:dyDescent="0.2">
      <c r="A2674" t="str">
        <f t="shared" si="187"/>
        <v/>
      </c>
      <c r="R2674" t="str">
        <f t="shared" si="188"/>
        <v/>
      </c>
    </row>
    <row r="2675" spans="1:18" x14ac:dyDescent="0.2">
      <c r="A2675" t="str">
        <f t="shared" si="187"/>
        <v/>
      </c>
      <c r="R2675" t="str">
        <f t="shared" si="188"/>
        <v/>
      </c>
    </row>
    <row r="2676" spans="1:18" x14ac:dyDescent="0.2">
      <c r="A2676" t="str">
        <f t="shared" si="187"/>
        <v/>
      </c>
      <c r="R2676" t="str">
        <f t="shared" si="188"/>
        <v/>
      </c>
    </row>
    <row r="2677" spans="1:18" x14ac:dyDescent="0.2">
      <c r="A2677" t="str">
        <f t="shared" si="187"/>
        <v/>
      </c>
      <c r="R2677" t="str">
        <f t="shared" si="188"/>
        <v/>
      </c>
    </row>
    <row r="2678" spans="1:18" x14ac:dyDescent="0.2">
      <c r="A2678" t="str">
        <f t="shared" si="187"/>
        <v/>
      </c>
      <c r="R2678" t="str">
        <f t="shared" si="188"/>
        <v/>
      </c>
    </row>
    <row r="2679" spans="1:18" x14ac:dyDescent="0.2">
      <c r="A2679" t="str">
        <f t="shared" si="187"/>
        <v/>
      </c>
      <c r="R2679" t="str">
        <f t="shared" si="188"/>
        <v/>
      </c>
    </row>
    <row r="2680" spans="1:18" x14ac:dyDescent="0.2">
      <c r="A2680" t="str">
        <f t="shared" si="187"/>
        <v/>
      </c>
      <c r="R2680" t="str">
        <f t="shared" si="188"/>
        <v/>
      </c>
    </row>
    <row r="2681" spans="1:18" x14ac:dyDescent="0.2">
      <c r="A2681" t="str">
        <f t="shared" si="187"/>
        <v/>
      </c>
      <c r="R2681" t="str">
        <f t="shared" si="188"/>
        <v/>
      </c>
    </row>
    <row r="2682" spans="1:18" x14ac:dyDescent="0.2">
      <c r="A2682" t="str">
        <f t="shared" si="187"/>
        <v/>
      </c>
      <c r="R2682" t="str">
        <f t="shared" si="188"/>
        <v/>
      </c>
    </row>
    <row r="2683" spans="1:18" x14ac:dyDescent="0.2">
      <c r="A2683" t="str">
        <f t="shared" si="187"/>
        <v/>
      </c>
      <c r="R2683" t="str">
        <f t="shared" si="188"/>
        <v/>
      </c>
    </row>
    <row r="2684" spans="1:18" x14ac:dyDescent="0.2">
      <c r="A2684" t="str">
        <f t="shared" si="187"/>
        <v/>
      </c>
      <c r="R2684" t="str">
        <f t="shared" si="188"/>
        <v/>
      </c>
    </row>
    <row r="2685" spans="1:18" x14ac:dyDescent="0.2">
      <c r="A2685" t="str">
        <f t="shared" si="187"/>
        <v/>
      </c>
      <c r="R2685" t="str">
        <f t="shared" si="188"/>
        <v/>
      </c>
    </row>
    <row r="2686" spans="1:18" x14ac:dyDescent="0.2">
      <c r="A2686" t="str">
        <f t="shared" si="187"/>
        <v/>
      </c>
      <c r="R2686" t="str">
        <f t="shared" si="188"/>
        <v/>
      </c>
    </row>
    <row r="2687" spans="1:18" x14ac:dyDescent="0.2">
      <c r="A2687" t="str">
        <f t="shared" si="187"/>
        <v/>
      </c>
      <c r="R2687" t="str">
        <f t="shared" si="188"/>
        <v/>
      </c>
    </row>
    <row r="2688" spans="1:18" x14ac:dyDescent="0.2">
      <c r="A2688" t="str">
        <f t="shared" si="187"/>
        <v/>
      </c>
      <c r="R2688" t="str">
        <f t="shared" si="188"/>
        <v/>
      </c>
    </row>
    <row r="2689" spans="1:18" x14ac:dyDescent="0.2">
      <c r="A2689" t="str">
        <f t="shared" si="187"/>
        <v/>
      </c>
      <c r="R2689" t="str">
        <f t="shared" si="188"/>
        <v/>
      </c>
    </row>
    <row r="2690" spans="1:18" x14ac:dyDescent="0.2">
      <c r="A2690" t="str">
        <f t="shared" si="187"/>
        <v/>
      </c>
      <c r="R2690" t="str">
        <f t="shared" si="188"/>
        <v/>
      </c>
    </row>
    <row r="2691" spans="1:18" x14ac:dyDescent="0.2">
      <c r="A2691" t="str">
        <f t="shared" ref="A2691:A2754" si="189">IFERROR(IF(OR(K2691="",I2691=0),"",D2691&amp;K2691&amp;I2691),"")</f>
        <v/>
      </c>
      <c r="R2691" t="str">
        <f t="shared" ref="R2691:R2754" si="190">G2691&amp;K2691&amp;N2691</f>
        <v/>
      </c>
    </row>
    <row r="2692" spans="1:18" x14ac:dyDescent="0.2">
      <c r="A2692" t="str">
        <f t="shared" si="189"/>
        <v/>
      </c>
      <c r="R2692" t="str">
        <f t="shared" si="190"/>
        <v/>
      </c>
    </row>
    <row r="2693" spans="1:18" x14ac:dyDescent="0.2">
      <c r="A2693" t="str">
        <f t="shared" si="189"/>
        <v/>
      </c>
      <c r="R2693" t="str">
        <f t="shared" si="190"/>
        <v/>
      </c>
    </row>
    <row r="2694" spans="1:18" x14ac:dyDescent="0.2">
      <c r="A2694" t="str">
        <f t="shared" si="189"/>
        <v/>
      </c>
      <c r="R2694" t="str">
        <f t="shared" si="190"/>
        <v/>
      </c>
    </row>
    <row r="2695" spans="1:18" x14ac:dyDescent="0.2">
      <c r="A2695" t="str">
        <f t="shared" si="189"/>
        <v/>
      </c>
      <c r="R2695" t="str">
        <f t="shared" si="190"/>
        <v/>
      </c>
    </row>
    <row r="2696" spans="1:18" x14ac:dyDescent="0.2">
      <c r="A2696" t="str">
        <f t="shared" si="189"/>
        <v/>
      </c>
      <c r="R2696" t="str">
        <f t="shared" si="190"/>
        <v/>
      </c>
    </row>
    <row r="2697" spans="1:18" x14ac:dyDescent="0.2">
      <c r="A2697" t="str">
        <f t="shared" si="189"/>
        <v/>
      </c>
      <c r="R2697" t="str">
        <f t="shared" si="190"/>
        <v/>
      </c>
    </row>
    <row r="2698" spans="1:18" x14ac:dyDescent="0.2">
      <c r="A2698" t="str">
        <f t="shared" si="189"/>
        <v/>
      </c>
      <c r="R2698" t="str">
        <f t="shared" si="190"/>
        <v/>
      </c>
    </row>
    <row r="2699" spans="1:18" x14ac:dyDescent="0.2">
      <c r="A2699" t="str">
        <f t="shared" si="189"/>
        <v/>
      </c>
      <c r="R2699" t="str">
        <f t="shared" si="190"/>
        <v/>
      </c>
    </row>
    <row r="2700" spans="1:18" x14ac:dyDescent="0.2">
      <c r="A2700" t="str">
        <f t="shared" si="189"/>
        <v/>
      </c>
      <c r="R2700" t="str">
        <f t="shared" si="190"/>
        <v/>
      </c>
    </row>
    <row r="2701" spans="1:18" x14ac:dyDescent="0.2">
      <c r="A2701" t="str">
        <f t="shared" si="189"/>
        <v/>
      </c>
      <c r="R2701" t="str">
        <f t="shared" si="190"/>
        <v/>
      </c>
    </row>
    <row r="2702" spans="1:18" x14ac:dyDescent="0.2">
      <c r="A2702" t="str">
        <f t="shared" si="189"/>
        <v/>
      </c>
      <c r="R2702" t="str">
        <f t="shared" si="190"/>
        <v/>
      </c>
    </row>
    <row r="2703" spans="1:18" x14ac:dyDescent="0.2">
      <c r="A2703" t="str">
        <f t="shared" si="189"/>
        <v/>
      </c>
      <c r="R2703" t="str">
        <f t="shared" si="190"/>
        <v/>
      </c>
    </row>
    <row r="2704" spans="1:18" x14ac:dyDescent="0.2">
      <c r="A2704" t="str">
        <f t="shared" si="189"/>
        <v/>
      </c>
      <c r="R2704" t="str">
        <f t="shared" si="190"/>
        <v/>
      </c>
    </row>
    <row r="2705" spans="1:18" x14ac:dyDescent="0.2">
      <c r="A2705" t="str">
        <f t="shared" si="189"/>
        <v/>
      </c>
      <c r="R2705" t="str">
        <f t="shared" si="190"/>
        <v/>
      </c>
    </row>
    <row r="2706" spans="1:18" x14ac:dyDescent="0.2">
      <c r="A2706" t="str">
        <f t="shared" si="189"/>
        <v/>
      </c>
      <c r="R2706" t="str">
        <f t="shared" si="190"/>
        <v/>
      </c>
    </row>
    <row r="2707" spans="1:18" x14ac:dyDescent="0.2">
      <c r="A2707" t="str">
        <f t="shared" si="189"/>
        <v/>
      </c>
      <c r="R2707" t="str">
        <f t="shared" si="190"/>
        <v/>
      </c>
    </row>
    <row r="2708" spans="1:18" x14ac:dyDescent="0.2">
      <c r="A2708" t="str">
        <f t="shared" si="189"/>
        <v/>
      </c>
      <c r="R2708" t="str">
        <f t="shared" si="190"/>
        <v/>
      </c>
    </row>
    <row r="2709" spans="1:18" x14ac:dyDescent="0.2">
      <c r="A2709" t="str">
        <f t="shared" si="189"/>
        <v/>
      </c>
      <c r="R2709" t="str">
        <f t="shared" si="190"/>
        <v/>
      </c>
    </row>
    <row r="2710" spans="1:18" x14ac:dyDescent="0.2">
      <c r="A2710" t="str">
        <f t="shared" si="189"/>
        <v/>
      </c>
      <c r="R2710" t="str">
        <f t="shared" si="190"/>
        <v/>
      </c>
    </row>
    <row r="2711" spans="1:18" x14ac:dyDescent="0.2">
      <c r="A2711" t="str">
        <f t="shared" si="189"/>
        <v/>
      </c>
      <c r="R2711" t="str">
        <f t="shared" si="190"/>
        <v/>
      </c>
    </row>
    <row r="2712" spans="1:18" x14ac:dyDescent="0.2">
      <c r="A2712" t="str">
        <f t="shared" si="189"/>
        <v/>
      </c>
      <c r="R2712" t="str">
        <f t="shared" si="190"/>
        <v/>
      </c>
    </row>
    <row r="2713" spans="1:18" x14ac:dyDescent="0.2">
      <c r="A2713" t="str">
        <f t="shared" si="189"/>
        <v/>
      </c>
      <c r="R2713" t="str">
        <f t="shared" si="190"/>
        <v/>
      </c>
    </row>
    <row r="2714" spans="1:18" x14ac:dyDescent="0.2">
      <c r="A2714" t="str">
        <f t="shared" si="189"/>
        <v/>
      </c>
      <c r="R2714" t="str">
        <f t="shared" si="190"/>
        <v/>
      </c>
    </row>
    <row r="2715" spans="1:18" x14ac:dyDescent="0.2">
      <c r="A2715" t="str">
        <f t="shared" si="189"/>
        <v/>
      </c>
      <c r="R2715" t="str">
        <f t="shared" si="190"/>
        <v/>
      </c>
    </row>
    <row r="2716" spans="1:18" x14ac:dyDescent="0.2">
      <c r="A2716" t="str">
        <f t="shared" si="189"/>
        <v/>
      </c>
      <c r="R2716" t="str">
        <f t="shared" si="190"/>
        <v/>
      </c>
    </row>
    <row r="2717" spans="1:18" x14ac:dyDescent="0.2">
      <c r="A2717" t="str">
        <f t="shared" si="189"/>
        <v/>
      </c>
      <c r="R2717" t="str">
        <f t="shared" si="190"/>
        <v/>
      </c>
    </row>
    <row r="2718" spans="1:18" x14ac:dyDescent="0.2">
      <c r="A2718" t="str">
        <f t="shared" si="189"/>
        <v/>
      </c>
      <c r="R2718" t="str">
        <f t="shared" si="190"/>
        <v/>
      </c>
    </row>
    <row r="2719" spans="1:18" x14ac:dyDescent="0.2">
      <c r="A2719" t="str">
        <f t="shared" si="189"/>
        <v/>
      </c>
      <c r="R2719" t="str">
        <f t="shared" si="190"/>
        <v/>
      </c>
    </row>
    <row r="2720" spans="1:18" x14ac:dyDescent="0.2">
      <c r="A2720" t="str">
        <f t="shared" si="189"/>
        <v/>
      </c>
      <c r="R2720" t="str">
        <f t="shared" si="190"/>
        <v/>
      </c>
    </row>
    <row r="2721" spans="1:18" x14ac:dyDescent="0.2">
      <c r="A2721" t="str">
        <f t="shared" si="189"/>
        <v/>
      </c>
      <c r="R2721" t="str">
        <f t="shared" si="190"/>
        <v/>
      </c>
    </row>
    <row r="2722" spans="1:18" x14ac:dyDescent="0.2">
      <c r="A2722" t="str">
        <f t="shared" si="189"/>
        <v/>
      </c>
      <c r="R2722" t="str">
        <f t="shared" si="190"/>
        <v/>
      </c>
    </row>
    <row r="2723" spans="1:18" x14ac:dyDescent="0.2">
      <c r="A2723" t="str">
        <f t="shared" si="189"/>
        <v/>
      </c>
      <c r="R2723" t="str">
        <f t="shared" si="190"/>
        <v/>
      </c>
    </row>
    <row r="2724" spans="1:18" x14ac:dyDescent="0.2">
      <c r="A2724" t="str">
        <f t="shared" si="189"/>
        <v/>
      </c>
      <c r="R2724" t="str">
        <f t="shared" si="190"/>
        <v/>
      </c>
    </row>
    <row r="2725" spans="1:18" x14ac:dyDescent="0.2">
      <c r="A2725" t="str">
        <f t="shared" si="189"/>
        <v/>
      </c>
      <c r="R2725" t="str">
        <f t="shared" si="190"/>
        <v/>
      </c>
    </row>
    <row r="2726" spans="1:18" x14ac:dyDescent="0.2">
      <c r="A2726" t="str">
        <f t="shared" si="189"/>
        <v/>
      </c>
      <c r="R2726" t="str">
        <f t="shared" si="190"/>
        <v/>
      </c>
    </row>
    <row r="2727" spans="1:18" x14ac:dyDescent="0.2">
      <c r="A2727" t="str">
        <f t="shared" si="189"/>
        <v/>
      </c>
      <c r="R2727" t="str">
        <f t="shared" si="190"/>
        <v/>
      </c>
    </row>
    <row r="2728" spans="1:18" x14ac:dyDescent="0.2">
      <c r="A2728" t="str">
        <f t="shared" si="189"/>
        <v/>
      </c>
      <c r="R2728" t="str">
        <f t="shared" si="190"/>
        <v/>
      </c>
    </row>
    <row r="2729" spans="1:18" x14ac:dyDescent="0.2">
      <c r="A2729" t="str">
        <f t="shared" si="189"/>
        <v/>
      </c>
      <c r="R2729" t="str">
        <f t="shared" si="190"/>
        <v/>
      </c>
    </row>
    <row r="2730" spans="1:18" x14ac:dyDescent="0.2">
      <c r="A2730" t="str">
        <f t="shared" si="189"/>
        <v/>
      </c>
      <c r="R2730" t="str">
        <f t="shared" si="190"/>
        <v/>
      </c>
    </row>
    <row r="2731" spans="1:18" x14ac:dyDescent="0.2">
      <c r="A2731" t="str">
        <f t="shared" si="189"/>
        <v/>
      </c>
      <c r="R2731" t="str">
        <f t="shared" si="190"/>
        <v/>
      </c>
    </row>
    <row r="2732" spans="1:18" x14ac:dyDescent="0.2">
      <c r="A2732" t="str">
        <f t="shared" si="189"/>
        <v/>
      </c>
      <c r="R2732" t="str">
        <f t="shared" si="190"/>
        <v/>
      </c>
    </row>
    <row r="2733" spans="1:18" x14ac:dyDescent="0.2">
      <c r="A2733" t="str">
        <f t="shared" si="189"/>
        <v/>
      </c>
      <c r="R2733" t="str">
        <f t="shared" si="190"/>
        <v/>
      </c>
    </row>
    <row r="2734" spans="1:18" x14ac:dyDescent="0.2">
      <c r="A2734" t="str">
        <f t="shared" si="189"/>
        <v/>
      </c>
      <c r="R2734" t="str">
        <f t="shared" si="190"/>
        <v/>
      </c>
    </row>
    <row r="2735" spans="1:18" x14ac:dyDescent="0.2">
      <c r="A2735" t="str">
        <f t="shared" si="189"/>
        <v/>
      </c>
      <c r="R2735" t="str">
        <f t="shared" si="190"/>
        <v/>
      </c>
    </row>
    <row r="2736" spans="1:18" x14ac:dyDescent="0.2">
      <c r="A2736" t="str">
        <f t="shared" si="189"/>
        <v/>
      </c>
      <c r="R2736" t="str">
        <f t="shared" si="190"/>
        <v/>
      </c>
    </row>
    <row r="2737" spans="1:18" x14ac:dyDescent="0.2">
      <c r="A2737" t="str">
        <f t="shared" si="189"/>
        <v/>
      </c>
      <c r="R2737" t="str">
        <f t="shared" si="190"/>
        <v/>
      </c>
    </row>
    <row r="2738" spans="1:18" x14ac:dyDescent="0.2">
      <c r="A2738" t="str">
        <f t="shared" si="189"/>
        <v/>
      </c>
      <c r="R2738" t="str">
        <f t="shared" si="190"/>
        <v/>
      </c>
    </row>
    <row r="2739" spans="1:18" x14ac:dyDescent="0.2">
      <c r="A2739" t="str">
        <f t="shared" si="189"/>
        <v/>
      </c>
      <c r="R2739" t="str">
        <f t="shared" si="190"/>
        <v/>
      </c>
    </row>
    <row r="2740" spans="1:18" x14ac:dyDescent="0.2">
      <c r="A2740" t="str">
        <f t="shared" si="189"/>
        <v/>
      </c>
      <c r="R2740" t="str">
        <f t="shared" si="190"/>
        <v/>
      </c>
    </row>
    <row r="2741" spans="1:18" x14ac:dyDescent="0.2">
      <c r="A2741" t="str">
        <f t="shared" si="189"/>
        <v/>
      </c>
      <c r="R2741" t="str">
        <f t="shared" si="190"/>
        <v/>
      </c>
    </row>
    <row r="2742" spans="1:18" x14ac:dyDescent="0.2">
      <c r="A2742" t="str">
        <f t="shared" si="189"/>
        <v/>
      </c>
      <c r="R2742" t="str">
        <f t="shared" si="190"/>
        <v/>
      </c>
    </row>
    <row r="2743" spans="1:18" x14ac:dyDescent="0.2">
      <c r="A2743" t="str">
        <f t="shared" si="189"/>
        <v/>
      </c>
      <c r="R2743" t="str">
        <f t="shared" si="190"/>
        <v/>
      </c>
    </row>
    <row r="2744" spans="1:18" x14ac:dyDescent="0.2">
      <c r="A2744" t="str">
        <f t="shared" si="189"/>
        <v/>
      </c>
      <c r="R2744" t="str">
        <f t="shared" si="190"/>
        <v/>
      </c>
    </row>
    <row r="2745" spans="1:18" x14ac:dyDescent="0.2">
      <c r="A2745" t="str">
        <f t="shared" si="189"/>
        <v/>
      </c>
      <c r="R2745" t="str">
        <f t="shared" si="190"/>
        <v/>
      </c>
    </row>
    <row r="2746" spans="1:18" x14ac:dyDescent="0.2">
      <c r="A2746" t="str">
        <f t="shared" si="189"/>
        <v/>
      </c>
      <c r="R2746" t="str">
        <f t="shared" si="190"/>
        <v/>
      </c>
    </row>
    <row r="2747" spans="1:18" x14ac:dyDescent="0.2">
      <c r="A2747" t="str">
        <f t="shared" si="189"/>
        <v/>
      </c>
      <c r="R2747" t="str">
        <f t="shared" si="190"/>
        <v/>
      </c>
    </row>
    <row r="2748" spans="1:18" x14ac:dyDescent="0.2">
      <c r="A2748" t="str">
        <f t="shared" si="189"/>
        <v/>
      </c>
      <c r="R2748" t="str">
        <f t="shared" si="190"/>
        <v/>
      </c>
    </row>
    <row r="2749" spans="1:18" x14ac:dyDescent="0.2">
      <c r="A2749" t="str">
        <f t="shared" si="189"/>
        <v/>
      </c>
      <c r="R2749" t="str">
        <f t="shared" si="190"/>
        <v/>
      </c>
    </row>
    <row r="2750" spans="1:18" x14ac:dyDescent="0.2">
      <c r="A2750" t="str">
        <f t="shared" si="189"/>
        <v/>
      </c>
      <c r="R2750" t="str">
        <f t="shared" si="190"/>
        <v/>
      </c>
    </row>
    <row r="2751" spans="1:18" x14ac:dyDescent="0.2">
      <c r="A2751" t="str">
        <f t="shared" si="189"/>
        <v/>
      </c>
      <c r="R2751" t="str">
        <f t="shared" si="190"/>
        <v/>
      </c>
    </row>
    <row r="2752" spans="1:18" x14ac:dyDescent="0.2">
      <c r="A2752" t="str">
        <f t="shared" si="189"/>
        <v/>
      </c>
      <c r="R2752" t="str">
        <f t="shared" si="190"/>
        <v/>
      </c>
    </row>
    <row r="2753" spans="1:18" x14ac:dyDescent="0.2">
      <c r="A2753" t="str">
        <f t="shared" si="189"/>
        <v/>
      </c>
      <c r="R2753" t="str">
        <f t="shared" si="190"/>
        <v/>
      </c>
    </row>
    <row r="2754" spans="1:18" x14ac:dyDescent="0.2">
      <c r="A2754" t="str">
        <f t="shared" si="189"/>
        <v/>
      </c>
      <c r="R2754" t="str">
        <f t="shared" si="190"/>
        <v/>
      </c>
    </row>
    <row r="2755" spans="1:18" x14ac:dyDescent="0.2">
      <c r="A2755" t="str">
        <f t="shared" ref="A2755:A2818" si="191">IFERROR(IF(OR(K2755="",I2755=0),"",D2755&amp;K2755&amp;I2755),"")</f>
        <v/>
      </c>
      <c r="R2755" t="str">
        <f t="shared" ref="R2755:R2818" si="192">G2755&amp;K2755&amp;N2755</f>
        <v/>
      </c>
    </row>
    <row r="2756" spans="1:18" x14ac:dyDescent="0.2">
      <c r="A2756" t="str">
        <f t="shared" si="191"/>
        <v/>
      </c>
      <c r="R2756" t="str">
        <f t="shared" si="192"/>
        <v/>
      </c>
    </row>
    <row r="2757" spans="1:18" x14ac:dyDescent="0.2">
      <c r="A2757" t="str">
        <f t="shared" si="191"/>
        <v/>
      </c>
      <c r="R2757" t="str">
        <f t="shared" si="192"/>
        <v/>
      </c>
    </row>
    <row r="2758" spans="1:18" x14ac:dyDescent="0.2">
      <c r="A2758" t="str">
        <f t="shared" si="191"/>
        <v/>
      </c>
      <c r="R2758" t="str">
        <f t="shared" si="192"/>
        <v/>
      </c>
    </row>
    <row r="2759" spans="1:18" x14ac:dyDescent="0.2">
      <c r="A2759" t="str">
        <f t="shared" si="191"/>
        <v/>
      </c>
      <c r="R2759" t="str">
        <f t="shared" si="192"/>
        <v/>
      </c>
    </row>
    <row r="2760" spans="1:18" x14ac:dyDescent="0.2">
      <c r="A2760" t="str">
        <f t="shared" si="191"/>
        <v/>
      </c>
      <c r="R2760" t="str">
        <f t="shared" si="192"/>
        <v/>
      </c>
    </row>
    <row r="2761" spans="1:18" x14ac:dyDescent="0.2">
      <c r="A2761" t="str">
        <f t="shared" si="191"/>
        <v/>
      </c>
      <c r="R2761" t="str">
        <f t="shared" si="192"/>
        <v/>
      </c>
    </row>
    <row r="2762" spans="1:18" x14ac:dyDescent="0.2">
      <c r="A2762" t="str">
        <f t="shared" si="191"/>
        <v/>
      </c>
      <c r="R2762" t="str">
        <f t="shared" si="192"/>
        <v/>
      </c>
    </row>
    <row r="2763" spans="1:18" x14ac:dyDescent="0.2">
      <c r="A2763" t="str">
        <f t="shared" si="191"/>
        <v/>
      </c>
      <c r="R2763" t="str">
        <f t="shared" si="192"/>
        <v/>
      </c>
    </row>
    <row r="2764" spans="1:18" x14ac:dyDescent="0.2">
      <c r="A2764" t="str">
        <f t="shared" si="191"/>
        <v/>
      </c>
      <c r="R2764" t="str">
        <f t="shared" si="192"/>
        <v/>
      </c>
    </row>
    <row r="2765" spans="1:18" x14ac:dyDescent="0.2">
      <c r="A2765" t="str">
        <f t="shared" si="191"/>
        <v/>
      </c>
      <c r="R2765" t="str">
        <f t="shared" si="192"/>
        <v/>
      </c>
    </row>
    <row r="2766" spans="1:18" x14ac:dyDescent="0.2">
      <c r="A2766" t="str">
        <f t="shared" si="191"/>
        <v/>
      </c>
      <c r="R2766" t="str">
        <f t="shared" si="192"/>
        <v/>
      </c>
    </row>
    <row r="2767" spans="1:18" x14ac:dyDescent="0.2">
      <c r="A2767" t="str">
        <f t="shared" si="191"/>
        <v/>
      </c>
      <c r="R2767" t="str">
        <f t="shared" si="192"/>
        <v/>
      </c>
    </row>
    <row r="2768" spans="1:18" x14ac:dyDescent="0.2">
      <c r="A2768" t="str">
        <f t="shared" si="191"/>
        <v/>
      </c>
      <c r="R2768" t="str">
        <f t="shared" si="192"/>
        <v/>
      </c>
    </row>
    <row r="2769" spans="1:18" x14ac:dyDescent="0.2">
      <c r="A2769" t="str">
        <f t="shared" si="191"/>
        <v/>
      </c>
      <c r="R2769" t="str">
        <f t="shared" si="192"/>
        <v/>
      </c>
    </row>
    <row r="2770" spans="1:18" x14ac:dyDescent="0.2">
      <c r="A2770" t="str">
        <f t="shared" si="191"/>
        <v/>
      </c>
      <c r="R2770" t="str">
        <f t="shared" si="192"/>
        <v/>
      </c>
    </row>
    <row r="2771" spans="1:18" x14ac:dyDescent="0.2">
      <c r="A2771" t="str">
        <f t="shared" si="191"/>
        <v/>
      </c>
      <c r="R2771" t="str">
        <f t="shared" si="192"/>
        <v/>
      </c>
    </row>
    <row r="2772" spans="1:18" x14ac:dyDescent="0.2">
      <c r="A2772" t="str">
        <f t="shared" si="191"/>
        <v/>
      </c>
      <c r="R2772" t="str">
        <f t="shared" si="192"/>
        <v/>
      </c>
    </row>
    <row r="2773" spans="1:18" x14ac:dyDescent="0.2">
      <c r="A2773" t="str">
        <f t="shared" si="191"/>
        <v/>
      </c>
      <c r="R2773" t="str">
        <f t="shared" si="192"/>
        <v/>
      </c>
    </row>
    <row r="2774" spans="1:18" x14ac:dyDescent="0.2">
      <c r="A2774" t="str">
        <f t="shared" si="191"/>
        <v/>
      </c>
      <c r="R2774" t="str">
        <f t="shared" si="192"/>
        <v/>
      </c>
    </row>
    <row r="2775" spans="1:18" x14ac:dyDescent="0.2">
      <c r="A2775" t="str">
        <f t="shared" si="191"/>
        <v/>
      </c>
      <c r="R2775" t="str">
        <f t="shared" si="192"/>
        <v/>
      </c>
    </row>
    <row r="2776" spans="1:18" x14ac:dyDescent="0.2">
      <c r="A2776" t="str">
        <f t="shared" si="191"/>
        <v/>
      </c>
      <c r="R2776" t="str">
        <f t="shared" si="192"/>
        <v/>
      </c>
    </row>
    <row r="2777" spans="1:18" x14ac:dyDescent="0.2">
      <c r="A2777" t="str">
        <f t="shared" si="191"/>
        <v/>
      </c>
      <c r="R2777" t="str">
        <f t="shared" si="192"/>
        <v/>
      </c>
    </row>
    <row r="2778" spans="1:18" x14ac:dyDescent="0.2">
      <c r="A2778" t="str">
        <f t="shared" si="191"/>
        <v/>
      </c>
      <c r="R2778" t="str">
        <f t="shared" si="192"/>
        <v/>
      </c>
    </row>
    <row r="2779" spans="1:18" x14ac:dyDescent="0.2">
      <c r="A2779" t="str">
        <f t="shared" si="191"/>
        <v/>
      </c>
      <c r="R2779" t="str">
        <f t="shared" si="192"/>
        <v/>
      </c>
    </row>
    <row r="2780" spans="1:18" x14ac:dyDescent="0.2">
      <c r="A2780" t="str">
        <f t="shared" si="191"/>
        <v/>
      </c>
      <c r="R2780" t="str">
        <f t="shared" si="192"/>
        <v/>
      </c>
    </row>
    <row r="2781" spans="1:18" x14ac:dyDescent="0.2">
      <c r="A2781" t="str">
        <f t="shared" si="191"/>
        <v/>
      </c>
      <c r="R2781" t="str">
        <f t="shared" si="192"/>
        <v/>
      </c>
    </row>
    <row r="2782" spans="1:18" x14ac:dyDescent="0.2">
      <c r="A2782" t="str">
        <f t="shared" si="191"/>
        <v/>
      </c>
      <c r="R2782" t="str">
        <f t="shared" si="192"/>
        <v/>
      </c>
    </row>
    <row r="2783" spans="1:18" x14ac:dyDescent="0.2">
      <c r="A2783" t="str">
        <f t="shared" si="191"/>
        <v/>
      </c>
      <c r="R2783" t="str">
        <f t="shared" si="192"/>
        <v/>
      </c>
    </row>
    <row r="2784" spans="1:18" x14ac:dyDescent="0.2">
      <c r="A2784" t="str">
        <f t="shared" si="191"/>
        <v/>
      </c>
      <c r="R2784" t="str">
        <f t="shared" si="192"/>
        <v/>
      </c>
    </row>
    <row r="2785" spans="1:18" x14ac:dyDescent="0.2">
      <c r="A2785" t="str">
        <f t="shared" si="191"/>
        <v/>
      </c>
      <c r="R2785" t="str">
        <f t="shared" si="192"/>
        <v/>
      </c>
    </row>
    <row r="2786" spans="1:18" x14ac:dyDescent="0.2">
      <c r="A2786" t="str">
        <f t="shared" si="191"/>
        <v/>
      </c>
      <c r="R2786" t="str">
        <f t="shared" si="192"/>
        <v/>
      </c>
    </row>
    <row r="2787" spans="1:18" x14ac:dyDescent="0.2">
      <c r="A2787" t="str">
        <f t="shared" si="191"/>
        <v/>
      </c>
      <c r="R2787" t="str">
        <f t="shared" si="192"/>
        <v/>
      </c>
    </row>
    <row r="2788" spans="1:18" x14ac:dyDescent="0.2">
      <c r="A2788" t="str">
        <f t="shared" si="191"/>
        <v/>
      </c>
      <c r="R2788" t="str">
        <f t="shared" si="192"/>
        <v/>
      </c>
    </row>
    <row r="2789" spans="1:18" x14ac:dyDescent="0.2">
      <c r="A2789" t="str">
        <f t="shared" si="191"/>
        <v/>
      </c>
      <c r="R2789" t="str">
        <f t="shared" si="192"/>
        <v/>
      </c>
    </row>
    <row r="2790" spans="1:18" x14ac:dyDescent="0.2">
      <c r="A2790" t="str">
        <f t="shared" si="191"/>
        <v/>
      </c>
      <c r="R2790" t="str">
        <f t="shared" si="192"/>
        <v/>
      </c>
    </row>
    <row r="2791" spans="1:18" x14ac:dyDescent="0.2">
      <c r="A2791" t="str">
        <f t="shared" si="191"/>
        <v/>
      </c>
      <c r="R2791" t="str">
        <f t="shared" si="192"/>
        <v/>
      </c>
    </row>
    <row r="2792" spans="1:18" x14ac:dyDescent="0.2">
      <c r="A2792" t="str">
        <f t="shared" si="191"/>
        <v/>
      </c>
      <c r="R2792" t="str">
        <f t="shared" si="192"/>
        <v/>
      </c>
    </row>
    <row r="2793" spans="1:18" x14ac:dyDescent="0.2">
      <c r="A2793" t="str">
        <f t="shared" si="191"/>
        <v/>
      </c>
      <c r="R2793" t="str">
        <f t="shared" si="192"/>
        <v/>
      </c>
    </row>
    <row r="2794" spans="1:18" x14ac:dyDescent="0.2">
      <c r="A2794" t="str">
        <f t="shared" si="191"/>
        <v/>
      </c>
      <c r="R2794" t="str">
        <f t="shared" si="192"/>
        <v/>
      </c>
    </row>
    <row r="2795" spans="1:18" x14ac:dyDescent="0.2">
      <c r="A2795" t="str">
        <f t="shared" si="191"/>
        <v/>
      </c>
      <c r="R2795" t="str">
        <f t="shared" si="192"/>
        <v/>
      </c>
    </row>
    <row r="2796" spans="1:18" x14ac:dyDescent="0.2">
      <c r="A2796" t="str">
        <f t="shared" si="191"/>
        <v/>
      </c>
      <c r="R2796" t="str">
        <f t="shared" si="192"/>
        <v/>
      </c>
    </row>
    <row r="2797" spans="1:18" x14ac:dyDescent="0.2">
      <c r="A2797" t="str">
        <f t="shared" si="191"/>
        <v/>
      </c>
      <c r="R2797" t="str">
        <f t="shared" si="192"/>
        <v/>
      </c>
    </row>
    <row r="2798" spans="1:18" x14ac:dyDescent="0.2">
      <c r="A2798" t="str">
        <f t="shared" si="191"/>
        <v/>
      </c>
      <c r="R2798" t="str">
        <f t="shared" si="192"/>
        <v/>
      </c>
    </row>
    <row r="2799" spans="1:18" x14ac:dyDescent="0.2">
      <c r="A2799" t="str">
        <f t="shared" si="191"/>
        <v/>
      </c>
      <c r="R2799" t="str">
        <f t="shared" si="192"/>
        <v/>
      </c>
    </row>
    <row r="2800" spans="1:18" x14ac:dyDescent="0.2">
      <c r="A2800" t="str">
        <f t="shared" si="191"/>
        <v/>
      </c>
      <c r="R2800" t="str">
        <f t="shared" si="192"/>
        <v/>
      </c>
    </row>
    <row r="2801" spans="1:18" x14ac:dyDescent="0.2">
      <c r="A2801" t="str">
        <f t="shared" si="191"/>
        <v/>
      </c>
      <c r="R2801" t="str">
        <f t="shared" si="192"/>
        <v/>
      </c>
    </row>
    <row r="2802" spans="1:18" x14ac:dyDescent="0.2">
      <c r="A2802" t="str">
        <f t="shared" si="191"/>
        <v/>
      </c>
      <c r="R2802" t="str">
        <f t="shared" si="192"/>
        <v/>
      </c>
    </row>
    <row r="2803" spans="1:18" x14ac:dyDescent="0.2">
      <c r="A2803" t="str">
        <f t="shared" si="191"/>
        <v/>
      </c>
      <c r="R2803" t="str">
        <f t="shared" si="192"/>
        <v/>
      </c>
    </row>
    <row r="2804" spans="1:18" x14ac:dyDescent="0.2">
      <c r="A2804" t="str">
        <f t="shared" si="191"/>
        <v/>
      </c>
      <c r="R2804" t="str">
        <f t="shared" si="192"/>
        <v/>
      </c>
    </row>
    <row r="2805" spans="1:18" x14ac:dyDescent="0.2">
      <c r="A2805" t="str">
        <f t="shared" si="191"/>
        <v/>
      </c>
      <c r="R2805" t="str">
        <f t="shared" si="192"/>
        <v/>
      </c>
    </row>
    <row r="2806" spans="1:18" x14ac:dyDescent="0.2">
      <c r="A2806" t="str">
        <f t="shared" si="191"/>
        <v/>
      </c>
      <c r="R2806" t="str">
        <f t="shared" si="192"/>
        <v/>
      </c>
    </row>
    <row r="2807" spans="1:18" x14ac:dyDescent="0.2">
      <c r="A2807" t="str">
        <f t="shared" si="191"/>
        <v/>
      </c>
      <c r="R2807" t="str">
        <f t="shared" si="192"/>
        <v/>
      </c>
    </row>
    <row r="2808" spans="1:18" x14ac:dyDescent="0.2">
      <c r="A2808" t="str">
        <f t="shared" si="191"/>
        <v/>
      </c>
      <c r="R2808" t="str">
        <f t="shared" si="192"/>
        <v/>
      </c>
    </row>
    <row r="2809" spans="1:18" x14ac:dyDescent="0.2">
      <c r="A2809" t="str">
        <f t="shared" si="191"/>
        <v/>
      </c>
      <c r="R2809" t="str">
        <f t="shared" si="192"/>
        <v/>
      </c>
    </row>
    <row r="2810" spans="1:18" x14ac:dyDescent="0.2">
      <c r="A2810" t="str">
        <f t="shared" si="191"/>
        <v/>
      </c>
      <c r="R2810" t="str">
        <f t="shared" si="192"/>
        <v/>
      </c>
    </row>
    <row r="2811" spans="1:18" x14ac:dyDescent="0.2">
      <c r="A2811" t="str">
        <f t="shared" si="191"/>
        <v/>
      </c>
      <c r="R2811" t="str">
        <f t="shared" si="192"/>
        <v/>
      </c>
    </row>
    <row r="2812" spans="1:18" x14ac:dyDescent="0.2">
      <c r="A2812" t="str">
        <f t="shared" si="191"/>
        <v/>
      </c>
      <c r="R2812" t="str">
        <f t="shared" si="192"/>
        <v/>
      </c>
    </row>
    <row r="2813" spans="1:18" x14ac:dyDescent="0.2">
      <c r="A2813" t="str">
        <f t="shared" si="191"/>
        <v/>
      </c>
      <c r="R2813" t="str">
        <f t="shared" si="192"/>
        <v/>
      </c>
    </row>
    <row r="2814" spans="1:18" x14ac:dyDescent="0.2">
      <c r="A2814" t="str">
        <f t="shared" si="191"/>
        <v/>
      </c>
      <c r="R2814" t="str">
        <f t="shared" si="192"/>
        <v/>
      </c>
    </row>
    <row r="2815" spans="1:18" x14ac:dyDescent="0.2">
      <c r="A2815" t="str">
        <f t="shared" si="191"/>
        <v/>
      </c>
      <c r="R2815" t="str">
        <f t="shared" si="192"/>
        <v/>
      </c>
    </row>
    <row r="2816" spans="1:18" x14ac:dyDescent="0.2">
      <c r="A2816" t="str">
        <f t="shared" si="191"/>
        <v/>
      </c>
      <c r="R2816" t="str">
        <f t="shared" si="192"/>
        <v/>
      </c>
    </row>
    <row r="2817" spans="1:18" x14ac:dyDescent="0.2">
      <c r="A2817" t="str">
        <f t="shared" si="191"/>
        <v/>
      </c>
      <c r="R2817" t="str">
        <f t="shared" si="192"/>
        <v/>
      </c>
    </row>
    <row r="2818" spans="1:18" x14ac:dyDescent="0.2">
      <c r="A2818" t="str">
        <f t="shared" si="191"/>
        <v/>
      </c>
      <c r="R2818" t="str">
        <f t="shared" si="192"/>
        <v/>
      </c>
    </row>
    <row r="2819" spans="1:18" x14ac:dyDescent="0.2">
      <c r="A2819" t="str">
        <f t="shared" ref="A2819:A2882" si="193">IFERROR(IF(OR(K2819="",I2819=0),"",D2819&amp;K2819&amp;I2819),"")</f>
        <v/>
      </c>
      <c r="R2819" t="str">
        <f t="shared" ref="R2819:R2882" si="194">G2819&amp;K2819&amp;N2819</f>
        <v/>
      </c>
    </row>
    <row r="2820" spans="1:18" x14ac:dyDescent="0.2">
      <c r="A2820" t="str">
        <f t="shared" si="193"/>
        <v/>
      </c>
      <c r="R2820" t="str">
        <f t="shared" si="194"/>
        <v/>
      </c>
    </row>
    <row r="2821" spans="1:18" x14ac:dyDescent="0.2">
      <c r="A2821" t="str">
        <f t="shared" si="193"/>
        <v/>
      </c>
      <c r="R2821" t="str">
        <f t="shared" si="194"/>
        <v/>
      </c>
    </row>
    <row r="2822" spans="1:18" x14ac:dyDescent="0.2">
      <c r="A2822" t="str">
        <f t="shared" si="193"/>
        <v/>
      </c>
      <c r="R2822" t="str">
        <f t="shared" si="194"/>
        <v/>
      </c>
    </row>
    <row r="2823" spans="1:18" x14ac:dyDescent="0.2">
      <c r="A2823" t="str">
        <f t="shared" si="193"/>
        <v/>
      </c>
      <c r="R2823" t="str">
        <f t="shared" si="194"/>
        <v/>
      </c>
    </row>
    <row r="2824" spans="1:18" x14ac:dyDescent="0.2">
      <c r="A2824" t="str">
        <f t="shared" si="193"/>
        <v/>
      </c>
      <c r="R2824" t="str">
        <f t="shared" si="194"/>
        <v/>
      </c>
    </row>
    <row r="2825" spans="1:18" x14ac:dyDescent="0.2">
      <c r="A2825" t="str">
        <f t="shared" si="193"/>
        <v/>
      </c>
      <c r="R2825" t="str">
        <f t="shared" si="194"/>
        <v/>
      </c>
    </row>
    <row r="2826" spans="1:18" x14ac:dyDescent="0.2">
      <c r="A2826" t="str">
        <f t="shared" si="193"/>
        <v/>
      </c>
      <c r="R2826" t="str">
        <f t="shared" si="194"/>
        <v/>
      </c>
    </row>
    <row r="2827" spans="1:18" x14ac:dyDescent="0.2">
      <c r="A2827" t="str">
        <f t="shared" si="193"/>
        <v/>
      </c>
      <c r="R2827" t="str">
        <f t="shared" si="194"/>
        <v/>
      </c>
    </row>
    <row r="2828" spans="1:18" x14ac:dyDescent="0.2">
      <c r="A2828" t="str">
        <f t="shared" si="193"/>
        <v/>
      </c>
      <c r="R2828" t="str">
        <f t="shared" si="194"/>
        <v/>
      </c>
    </row>
    <row r="2829" spans="1:18" x14ac:dyDescent="0.2">
      <c r="A2829" t="str">
        <f t="shared" si="193"/>
        <v/>
      </c>
      <c r="R2829" t="str">
        <f t="shared" si="194"/>
        <v/>
      </c>
    </row>
    <row r="2830" spans="1:18" x14ac:dyDescent="0.2">
      <c r="A2830" t="str">
        <f t="shared" si="193"/>
        <v/>
      </c>
      <c r="R2830" t="str">
        <f t="shared" si="194"/>
        <v/>
      </c>
    </row>
    <row r="2831" spans="1:18" x14ac:dyDescent="0.2">
      <c r="A2831" t="str">
        <f t="shared" si="193"/>
        <v/>
      </c>
      <c r="R2831" t="str">
        <f t="shared" si="194"/>
        <v/>
      </c>
    </row>
    <row r="2832" spans="1:18" x14ac:dyDescent="0.2">
      <c r="A2832" t="str">
        <f t="shared" si="193"/>
        <v/>
      </c>
      <c r="R2832" t="str">
        <f t="shared" si="194"/>
        <v/>
      </c>
    </row>
    <row r="2833" spans="1:18" x14ac:dyDescent="0.2">
      <c r="A2833" t="str">
        <f t="shared" si="193"/>
        <v/>
      </c>
      <c r="R2833" t="str">
        <f t="shared" si="194"/>
        <v/>
      </c>
    </row>
    <row r="2834" spans="1:18" x14ac:dyDescent="0.2">
      <c r="A2834" t="str">
        <f t="shared" si="193"/>
        <v/>
      </c>
      <c r="R2834" t="str">
        <f t="shared" si="194"/>
        <v/>
      </c>
    </row>
    <row r="2835" spans="1:18" x14ac:dyDescent="0.2">
      <c r="A2835" t="str">
        <f t="shared" si="193"/>
        <v/>
      </c>
      <c r="R2835" t="str">
        <f t="shared" si="194"/>
        <v/>
      </c>
    </row>
    <row r="2836" spans="1:18" x14ac:dyDescent="0.2">
      <c r="A2836" t="str">
        <f t="shared" si="193"/>
        <v/>
      </c>
      <c r="R2836" t="str">
        <f t="shared" si="194"/>
        <v/>
      </c>
    </row>
    <row r="2837" spans="1:18" x14ac:dyDescent="0.2">
      <c r="A2837" t="str">
        <f t="shared" si="193"/>
        <v/>
      </c>
      <c r="R2837" t="str">
        <f t="shared" si="194"/>
        <v/>
      </c>
    </row>
    <row r="2838" spans="1:18" x14ac:dyDescent="0.2">
      <c r="A2838" t="str">
        <f t="shared" si="193"/>
        <v/>
      </c>
      <c r="R2838" t="str">
        <f t="shared" si="194"/>
        <v/>
      </c>
    </row>
    <row r="2839" spans="1:18" x14ac:dyDescent="0.2">
      <c r="A2839" t="str">
        <f t="shared" si="193"/>
        <v/>
      </c>
      <c r="R2839" t="str">
        <f t="shared" si="194"/>
        <v/>
      </c>
    </row>
    <row r="2840" spans="1:18" x14ac:dyDescent="0.2">
      <c r="A2840" t="str">
        <f t="shared" si="193"/>
        <v/>
      </c>
      <c r="R2840" t="str">
        <f t="shared" si="194"/>
        <v/>
      </c>
    </row>
    <row r="2841" spans="1:18" x14ac:dyDescent="0.2">
      <c r="A2841" t="str">
        <f t="shared" si="193"/>
        <v/>
      </c>
      <c r="R2841" t="str">
        <f t="shared" si="194"/>
        <v/>
      </c>
    </row>
    <row r="2842" spans="1:18" x14ac:dyDescent="0.2">
      <c r="A2842" t="str">
        <f t="shared" si="193"/>
        <v/>
      </c>
      <c r="R2842" t="str">
        <f t="shared" si="194"/>
        <v/>
      </c>
    </row>
    <row r="2843" spans="1:18" x14ac:dyDescent="0.2">
      <c r="A2843" t="str">
        <f t="shared" si="193"/>
        <v/>
      </c>
      <c r="R2843" t="str">
        <f t="shared" si="194"/>
        <v/>
      </c>
    </row>
    <row r="2844" spans="1:18" x14ac:dyDescent="0.2">
      <c r="A2844" t="str">
        <f t="shared" si="193"/>
        <v/>
      </c>
      <c r="R2844" t="str">
        <f t="shared" si="194"/>
        <v/>
      </c>
    </row>
    <row r="2845" spans="1:18" x14ac:dyDescent="0.2">
      <c r="A2845" t="str">
        <f t="shared" si="193"/>
        <v/>
      </c>
      <c r="R2845" t="str">
        <f t="shared" si="194"/>
        <v/>
      </c>
    </row>
    <row r="2846" spans="1:18" x14ac:dyDescent="0.2">
      <c r="A2846" t="str">
        <f t="shared" si="193"/>
        <v/>
      </c>
      <c r="R2846" t="str">
        <f t="shared" si="194"/>
        <v/>
      </c>
    </row>
    <row r="2847" spans="1:18" x14ac:dyDescent="0.2">
      <c r="A2847" t="str">
        <f t="shared" si="193"/>
        <v/>
      </c>
      <c r="R2847" t="str">
        <f t="shared" si="194"/>
        <v/>
      </c>
    </row>
    <row r="2848" spans="1:18" x14ac:dyDescent="0.2">
      <c r="A2848" t="str">
        <f t="shared" si="193"/>
        <v/>
      </c>
      <c r="R2848" t="str">
        <f t="shared" si="194"/>
        <v/>
      </c>
    </row>
    <row r="2849" spans="1:18" x14ac:dyDescent="0.2">
      <c r="A2849" t="str">
        <f t="shared" si="193"/>
        <v/>
      </c>
      <c r="R2849" t="str">
        <f t="shared" si="194"/>
        <v/>
      </c>
    </row>
    <row r="2850" spans="1:18" x14ac:dyDescent="0.2">
      <c r="A2850" t="str">
        <f t="shared" si="193"/>
        <v/>
      </c>
      <c r="R2850" t="str">
        <f t="shared" si="194"/>
        <v/>
      </c>
    </row>
    <row r="2851" spans="1:18" x14ac:dyDescent="0.2">
      <c r="A2851" t="str">
        <f t="shared" si="193"/>
        <v/>
      </c>
      <c r="R2851" t="str">
        <f t="shared" si="194"/>
        <v/>
      </c>
    </row>
    <row r="2852" spans="1:18" x14ac:dyDescent="0.2">
      <c r="A2852" t="str">
        <f t="shared" si="193"/>
        <v/>
      </c>
      <c r="R2852" t="str">
        <f t="shared" si="194"/>
        <v/>
      </c>
    </row>
    <row r="2853" spans="1:18" x14ac:dyDescent="0.2">
      <c r="A2853" t="str">
        <f t="shared" si="193"/>
        <v/>
      </c>
      <c r="R2853" t="str">
        <f t="shared" si="194"/>
        <v/>
      </c>
    </row>
    <row r="2854" spans="1:18" x14ac:dyDescent="0.2">
      <c r="A2854" t="str">
        <f t="shared" si="193"/>
        <v/>
      </c>
      <c r="R2854" t="str">
        <f t="shared" si="194"/>
        <v/>
      </c>
    </row>
    <row r="2855" spans="1:18" x14ac:dyDescent="0.2">
      <c r="A2855" t="str">
        <f t="shared" si="193"/>
        <v/>
      </c>
      <c r="R2855" t="str">
        <f t="shared" si="194"/>
        <v/>
      </c>
    </row>
    <row r="2856" spans="1:18" x14ac:dyDescent="0.2">
      <c r="A2856" t="str">
        <f t="shared" si="193"/>
        <v/>
      </c>
      <c r="R2856" t="str">
        <f t="shared" si="194"/>
        <v/>
      </c>
    </row>
    <row r="2857" spans="1:18" x14ac:dyDescent="0.2">
      <c r="A2857" t="str">
        <f t="shared" si="193"/>
        <v/>
      </c>
      <c r="R2857" t="str">
        <f t="shared" si="194"/>
        <v/>
      </c>
    </row>
    <row r="2858" spans="1:18" x14ac:dyDescent="0.2">
      <c r="A2858" t="str">
        <f t="shared" si="193"/>
        <v/>
      </c>
      <c r="R2858" t="str">
        <f t="shared" si="194"/>
        <v/>
      </c>
    </row>
    <row r="2859" spans="1:18" x14ac:dyDescent="0.2">
      <c r="A2859" t="str">
        <f t="shared" si="193"/>
        <v/>
      </c>
      <c r="R2859" t="str">
        <f t="shared" si="194"/>
        <v/>
      </c>
    </row>
    <row r="2860" spans="1:18" x14ac:dyDescent="0.2">
      <c r="A2860" t="str">
        <f t="shared" si="193"/>
        <v/>
      </c>
      <c r="R2860" t="str">
        <f t="shared" si="194"/>
        <v/>
      </c>
    </row>
    <row r="2861" spans="1:18" x14ac:dyDescent="0.2">
      <c r="A2861" t="str">
        <f t="shared" si="193"/>
        <v/>
      </c>
      <c r="R2861" t="str">
        <f t="shared" si="194"/>
        <v/>
      </c>
    </row>
    <row r="2862" spans="1:18" x14ac:dyDescent="0.2">
      <c r="A2862" t="str">
        <f t="shared" si="193"/>
        <v/>
      </c>
      <c r="R2862" t="str">
        <f t="shared" si="194"/>
        <v/>
      </c>
    </row>
    <row r="2863" spans="1:18" x14ac:dyDescent="0.2">
      <c r="A2863" t="str">
        <f t="shared" si="193"/>
        <v/>
      </c>
      <c r="R2863" t="str">
        <f t="shared" si="194"/>
        <v/>
      </c>
    </row>
    <row r="2864" spans="1:18" x14ac:dyDescent="0.2">
      <c r="A2864" t="str">
        <f t="shared" si="193"/>
        <v/>
      </c>
      <c r="R2864" t="str">
        <f t="shared" si="194"/>
        <v/>
      </c>
    </row>
    <row r="2865" spans="1:18" x14ac:dyDescent="0.2">
      <c r="A2865" t="str">
        <f t="shared" si="193"/>
        <v/>
      </c>
      <c r="R2865" t="str">
        <f t="shared" si="194"/>
        <v/>
      </c>
    </row>
    <row r="2866" spans="1:18" x14ac:dyDescent="0.2">
      <c r="A2866" t="str">
        <f t="shared" si="193"/>
        <v/>
      </c>
      <c r="R2866" t="str">
        <f t="shared" si="194"/>
        <v/>
      </c>
    </row>
    <row r="2867" spans="1:18" x14ac:dyDescent="0.2">
      <c r="A2867" t="str">
        <f t="shared" si="193"/>
        <v/>
      </c>
      <c r="R2867" t="str">
        <f t="shared" si="194"/>
        <v/>
      </c>
    </row>
    <row r="2868" spans="1:18" x14ac:dyDescent="0.2">
      <c r="A2868" t="str">
        <f t="shared" si="193"/>
        <v/>
      </c>
      <c r="R2868" t="str">
        <f t="shared" si="194"/>
        <v/>
      </c>
    </row>
    <row r="2869" spans="1:18" x14ac:dyDescent="0.2">
      <c r="A2869" t="str">
        <f t="shared" si="193"/>
        <v/>
      </c>
      <c r="R2869" t="str">
        <f t="shared" si="194"/>
        <v/>
      </c>
    </row>
    <row r="2870" spans="1:18" x14ac:dyDescent="0.2">
      <c r="A2870" t="str">
        <f t="shared" si="193"/>
        <v/>
      </c>
      <c r="R2870" t="str">
        <f t="shared" si="194"/>
        <v/>
      </c>
    </row>
    <row r="2871" spans="1:18" x14ac:dyDescent="0.2">
      <c r="A2871" t="str">
        <f t="shared" si="193"/>
        <v/>
      </c>
      <c r="R2871" t="str">
        <f t="shared" si="194"/>
        <v/>
      </c>
    </row>
    <row r="2872" spans="1:18" x14ac:dyDescent="0.2">
      <c r="A2872" t="str">
        <f t="shared" si="193"/>
        <v/>
      </c>
      <c r="R2872" t="str">
        <f t="shared" si="194"/>
        <v/>
      </c>
    </row>
    <row r="2873" spans="1:18" x14ac:dyDescent="0.2">
      <c r="A2873" t="str">
        <f t="shared" si="193"/>
        <v/>
      </c>
      <c r="R2873" t="str">
        <f t="shared" si="194"/>
        <v/>
      </c>
    </row>
    <row r="2874" spans="1:18" x14ac:dyDescent="0.2">
      <c r="A2874" t="str">
        <f t="shared" si="193"/>
        <v/>
      </c>
      <c r="R2874" t="str">
        <f t="shared" si="194"/>
        <v/>
      </c>
    </row>
    <row r="2875" spans="1:18" x14ac:dyDescent="0.2">
      <c r="A2875" t="str">
        <f t="shared" si="193"/>
        <v/>
      </c>
      <c r="R2875" t="str">
        <f t="shared" si="194"/>
        <v/>
      </c>
    </row>
    <row r="2876" spans="1:18" x14ac:dyDescent="0.2">
      <c r="A2876" t="str">
        <f t="shared" si="193"/>
        <v/>
      </c>
      <c r="R2876" t="str">
        <f t="shared" si="194"/>
        <v/>
      </c>
    </row>
    <row r="2877" spans="1:18" x14ac:dyDescent="0.2">
      <c r="A2877" t="str">
        <f t="shared" si="193"/>
        <v/>
      </c>
      <c r="R2877" t="str">
        <f t="shared" si="194"/>
        <v/>
      </c>
    </row>
    <row r="2878" spans="1:18" x14ac:dyDescent="0.2">
      <c r="A2878" t="str">
        <f t="shared" si="193"/>
        <v/>
      </c>
      <c r="R2878" t="str">
        <f t="shared" si="194"/>
        <v/>
      </c>
    </row>
    <row r="2879" spans="1:18" x14ac:dyDescent="0.2">
      <c r="A2879" t="str">
        <f t="shared" si="193"/>
        <v/>
      </c>
      <c r="R2879" t="str">
        <f t="shared" si="194"/>
        <v/>
      </c>
    </row>
    <row r="2880" spans="1:18" x14ac:dyDescent="0.2">
      <c r="A2880" t="str">
        <f t="shared" si="193"/>
        <v/>
      </c>
      <c r="R2880" t="str">
        <f t="shared" si="194"/>
        <v/>
      </c>
    </row>
    <row r="2881" spans="1:18" x14ac:dyDescent="0.2">
      <c r="A2881" t="str">
        <f t="shared" si="193"/>
        <v/>
      </c>
      <c r="R2881" t="str">
        <f t="shared" si="194"/>
        <v/>
      </c>
    </row>
    <row r="2882" spans="1:18" x14ac:dyDescent="0.2">
      <c r="A2882" t="str">
        <f t="shared" si="193"/>
        <v/>
      </c>
      <c r="R2882" t="str">
        <f t="shared" si="194"/>
        <v/>
      </c>
    </row>
    <row r="2883" spans="1:18" x14ac:dyDescent="0.2">
      <c r="A2883" t="str">
        <f t="shared" ref="A2883:A2946" si="195">IFERROR(IF(OR(K2883="",I2883=0),"",D2883&amp;K2883&amp;I2883),"")</f>
        <v/>
      </c>
      <c r="R2883" t="str">
        <f t="shared" ref="R2883:R2946" si="196">G2883&amp;K2883&amp;N2883</f>
        <v/>
      </c>
    </row>
    <row r="2884" spans="1:18" x14ac:dyDescent="0.2">
      <c r="A2884" t="str">
        <f t="shared" si="195"/>
        <v/>
      </c>
      <c r="R2884" t="str">
        <f t="shared" si="196"/>
        <v/>
      </c>
    </row>
    <row r="2885" spans="1:18" x14ac:dyDescent="0.2">
      <c r="A2885" t="str">
        <f t="shared" si="195"/>
        <v/>
      </c>
      <c r="R2885" t="str">
        <f t="shared" si="196"/>
        <v/>
      </c>
    </row>
    <row r="2886" spans="1:18" x14ac:dyDescent="0.2">
      <c r="A2886" t="str">
        <f t="shared" si="195"/>
        <v/>
      </c>
      <c r="R2886" t="str">
        <f t="shared" si="196"/>
        <v/>
      </c>
    </row>
    <row r="2887" spans="1:18" x14ac:dyDescent="0.2">
      <c r="A2887" t="str">
        <f t="shared" si="195"/>
        <v/>
      </c>
      <c r="R2887" t="str">
        <f t="shared" si="196"/>
        <v/>
      </c>
    </row>
    <row r="2888" spans="1:18" x14ac:dyDescent="0.2">
      <c r="A2888" t="str">
        <f t="shared" si="195"/>
        <v/>
      </c>
      <c r="R2888" t="str">
        <f t="shared" si="196"/>
        <v/>
      </c>
    </row>
    <row r="2889" spans="1:18" x14ac:dyDescent="0.2">
      <c r="A2889" t="str">
        <f t="shared" si="195"/>
        <v/>
      </c>
      <c r="R2889" t="str">
        <f t="shared" si="196"/>
        <v/>
      </c>
    </row>
    <row r="2890" spans="1:18" x14ac:dyDescent="0.2">
      <c r="A2890" t="str">
        <f t="shared" si="195"/>
        <v/>
      </c>
      <c r="R2890" t="str">
        <f t="shared" si="196"/>
        <v/>
      </c>
    </row>
    <row r="2891" spans="1:18" x14ac:dyDescent="0.2">
      <c r="A2891" t="str">
        <f t="shared" si="195"/>
        <v/>
      </c>
      <c r="R2891" t="str">
        <f t="shared" si="196"/>
        <v/>
      </c>
    </row>
    <row r="2892" spans="1:18" x14ac:dyDescent="0.2">
      <c r="A2892" t="str">
        <f t="shared" si="195"/>
        <v/>
      </c>
      <c r="R2892" t="str">
        <f t="shared" si="196"/>
        <v/>
      </c>
    </row>
    <row r="2893" spans="1:18" x14ac:dyDescent="0.2">
      <c r="A2893" t="str">
        <f t="shared" si="195"/>
        <v/>
      </c>
      <c r="R2893" t="str">
        <f t="shared" si="196"/>
        <v/>
      </c>
    </row>
    <row r="2894" spans="1:18" x14ac:dyDescent="0.2">
      <c r="A2894" t="str">
        <f t="shared" si="195"/>
        <v/>
      </c>
      <c r="R2894" t="str">
        <f t="shared" si="196"/>
        <v/>
      </c>
    </row>
    <row r="2895" spans="1:18" x14ac:dyDescent="0.2">
      <c r="A2895" t="str">
        <f t="shared" si="195"/>
        <v/>
      </c>
      <c r="R2895" t="str">
        <f t="shared" si="196"/>
        <v/>
      </c>
    </row>
    <row r="2896" spans="1:18" x14ac:dyDescent="0.2">
      <c r="A2896" t="str">
        <f t="shared" si="195"/>
        <v/>
      </c>
      <c r="R2896" t="str">
        <f t="shared" si="196"/>
        <v/>
      </c>
    </row>
    <row r="2897" spans="1:18" x14ac:dyDescent="0.2">
      <c r="A2897" t="str">
        <f t="shared" si="195"/>
        <v/>
      </c>
      <c r="R2897" t="str">
        <f t="shared" si="196"/>
        <v/>
      </c>
    </row>
    <row r="2898" spans="1:18" x14ac:dyDescent="0.2">
      <c r="A2898" t="str">
        <f t="shared" si="195"/>
        <v/>
      </c>
      <c r="R2898" t="str">
        <f t="shared" si="196"/>
        <v/>
      </c>
    </row>
    <row r="2899" spans="1:18" x14ac:dyDescent="0.2">
      <c r="A2899" t="str">
        <f t="shared" si="195"/>
        <v/>
      </c>
      <c r="R2899" t="str">
        <f t="shared" si="196"/>
        <v/>
      </c>
    </row>
    <row r="2900" spans="1:18" x14ac:dyDescent="0.2">
      <c r="A2900" t="str">
        <f t="shared" si="195"/>
        <v/>
      </c>
      <c r="R2900" t="str">
        <f t="shared" si="196"/>
        <v/>
      </c>
    </row>
    <row r="2901" spans="1:18" x14ac:dyDescent="0.2">
      <c r="A2901" t="str">
        <f t="shared" si="195"/>
        <v/>
      </c>
      <c r="R2901" t="str">
        <f t="shared" si="196"/>
        <v/>
      </c>
    </row>
    <row r="2902" spans="1:18" x14ac:dyDescent="0.2">
      <c r="A2902" t="str">
        <f t="shared" si="195"/>
        <v/>
      </c>
      <c r="R2902" t="str">
        <f t="shared" si="196"/>
        <v/>
      </c>
    </row>
    <row r="2903" spans="1:18" x14ac:dyDescent="0.2">
      <c r="A2903" t="str">
        <f t="shared" si="195"/>
        <v/>
      </c>
      <c r="R2903" t="str">
        <f t="shared" si="196"/>
        <v/>
      </c>
    </row>
    <row r="2904" spans="1:18" x14ac:dyDescent="0.2">
      <c r="A2904" t="str">
        <f t="shared" si="195"/>
        <v/>
      </c>
      <c r="R2904" t="str">
        <f t="shared" si="196"/>
        <v/>
      </c>
    </row>
    <row r="2905" spans="1:18" x14ac:dyDescent="0.2">
      <c r="A2905" t="str">
        <f t="shared" si="195"/>
        <v/>
      </c>
      <c r="R2905" t="str">
        <f t="shared" si="196"/>
        <v/>
      </c>
    </row>
    <row r="2906" spans="1:18" x14ac:dyDescent="0.2">
      <c r="A2906" t="str">
        <f t="shared" si="195"/>
        <v/>
      </c>
      <c r="R2906" t="str">
        <f t="shared" si="196"/>
        <v/>
      </c>
    </row>
    <row r="2907" spans="1:18" x14ac:dyDescent="0.2">
      <c r="A2907" t="str">
        <f t="shared" si="195"/>
        <v/>
      </c>
      <c r="R2907" t="str">
        <f t="shared" si="196"/>
        <v/>
      </c>
    </row>
    <row r="2908" spans="1:18" x14ac:dyDescent="0.2">
      <c r="A2908" t="str">
        <f t="shared" si="195"/>
        <v/>
      </c>
      <c r="R2908" t="str">
        <f t="shared" si="196"/>
        <v/>
      </c>
    </row>
    <row r="2909" spans="1:18" x14ac:dyDescent="0.2">
      <c r="A2909" t="str">
        <f t="shared" si="195"/>
        <v/>
      </c>
      <c r="R2909" t="str">
        <f t="shared" si="196"/>
        <v/>
      </c>
    </row>
    <row r="2910" spans="1:18" x14ac:dyDescent="0.2">
      <c r="A2910" t="str">
        <f t="shared" si="195"/>
        <v/>
      </c>
      <c r="R2910" t="str">
        <f t="shared" si="196"/>
        <v/>
      </c>
    </row>
    <row r="2911" spans="1:18" x14ac:dyDescent="0.2">
      <c r="A2911" t="str">
        <f t="shared" si="195"/>
        <v/>
      </c>
      <c r="R2911" t="str">
        <f t="shared" si="196"/>
        <v/>
      </c>
    </row>
    <row r="2912" spans="1:18" x14ac:dyDescent="0.2">
      <c r="A2912" t="str">
        <f t="shared" si="195"/>
        <v/>
      </c>
      <c r="R2912" t="str">
        <f t="shared" si="196"/>
        <v/>
      </c>
    </row>
    <row r="2913" spans="1:18" x14ac:dyDescent="0.2">
      <c r="A2913" t="str">
        <f t="shared" si="195"/>
        <v/>
      </c>
      <c r="R2913" t="str">
        <f t="shared" si="196"/>
        <v/>
      </c>
    </row>
    <row r="2914" spans="1:18" x14ac:dyDescent="0.2">
      <c r="A2914" t="str">
        <f t="shared" si="195"/>
        <v/>
      </c>
      <c r="R2914" t="str">
        <f t="shared" si="196"/>
        <v/>
      </c>
    </row>
    <row r="2915" spans="1:18" x14ac:dyDescent="0.2">
      <c r="A2915" t="str">
        <f t="shared" si="195"/>
        <v/>
      </c>
      <c r="R2915" t="str">
        <f t="shared" si="196"/>
        <v/>
      </c>
    </row>
    <row r="2916" spans="1:18" x14ac:dyDescent="0.2">
      <c r="A2916" t="str">
        <f t="shared" si="195"/>
        <v/>
      </c>
      <c r="R2916" t="str">
        <f t="shared" si="196"/>
        <v/>
      </c>
    </row>
    <row r="2917" spans="1:18" x14ac:dyDescent="0.2">
      <c r="A2917" t="str">
        <f t="shared" si="195"/>
        <v/>
      </c>
      <c r="R2917" t="str">
        <f t="shared" si="196"/>
        <v/>
      </c>
    </row>
    <row r="2918" spans="1:18" x14ac:dyDescent="0.2">
      <c r="A2918" t="str">
        <f t="shared" si="195"/>
        <v/>
      </c>
      <c r="R2918" t="str">
        <f t="shared" si="196"/>
        <v/>
      </c>
    </row>
    <row r="2919" spans="1:18" x14ac:dyDescent="0.2">
      <c r="A2919" t="str">
        <f t="shared" si="195"/>
        <v/>
      </c>
      <c r="R2919" t="str">
        <f t="shared" si="196"/>
        <v/>
      </c>
    </row>
    <row r="2920" spans="1:18" x14ac:dyDescent="0.2">
      <c r="A2920" t="str">
        <f t="shared" si="195"/>
        <v/>
      </c>
      <c r="R2920" t="str">
        <f t="shared" si="196"/>
        <v/>
      </c>
    </row>
    <row r="2921" spans="1:18" x14ac:dyDescent="0.2">
      <c r="A2921" t="str">
        <f t="shared" si="195"/>
        <v/>
      </c>
      <c r="R2921" t="str">
        <f t="shared" si="196"/>
        <v/>
      </c>
    </row>
    <row r="2922" spans="1:18" x14ac:dyDescent="0.2">
      <c r="A2922" t="str">
        <f t="shared" si="195"/>
        <v/>
      </c>
      <c r="R2922" t="str">
        <f t="shared" si="196"/>
        <v/>
      </c>
    </row>
    <row r="2923" spans="1:18" x14ac:dyDescent="0.2">
      <c r="A2923" t="str">
        <f t="shared" si="195"/>
        <v/>
      </c>
      <c r="R2923" t="str">
        <f t="shared" si="196"/>
        <v/>
      </c>
    </row>
    <row r="2924" spans="1:18" x14ac:dyDescent="0.2">
      <c r="A2924" t="str">
        <f t="shared" si="195"/>
        <v/>
      </c>
      <c r="R2924" t="str">
        <f t="shared" si="196"/>
        <v/>
      </c>
    </row>
    <row r="2925" spans="1:18" x14ac:dyDescent="0.2">
      <c r="A2925" t="str">
        <f t="shared" si="195"/>
        <v/>
      </c>
      <c r="R2925" t="str">
        <f t="shared" si="196"/>
        <v/>
      </c>
    </row>
    <row r="2926" spans="1:18" x14ac:dyDescent="0.2">
      <c r="A2926" t="str">
        <f t="shared" si="195"/>
        <v/>
      </c>
      <c r="R2926" t="str">
        <f t="shared" si="196"/>
        <v/>
      </c>
    </row>
    <row r="2927" spans="1:18" x14ac:dyDescent="0.2">
      <c r="A2927" t="str">
        <f t="shared" si="195"/>
        <v/>
      </c>
      <c r="R2927" t="str">
        <f t="shared" si="196"/>
        <v/>
      </c>
    </row>
    <row r="2928" spans="1:18" x14ac:dyDescent="0.2">
      <c r="A2928" t="str">
        <f t="shared" si="195"/>
        <v/>
      </c>
      <c r="R2928" t="str">
        <f t="shared" si="196"/>
        <v/>
      </c>
    </row>
    <row r="2929" spans="1:18" x14ac:dyDescent="0.2">
      <c r="A2929" t="str">
        <f t="shared" si="195"/>
        <v/>
      </c>
      <c r="R2929" t="str">
        <f t="shared" si="196"/>
        <v/>
      </c>
    </row>
    <row r="2930" spans="1:18" x14ac:dyDescent="0.2">
      <c r="A2930" t="str">
        <f t="shared" si="195"/>
        <v/>
      </c>
      <c r="R2930" t="str">
        <f t="shared" si="196"/>
        <v/>
      </c>
    </row>
    <row r="2931" spans="1:18" x14ac:dyDescent="0.2">
      <c r="A2931" t="str">
        <f t="shared" si="195"/>
        <v/>
      </c>
      <c r="R2931" t="str">
        <f t="shared" si="196"/>
        <v/>
      </c>
    </row>
    <row r="2932" spans="1:18" x14ac:dyDescent="0.2">
      <c r="A2932" t="str">
        <f t="shared" si="195"/>
        <v/>
      </c>
      <c r="R2932" t="str">
        <f t="shared" si="196"/>
        <v/>
      </c>
    </row>
    <row r="2933" spans="1:18" x14ac:dyDescent="0.2">
      <c r="A2933" t="str">
        <f t="shared" si="195"/>
        <v/>
      </c>
      <c r="R2933" t="str">
        <f t="shared" si="196"/>
        <v/>
      </c>
    </row>
    <row r="2934" spans="1:18" x14ac:dyDescent="0.2">
      <c r="A2934" t="str">
        <f t="shared" si="195"/>
        <v/>
      </c>
      <c r="R2934" t="str">
        <f t="shared" si="196"/>
        <v/>
      </c>
    </row>
    <row r="2935" spans="1:18" x14ac:dyDescent="0.2">
      <c r="A2935" t="str">
        <f t="shared" si="195"/>
        <v/>
      </c>
      <c r="R2935" t="str">
        <f t="shared" si="196"/>
        <v/>
      </c>
    </row>
    <row r="2936" spans="1:18" x14ac:dyDescent="0.2">
      <c r="A2936" t="str">
        <f t="shared" si="195"/>
        <v/>
      </c>
      <c r="R2936" t="str">
        <f t="shared" si="196"/>
        <v/>
      </c>
    </row>
    <row r="2937" spans="1:18" x14ac:dyDescent="0.2">
      <c r="A2937" t="str">
        <f t="shared" si="195"/>
        <v/>
      </c>
      <c r="R2937" t="str">
        <f t="shared" si="196"/>
        <v/>
      </c>
    </row>
    <row r="2938" spans="1:18" x14ac:dyDescent="0.2">
      <c r="A2938" t="str">
        <f t="shared" si="195"/>
        <v/>
      </c>
      <c r="R2938" t="str">
        <f t="shared" si="196"/>
        <v/>
      </c>
    </row>
    <row r="2939" spans="1:18" x14ac:dyDescent="0.2">
      <c r="A2939" t="str">
        <f t="shared" si="195"/>
        <v/>
      </c>
      <c r="R2939" t="str">
        <f t="shared" si="196"/>
        <v/>
      </c>
    </row>
    <row r="2940" spans="1:18" x14ac:dyDescent="0.2">
      <c r="A2940" t="str">
        <f t="shared" si="195"/>
        <v/>
      </c>
      <c r="R2940" t="str">
        <f t="shared" si="196"/>
        <v/>
      </c>
    </row>
    <row r="2941" spans="1:18" x14ac:dyDescent="0.2">
      <c r="A2941" t="str">
        <f t="shared" si="195"/>
        <v/>
      </c>
      <c r="R2941" t="str">
        <f t="shared" si="196"/>
        <v/>
      </c>
    </row>
    <row r="2942" spans="1:18" x14ac:dyDescent="0.2">
      <c r="A2942" t="str">
        <f t="shared" si="195"/>
        <v/>
      </c>
      <c r="R2942" t="str">
        <f t="shared" si="196"/>
        <v/>
      </c>
    </row>
    <row r="2943" spans="1:18" x14ac:dyDescent="0.2">
      <c r="A2943" t="str">
        <f t="shared" si="195"/>
        <v/>
      </c>
      <c r="R2943" t="str">
        <f t="shared" si="196"/>
        <v/>
      </c>
    </row>
    <row r="2944" spans="1:18" x14ac:dyDescent="0.2">
      <c r="A2944" t="str">
        <f t="shared" si="195"/>
        <v/>
      </c>
      <c r="R2944" t="str">
        <f t="shared" si="196"/>
        <v/>
      </c>
    </row>
    <row r="2945" spans="1:18" x14ac:dyDescent="0.2">
      <c r="A2945" t="str">
        <f t="shared" si="195"/>
        <v/>
      </c>
      <c r="R2945" t="str">
        <f t="shared" si="196"/>
        <v/>
      </c>
    </row>
    <row r="2946" spans="1:18" x14ac:dyDescent="0.2">
      <c r="A2946" t="str">
        <f t="shared" si="195"/>
        <v/>
      </c>
      <c r="R2946" t="str">
        <f t="shared" si="196"/>
        <v/>
      </c>
    </row>
    <row r="2947" spans="1:18" x14ac:dyDescent="0.2">
      <c r="A2947" t="str">
        <f t="shared" ref="A2947:A3003" si="197">IFERROR(IF(OR(K2947="",I2947=0),"",D2947&amp;K2947&amp;I2947),"")</f>
        <v/>
      </c>
      <c r="R2947" t="str">
        <f t="shared" ref="R2947:R3004" si="198">G2947&amp;K2947&amp;N2947</f>
        <v/>
      </c>
    </row>
    <row r="2948" spans="1:18" x14ac:dyDescent="0.2">
      <c r="A2948" t="str">
        <f t="shared" si="197"/>
        <v/>
      </c>
      <c r="R2948" t="str">
        <f t="shared" si="198"/>
        <v/>
      </c>
    </row>
    <row r="2949" spans="1:18" x14ac:dyDescent="0.2">
      <c r="A2949" t="str">
        <f t="shared" si="197"/>
        <v/>
      </c>
      <c r="R2949" t="str">
        <f t="shared" si="198"/>
        <v/>
      </c>
    </row>
    <row r="2950" spans="1:18" x14ac:dyDescent="0.2">
      <c r="A2950" t="str">
        <f t="shared" si="197"/>
        <v/>
      </c>
      <c r="R2950" t="str">
        <f t="shared" si="198"/>
        <v/>
      </c>
    </row>
    <row r="2951" spans="1:18" x14ac:dyDescent="0.2">
      <c r="A2951" t="str">
        <f t="shared" si="197"/>
        <v/>
      </c>
      <c r="R2951" t="str">
        <f t="shared" si="198"/>
        <v/>
      </c>
    </row>
    <row r="2952" spans="1:18" x14ac:dyDescent="0.2">
      <c r="A2952" t="str">
        <f t="shared" si="197"/>
        <v/>
      </c>
      <c r="R2952" t="str">
        <f t="shared" si="198"/>
        <v/>
      </c>
    </row>
    <row r="2953" spans="1:18" x14ac:dyDescent="0.2">
      <c r="A2953" t="str">
        <f t="shared" si="197"/>
        <v/>
      </c>
      <c r="R2953" t="str">
        <f t="shared" si="198"/>
        <v/>
      </c>
    </row>
    <row r="2954" spans="1:18" x14ac:dyDescent="0.2">
      <c r="A2954" t="str">
        <f t="shared" si="197"/>
        <v/>
      </c>
      <c r="R2954" t="str">
        <f t="shared" si="198"/>
        <v/>
      </c>
    </row>
    <row r="2955" spans="1:18" x14ac:dyDescent="0.2">
      <c r="A2955" t="str">
        <f t="shared" si="197"/>
        <v/>
      </c>
      <c r="R2955" t="str">
        <f t="shared" si="198"/>
        <v/>
      </c>
    </row>
    <row r="2956" spans="1:18" x14ac:dyDescent="0.2">
      <c r="A2956" t="str">
        <f t="shared" si="197"/>
        <v/>
      </c>
      <c r="R2956" t="str">
        <f t="shared" si="198"/>
        <v/>
      </c>
    </row>
    <row r="2957" spans="1:18" x14ac:dyDescent="0.2">
      <c r="A2957" t="str">
        <f t="shared" si="197"/>
        <v/>
      </c>
      <c r="R2957" t="str">
        <f t="shared" si="198"/>
        <v/>
      </c>
    </row>
    <row r="2958" spans="1:18" x14ac:dyDescent="0.2">
      <c r="A2958" t="str">
        <f t="shared" si="197"/>
        <v/>
      </c>
      <c r="R2958" t="str">
        <f t="shared" si="198"/>
        <v/>
      </c>
    </row>
    <row r="2959" spans="1:18" x14ac:dyDescent="0.2">
      <c r="A2959" t="str">
        <f t="shared" si="197"/>
        <v/>
      </c>
      <c r="R2959" t="str">
        <f t="shared" si="198"/>
        <v/>
      </c>
    </row>
    <row r="2960" spans="1:18" x14ac:dyDescent="0.2">
      <c r="A2960" t="str">
        <f t="shared" si="197"/>
        <v/>
      </c>
      <c r="R2960" t="str">
        <f t="shared" si="198"/>
        <v/>
      </c>
    </row>
    <row r="2961" spans="1:18" x14ac:dyDescent="0.2">
      <c r="A2961" t="str">
        <f t="shared" si="197"/>
        <v/>
      </c>
      <c r="R2961" t="str">
        <f t="shared" si="198"/>
        <v/>
      </c>
    </row>
    <row r="2962" spans="1:18" x14ac:dyDescent="0.2">
      <c r="A2962" t="str">
        <f t="shared" si="197"/>
        <v/>
      </c>
      <c r="R2962" t="str">
        <f t="shared" si="198"/>
        <v/>
      </c>
    </row>
    <row r="2963" spans="1:18" x14ac:dyDescent="0.2">
      <c r="A2963" t="str">
        <f t="shared" si="197"/>
        <v/>
      </c>
      <c r="R2963" t="str">
        <f t="shared" si="198"/>
        <v/>
      </c>
    </row>
    <row r="2964" spans="1:18" x14ac:dyDescent="0.2">
      <c r="A2964" t="str">
        <f t="shared" si="197"/>
        <v/>
      </c>
      <c r="R2964" t="str">
        <f t="shared" si="198"/>
        <v/>
      </c>
    </row>
    <row r="2965" spans="1:18" x14ac:dyDescent="0.2">
      <c r="A2965" t="str">
        <f t="shared" si="197"/>
        <v/>
      </c>
      <c r="R2965" t="str">
        <f t="shared" si="198"/>
        <v/>
      </c>
    </row>
    <row r="2966" spans="1:18" x14ac:dyDescent="0.2">
      <c r="A2966" t="str">
        <f t="shared" si="197"/>
        <v/>
      </c>
      <c r="R2966" t="str">
        <f t="shared" si="198"/>
        <v/>
      </c>
    </row>
    <row r="2967" spans="1:18" x14ac:dyDescent="0.2">
      <c r="A2967" t="str">
        <f t="shared" si="197"/>
        <v/>
      </c>
      <c r="R2967" t="str">
        <f t="shared" si="198"/>
        <v/>
      </c>
    </row>
    <row r="2968" spans="1:18" x14ac:dyDescent="0.2">
      <c r="A2968" t="str">
        <f t="shared" si="197"/>
        <v/>
      </c>
      <c r="R2968" t="str">
        <f t="shared" si="198"/>
        <v/>
      </c>
    </row>
    <row r="2969" spans="1:18" x14ac:dyDescent="0.2">
      <c r="A2969" t="str">
        <f t="shared" si="197"/>
        <v/>
      </c>
      <c r="R2969" t="str">
        <f t="shared" si="198"/>
        <v/>
      </c>
    </row>
    <row r="2970" spans="1:18" x14ac:dyDescent="0.2">
      <c r="A2970" t="str">
        <f t="shared" si="197"/>
        <v/>
      </c>
      <c r="R2970" t="str">
        <f t="shared" si="198"/>
        <v/>
      </c>
    </row>
    <row r="2971" spans="1:18" x14ac:dyDescent="0.2">
      <c r="A2971" t="str">
        <f t="shared" si="197"/>
        <v/>
      </c>
      <c r="R2971" t="str">
        <f t="shared" si="198"/>
        <v/>
      </c>
    </row>
    <row r="2972" spans="1:18" x14ac:dyDescent="0.2">
      <c r="A2972" t="str">
        <f t="shared" si="197"/>
        <v/>
      </c>
      <c r="R2972" t="str">
        <f t="shared" si="198"/>
        <v/>
      </c>
    </row>
    <row r="2973" spans="1:18" x14ac:dyDescent="0.2">
      <c r="A2973" t="str">
        <f t="shared" si="197"/>
        <v/>
      </c>
      <c r="R2973" t="str">
        <f t="shared" si="198"/>
        <v/>
      </c>
    </row>
    <row r="2974" spans="1:18" x14ac:dyDescent="0.2">
      <c r="A2974" t="str">
        <f t="shared" si="197"/>
        <v/>
      </c>
      <c r="R2974" t="str">
        <f t="shared" si="198"/>
        <v/>
      </c>
    </row>
    <row r="2975" spans="1:18" x14ac:dyDescent="0.2">
      <c r="A2975" t="str">
        <f t="shared" si="197"/>
        <v/>
      </c>
      <c r="R2975" t="str">
        <f t="shared" si="198"/>
        <v/>
      </c>
    </row>
    <row r="2976" spans="1:18" x14ac:dyDescent="0.2">
      <c r="A2976" t="str">
        <f t="shared" si="197"/>
        <v/>
      </c>
      <c r="R2976" t="str">
        <f t="shared" si="198"/>
        <v/>
      </c>
    </row>
    <row r="2977" spans="1:18" x14ac:dyDescent="0.2">
      <c r="A2977" t="str">
        <f t="shared" si="197"/>
        <v/>
      </c>
      <c r="R2977" t="str">
        <f t="shared" si="198"/>
        <v/>
      </c>
    </row>
    <row r="2978" spans="1:18" x14ac:dyDescent="0.2">
      <c r="A2978" t="str">
        <f t="shared" si="197"/>
        <v/>
      </c>
      <c r="R2978" t="str">
        <f t="shared" si="198"/>
        <v/>
      </c>
    </row>
    <row r="2979" spans="1:18" x14ac:dyDescent="0.2">
      <c r="A2979" t="str">
        <f t="shared" si="197"/>
        <v/>
      </c>
      <c r="R2979" t="str">
        <f t="shared" si="198"/>
        <v/>
      </c>
    </row>
    <row r="2980" spans="1:18" x14ac:dyDescent="0.2">
      <c r="A2980" t="str">
        <f t="shared" si="197"/>
        <v/>
      </c>
      <c r="R2980" t="str">
        <f t="shared" si="198"/>
        <v/>
      </c>
    </row>
    <row r="2981" spans="1:18" x14ac:dyDescent="0.2">
      <c r="A2981" t="str">
        <f t="shared" si="197"/>
        <v/>
      </c>
      <c r="R2981" t="str">
        <f t="shared" si="198"/>
        <v/>
      </c>
    </row>
    <row r="2982" spans="1:18" x14ac:dyDescent="0.2">
      <c r="A2982" t="str">
        <f t="shared" si="197"/>
        <v/>
      </c>
      <c r="R2982" t="str">
        <f t="shared" si="198"/>
        <v/>
      </c>
    </row>
    <row r="2983" spans="1:18" x14ac:dyDescent="0.2">
      <c r="A2983" t="str">
        <f t="shared" si="197"/>
        <v/>
      </c>
      <c r="R2983" t="str">
        <f t="shared" si="198"/>
        <v/>
      </c>
    </row>
    <row r="2984" spans="1:18" x14ac:dyDescent="0.2">
      <c r="A2984" t="str">
        <f t="shared" si="197"/>
        <v/>
      </c>
      <c r="R2984" t="str">
        <f t="shared" si="198"/>
        <v/>
      </c>
    </row>
    <row r="2985" spans="1:18" x14ac:dyDescent="0.2">
      <c r="A2985" t="str">
        <f t="shared" si="197"/>
        <v/>
      </c>
      <c r="R2985" t="str">
        <f t="shared" si="198"/>
        <v/>
      </c>
    </row>
    <row r="2986" spans="1:18" x14ac:dyDescent="0.2">
      <c r="A2986" t="str">
        <f t="shared" si="197"/>
        <v/>
      </c>
      <c r="R2986" t="str">
        <f t="shared" si="198"/>
        <v/>
      </c>
    </row>
    <row r="2987" spans="1:18" x14ac:dyDescent="0.2">
      <c r="A2987" t="str">
        <f t="shared" si="197"/>
        <v/>
      </c>
      <c r="R2987" t="str">
        <f t="shared" si="198"/>
        <v/>
      </c>
    </row>
    <row r="2988" spans="1:18" x14ac:dyDescent="0.2">
      <c r="A2988" t="str">
        <f t="shared" si="197"/>
        <v/>
      </c>
      <c r="R2988" t="str">
        <f t="shared" si="198"/>
        <v/>
      </c>
    </row>
    <row r="2989" spans="1:18" x14ac:dyDescent="0.2">
      <c r="A2989" t="str">
        <f t="shared" si="197"/>
        <v/>
      </c>
      <c r="R2989" t="str">
        <f t="shared" si="198"/>
        <v/>
      </c>
    </row>
    <row r="2990" spans="1:18" x14ac:dyDescent="0.2">
      <c r="A2990" t="str">
        <f t="shared" si="197"/>
        <v/>
      </c>
      <c r="R2990" t="str">
        <f t="shared" si="198"/>
        <v/>
      </c>
    </row>
    <row r="2991" spans="1:18" x14ac:dyDescent="0.2">
      <c r="A2991" t="str">
        <f t="shared" si="197"/>
        <v/>
      </c>
      <c r="R2991" t="str">
        <f t="shared" si="198"/>
        <v/>
      </c>
    </row>
    <row r="2992" spans="1:18" x14ac:dyDescent="0.2">
      <c r="A2992" t="str">
        <f t="shared" si="197"/>
        <v/>
      </c>
      <c r="R2992" t="str">
        <f t="shared" si="198"/>
        <v/>
      </c>
    </row>
    <row r="2993" spans="1:18" x14ac:dyDescent="0.2">
      <c r="A2993" t="str">
        <f t="shared" si="197"/>
        <v/>
      </c>
      <c r="R2993" t="str">
        <f t="shared" si="198"/>
        <v/>
      </c>
    </row>
    <row r="2994" spans="1:18" x14ac:dyDescent="0.2">
      <c r="A2994" t="str">
        <f t="shared" si="197"/>
        <v/>
      </c>
      <c r="R2994" t="str">
        <f t="shared" si="198"/>
        <v/>
      </c>
    </row>
    <row r="2995" spans="1:18" x14ac:dyDescent="0.2">
      <c r="A2995" t="str">
        <f t="shared" si="197"/>
        <v/>
      </c>
      <c r="R2995" t="str">
        <f t="shared" si="198"/>
        <v/>
      </c>
    </row>
    <row r="2996" spans="1:18" x14ac:dyDescent="0.2">
      <c r="A2996" t="str">
        <f t="shared" si="197"/>
        <v/>
      </c>
      <c r="R2996" t="str">
        <f t="shared" si="198"/>
        <v/>
      </c>
    </row>
    <row r="2997" spans="1:18" x14ac:dyDescent="0.2">
      <c r="A2997" t="str">
        <f t="shared" si="197"/>
        <v/>
      </c>
      <c r="R2997" t="str">
        <f t="shared" si="198"/>
        <v/>
      </c>
    </row>
    <row r="2998" spans="1:18" x14ac:dyDescent="0.2">
      <c r="A2998" t="str">
        <f t="shared" si="197"/>
        <v/>
      </c>
      <c r="R2998" t="str">
        <f t="shared" si="198"/>
        <v/>
      </c>
    </row>
    <row r="2999" spans="1:18" x14ac:dyDescent="0.2">
      <c r="A2999" t="str">
        <f t="shared" si="197"/>
        <v/>
      </c>
      <c r="R2999" t="str">
        <f t="shared" si="198"/>
        <v/>
      </c>
    </row>
    <row r="3000" spans="1:18" x14ac:dyDescent="0.2">
      <c r="A3000" t="str">
        <f t="shared" si="197"/>
        <v/>
      </c>
      <c r="R3000" t="str">
        <f t="shared" si="198"/>
        <v/>
      </c>
    </row>
    <row r="3001" spans="1:18" x14ac:dyDescent="0.2">
      <c r="A3001" t="str">
        <f t="shared" si="197"/>
        <v/>
      </c>
      <c r="R3001" t="str">
        <f t="shared" si="198"/>
        <v/>
      </c>
    </row>
    <row r="3002" spans="1:18" x14ac:dyDescent="0.2">
      <c r="A3002" t="str">
        <f t="shared" si="197"/>
        <v/>
      </c>
      <c r="R3002" t="str">
        <f t="shared" si="198"/>
        <v/>
      </c>
    </row>
    <row r="3003" spans="1:18" x14ac:dyDescent="0.2">
      <c r="A3003" t="str">
        <f t="shared" si="197"/>
        <v/>
      </c>
      <c r="R3003" t="str">
        <f t="shared" si="198"/>
        <v/>
      </c>
    </row>
    <row r="3004" spans="1:18" x14ac:dyDescent="0.2">
      <c r="P3004" t="str">
        <f>IF(OR(K3004="",K3004=0),"",D3004&amp;N3004&amp;K3004&amp;M3004&amp;F3004&amp;ROUNDUP(G3004,0))</f>
        <v/>
      </c>
      <c r="R3004" t="str">
        <f t="shared" si="198"/>
        <v/>
      </c>
    </row>
    <row r="3011" spans="4:4" x14ac:dyDescent="0.2">
      <c r="D3011" s="80"/>
    </row>
    <row r="3012" spans="4:4" x14ac:dyDescent="0.2">
      <c r="D3012" s="80"/>
    </row>
    <row r="3013" spans="4:4" x14ac:dyDescent="0.2">
      <c r="D3013" s="80"/>
    </row>
    <row r="3014" spans="4:4" x14ac:dyDescent="0.2">
      <c r="D3014" s="80"/>
    </row>
    <row r="3015" spans="4:4" x14ac:dyDescent="0.2">
      <c r="D3015" s="80"/>
    </row>
    <row r="3016" spans="4:4" x14ac:dyDescent="0.2">
      <c r="D3016" s="80"/>
    </row>
    <row r="3127" spans="1:1" x14ac:dyDescent="0.2">
      <c r="A3127" t="str">
        <f>IFERROR(IF(K3127="","",N3127&amp;M3127&amp;G3127&amp;D3127&amp;K3127),"")</f>
        <v/>
      </c>
    </row>
    <row r="3128" spans="1:1" x14ac:dyDescent="0.2">
      <c r="A3128" t="str">
        <f>IFERROR(IF(K3128="","",N3128&amp;M3128&amp;G3128&amp;D3128&amp;K3128),"")</f>
        <v/>
      </c>
    </row>
    <row r="3129" spans="1:1" x14ac:dyDescent="0.2">
      <c r="A3129" t="str">
        <f t="shared" ref="A3129" si="199">IFERROR(IF(K3129="","",N3129&amp;M3129&amp;G3129&amp;D3129&amp;K3129),"")</f>
        <v/>
      </c>
    </row>
  </sheetData>
  <autoFilter ref="A1:T3004"/>
  <pageMargins left="0.7" right="0.7" top="0.75" bottom="0.75" header="0.3" footer="0.3"/>
  <customProperties>
    <customPr name="EpmWorksheetKeyString_GU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N167"/>
  <sheetViews>
    <sheetView showGridLines="0" topLeftCell="A15" workbookViewId="0">
      <selection activeCell="F27" sqref="F27"/>
    </sheetView>
  </sheetViews>
  <sheetFormatPr defaultColWidth="0" defaultRowHeight="15" customHeight="1" zeroHeight="1" x14ac:dyDescent="0.25"/>
  <cols>
    <col min="1" max="1" width="8.5703125" style="91" customWidth="1"/>
    <col min="2" max="2" width="10.42578125" style="91" customWidth="1"/>
    <col min="3" max="3" width="12.7109375" style="91" bestFit="1" customWidth="1"/>
    <col min="4" max="5" width="12.28515625" style="91" customWidth="1"/>
    <col min="6" max="6" width="56.42578125" style="91" customWidth="1"/>
    <col min="7" max="8" width="15.5703125" style="91" customWidth="1"/>
    <col min="9" max="9" width="8.85546875" style="91" customWidth="1"/>
    <col min="10" max="14" width="0" style="91" hidden="1" customWidth="1"/>
    <col min="15" max="16384" width="8.85546875" style="91" hidden="1"/>
  </cols>
  <sheetData>
    <row r="1" spans="2:8" x14ac:dyDescent="0.25"/>
    <row r="2" spans="2:8" x14ac:dyDescent="0.25"/>
    <row r="3" spans="2:8" x14ac:dyDescent="0.25"/>
    <row r="4" spans="2:8" x14ac:dyDescent="0.25">
      <c r="D4" s="162" t="s">
        <v>402</v>
      </c>
      <c r="E4" s="162"/>
      <c r="F4" s="162"/>
      <c r="G4" s="162"/>
      <c r="H4" s="162"/>
    </row>
    <row r="5" spans="2:8" x14ac:dyDescent="0.25"/>
    <row r="6" spans="2:8" x14ac:dyDescent="0.25">
      <c r="B6" s="92" t="s">
        <v>403</v>
      </c>
    </row>
    <row r="7" spans="2:8" ht="15" customHeight="1" x14ac:dyDescent="0.25">
      <c r="B7" s="163" t="s">
        <v>404</v>
      </c>
      <c r="C7" s="163"/>
      <c r="D7" s="163"/>
      <c r="E7" s="163"/>
      <c r="F7" s="163"/>
      <c r="G7" s="163"/>
      <c r="H7" s="163"/>
    </row>
    <row r="8" spans="2:8" ht="28.9" customHeight="1" x14ac:dyDescent="0.25">
      <c r="B8" s="163"/>
      <c r="C8" s="163"/>
      <c r="D8" s="163"/>
      <c r="E8" s="163"/>
      <c r="F8" s="163"/>
      <c r="G8" s="163"/>
      <c r="H8" s="163"/>
    </row>
    <row r="9" spans="2:8" ht="52.5" customHeight="1" x14ac:dyDescent="0.25">
      <c r="B9" s="163" t="s">
        <v>405</v>
      </c>
      <c r="C9" s="163"/>
      <c r="D9" s="163"/>
      <c r="E9" s="163"/>
      <c r="F9" s="163"/>
      <c r="G9" s="163"/>
      <c r="H9" s="163"/>
    </row>
    <row r="10" spans="2:8" x14ac:dyDescent="0.25"/>
    <row r="11" spans="2:8" x14ac:dyDescent="0.25">
      <c r="B11" s="92" t="s">
        <v>406</v>
      </c>
      <c r="D11" s="164">
        <v>43405</v>
      </c>
      <c r="E11" s="164"/>
      <c r="F11" s="165"/>
    </row>
    <row r="12" spans="2:8" x14ac:dyDescent="0.25">
      <c r="B12" s="92"/>
    </row>
    <row r="13" spans="2:8" x14ac:dyDescent="0.25">
      <c r="B13" s="92" t="s">
        <v>407</v>
      </c>
      <c r="D13" s="93" t="s">
        <v>21</v>
      </c>
      <c r="F13" s="94"/>
    </row>
    <row r="14" spans="2:8" x14ac:dyDescent="0.25">
      <c r="B14" s="92" t="s">
        <v>408</v>
      </c>
      <c r="D14" s="95">
        <v>6799</v>
      </c>
      <c r="F14" s="94"/>
    </row>
    <row r="15" spans="2:8" x14ac:dyDescent="0.25"/>
    <row r="16" spans="2:8" x14ac:dyDescent="0.25">
      <c r="B16" s="92" t="s">
        <v>409</v>
      </c>
      <c r="D16" s="96" t="s">
        <v>391</v>
      </c>
    </row>
    <row r="17" spans="2:8" x14ac:dyDescent="0.25">
      <c r="B17" s="92" t="s">
        <v>410</v>
      </c>
      <c r="D17" s="166" t="s">
        <v>411</v>
      </c>
      <c r="E17" s="167"/>
      <c r="F17" s="167"/>
    </row>
    <row r="18" spans="2:8" x14ac:dyDescent="0.25"/>
    <row r="19" spans="2:8" x14ac:dyDescent="0.25">
      <c r="B19" s="97" t="s">
        <v>412</v>
      </c>
    </row>
    <row r="20" spans="2:8" ht="28.15" customHeight="1" x14ac:dyDescent="0.25">
      <c r="B20" s="161" t="s">
        <v>413</v>
      </c>
      <c r="C20" s="161"/>
      <c r="D20" s="161"/>
      <c r="E20" s="161"/>
      <c r="F20" s="161"/>
      <c r="G20" s="161"/>
      <c r="H20" s="161"/>
    </row>
    <row r="21" spans="2:8" x14ac:dyDescent="0.25"/>
    <row r="22" spans="2:8" ht="15" customHeight="1" x14ac:dyDescent="0.25">
      <c r="B22" s="151" t="str">
        <f>D17</f>
        <v>Reclass</v>
      </c>
      <c r="C22" s="152"/>
      <c r="D22" s="152"/>
      <c r="E22" s="152"/>
      <c r="F22" s="152"/>
      <c r="G22" s="152"/>
      <c r="H22" s="153"/>
    </row>
    <row r="23" spans="2:8" ht="36" customHeight="1" x14ac:dyDescent="0.25">
      <c r="B23" s="154"/>
      <c r="C23" s="155"/>
      <c r="D23" s="155"/>
      <c r="E23" s="155"/>
      <c r="F23" s="155"/>
      <c r="G23" s="155"/>
      <c r="H23" s="156"/>
    </row>
    <row r="24" spans="2:8" x14ac:dyDescent="0.25"/>
    <row r="25" spans="2:8" x14ac:dyDescent="0.25"/>
    <row r="26" spans="2:8" x14ac:dyDescent="0.25">
      <c r="G26" s="91" t="s">
        <v>414</v>
      </c>
    </row>
    <row r="27" spans="2:8" s="98" customFormat="1" ht="15" customHeight="1" x14ac:dyDescent="0.25">
      <c r="B27" s="157" t="s">
        <v>415</v>
      </c>
      <c r="C27" s="158" t="s">
        <v>416</v>
      </c>
      <c r="D27" s="159" t="s">
        <v>417</v>
      </c>
      <c r="E27" s="160" t="s">
        <v>418</v>
      </c>
      <c r="G27" s="99"/>
      <c r="H27" s="99"/>
    </row>
    <row r="28" spans="2:8" s="98" customFormat="1" ht="15" customHeight="1" x14ac:dyDescent="0.25">
      <c r="B28" s="157"/>
      <c r="C28" s="158"/>
      <c r="D28" s="159"/>
      <c r="E28" s="160"/>
      <c r="F28" s="99" t="s">
        <v>419</v>
      </c>
      <c r="G28" s="99" t="s">
        <v>420</v>
      </c>
      <c r="H28" s="99" t="s">
        <v>421</v>
      </c>
    </row>
    <row r="29" spans="2:8" x14ac:dyDescent="0.25">
      <c r="B29" s="100"/>
      <c r="C29" s="100"/>
      <c r="D29" s="100"/>
      <c r="E29" s="100"/>
      <c r="G29" s="100"/>
    </row>
    <row r="30" spans="2:8" x14ac:dyDescent="0.25"/>
    <row r="31" spans="2:8" x14ac:dyDescent="0.25">
      <c r="B31" s="101">
        <v>72020302</v>
      </c>
      <c r="C31" s="101">
        <v>365403</v>
      </c>
      <c r="D31" s="102"/>
      <c r="E31" s="103"/>
      <c r="F31" s="101" t="s">
        <v>422</v>
      </c>
      <c r="G31" s="104">
        <v>134145.63</v>
      </c>
      <c r="H31" s="104"/>
    </row>
    <row r="32" spans="2:8" x14ac:dyDescent="0.25">
      <c r="B32" s="101">
        <v>15950935</v>
      </c>
      <c r="C32" s="101">
        <v>365403</v>
      </c>
      <c r="D32" s="102"/>
      <c r="E32" s="103"/>
      <c r="F32" s="101" t="str">
        <f>F31</f>
        <v>Def Fees YTD 06 2018 reclass</v>
      </c>
      <c r="G32" s="104"/>
      <c r="H32" s="104">
        <f>G31</f>
        <v>134145.63</v>
      </c>
    </row>
    <row r="33" spans="2:8" x14ac:dyDescent="0.25">
      <c r="B33" s="101"/>
      <c r="C33" s="101"/>
      <c r="D33" s="102"/>
      <c r="E33" s="103"/>
      <c r="F33" s="101"/>
      <c r="G33" s="104"/>
      <c r="H33" s="104"/>
    </row>
    <row r="34" spans="2:8" x14ac:dyDescent="0.25">
      <c r="B34" s="101"/>
      <c r="C34" s="101"/>
      <c r="D34" s="102"/>
      <c r="E34" s="103"/>
      <c r="F34" s="101"/>
      <c r="G34" s="104"/>
      <c r="H34" s="104"/>
    </row>
    <row r="35" spans="2:8" x14ac:dyDescent="0.25">
      <c r="B35" s="101"/>
      <c r="C35" s="101"/>
      <c r="D35" s="102"/>
      <c r="E35" s="103"/>
      <c r="F35" s="101"/>
      <c r="G35" s="104"/>
      <c r="H35" s="104"/>
    </row>
    <row r="36" spans="2:8" x14ac:dyDescent="0.25">
      <c r="B36" s="101"/>
      <c r="C36" s="101"/>
      <c r="D36" s="102"/>
      <c r="E36" s="103"/>
      <c r="F36" s="101"/>
      <c r="G36" s="104"/>
      <c r="H36" s="104"/>
    </row>
    <row r="37" spans="2:8" x14ac:dyDescent="0.25">
      <c r="B37" s="101"/>
      <c r="C37" s="102"/>
      <c r="D37" s="102"/>
      <c r="E37" s="103"/>
      <c r="F37" s="101"/>
      <c r="G37" s="104"/>
      <c r="H37" s="104"/>
    </row>
    <row r="38" spans="2:8" x14ac:dyDescent="0.25">
      <c r="B38" s="101"/>
      <c r="C38" s="102"/>
      <c r="D38" s="102"/>
      <c r="E38" s="103"/>
      <c r="F38" s="101"/>
      <c r="G38" s="105"/>
      <c r="H38" s="104"/>
    </row>
    <row r="39" spans="2:8" x14ac:dyDescent="0.25">
      <c r="B39" s="101"/>
      <c r="C39" s="102"/>
      <c r="D39" s="102"/>
      <c r="E39" s="103"/>
      <c r="F39" s="101"/>
      <c r="G39" s="104"/>
      <c r="H39" s="104"/>
    </row>
    <row r="40" spans="2:8" x14ac:dyDescent="0.25">
      <c r="B40" s="101"/>
      <c r="C40" s="102"/>
      <c r="D40" s="102"/>
      <c r="E40" s="103"/>
      <c r="F40" s="101"/>
      <c r="G40" s="104"/>
      <c r="H40" s="104"/>
    </row>
    <row r="41" spans="2:8" x14ac:dyDescent="0.25">
      <c r="B41" s="101"/>
      <c r="C41" s="101"/>
      <c r="D41" s="102"/>
      <c r="E41" s="103"/>
      <c r="F41" s="101"/>
      <c r="G41" s="104"/>
      <c r="H41" s="104"/>
    </row>
    <row r="42" spans="2:8" x14ac:dyDescent="0.25">
      <c r="B42" s="101"/>
      <c r="C42" s="102"/>
      <c r="D42" s="102"/>
      <c r="E42" s="103"/>
      <c r="F42" s="101"/>
      <c r="G42" s="104"/>
      <c r="H42" s="104"/>
    </row>
    <row r="43" spans="2:8" x14ac:dyDescent="0.25">
      <c r="B43" s="101"/>
      <c r="C43" s="102"/>
      <c r="D43" s="102"/>
      <c r="E43" s="103"/>
      <c r="F43" s="101"/>
      <c r="G43" s="104"/>
      <c r="H43" s="104"/>
    </row>
    <row r="44" spans="2:8" x14ac:dyDescent="0.25">
      <c r="B44" s="101"/>
      <c r="C44" s="101"/>
      <c r="D44" s="102"/>
      <c r="E44" s="103"/>
      <c r="F44" s="101"/>
      <c r="G44" s="104"/>
      <c r="H44" s="104"/>
    </row>
    <row r="45" spans="2:8" x14ac:dyDescent="0.25">
      <c r="B45" s="101"/>
      <c r="C45" s="102"/>
      <c r="D45" s="102"/>
      <c r="E45" s="103"/>
      <c r="F45" s="101"/>
      <c r="G45" s="104"/>
      <c r="H45" s="104"/>
    </row>
    <row r="46" spans="2:8" x14ac:dyDescent="0.25">
      <c r="B46" s="101"/>
      <c r="C46" s="102"/>
      <c r="D46" s="102"/>
      <c r="E46" s="103"/>
      <c r="F46" s="101"/>
      <c r="G46" s="104"/>
      <c r="H46" s="104"/>
    </row>
    <row r="47" spans="2:8" x14ac:dyDescent="0.25">
      <c r="B47" s="101"/>
      <c r="C47" s="101"/>
      <c r="D47" s="102"/>
      <c r="E47" s="103"/>
      <c r="F47" s="101"/>
      <c r="G47" s="104"/>
      <c r="H47" s="104"/>
    </row>
    <row r="48" spans="2:8" x14ac:dyDescent="0.25">
      <c r="B48" s="101"/>
      <c r="C48" s="102"/>
      <c r="D48" s="102"/>
      <c r="E48" s="103"/>
      <c r="F48" s="101"/>
      <c r="G48" s="104"/>
      <c r="H48" s="104"/>
    </row>
    <row r="49" spans="2:8" x14ac:dyDescent="0.25">
      <c r="B49" s="101"/>
      <c r="C49" s="102"/>
      <c r="D49" s="102"/>
      <c r="E49" s="103"/>
      <c r="F49" s="101"/>
      <c r="G49" s="104"/>
      <c r="H49" s="104"/>
    </row>
    <row r="50" spans="2:8" x14ac:dyDescent="0.25">
      <c r="B50" s="101"/>
      <c r="C50" s="101"/>
      <c r="D50" s="102"/>
      <c r="E50" s="103"/>
      <c r="F50" s="101"/>
      <c r="G50" s="104"/>
      <c r="H50" s="104"/>
    </row>
    <row r="51" spans="2:8" x14ac:dyDescent="0.25">
      <c r="B51" s="101"/>
      <c r="C51" s="102"/>
      <c r="D51" s="102"/>
      <c r="E51" s="103"/>
      <c r="F51" s="101"/>
      <c r="G51" s="104"/>
      <c r="H51" s="104"/>
    </row>
    <row r="52" spans="2:8" x14ac:dyDescent="0.25">
      <c r="B52" s="101"/>
      <c r="C52" s="102"/>
      <c r="D52" s="102"/>
      <c r="E52" s="103"/>
      <c r="F52" s="101"/>
      <c r="G52" s="104"/>
      <c r="H52" s="104"/>
    </row>
    <row r="53" spans="2:8" x14ac:dyDescent="0.25">
      <c r="B53" s="106"/>
      <c r="C53" s="106"/>
      <c r="D53" s="107"/>
      <c r="E53" s="108"/>
      <c r="F53" s="109"/>
      <c r="G53" s="110"/>
      <c r="H53" s="110"/>
    </row>
    <row r="54" spans="2:8" x14ac:dyDescent="0.25">
      <c r="B54" s="106"/>
      <c r="C54" s="106"/>
      <c r="D54" s="107"/>
      <c r="E54" s="108"/>
      <c r="F54" s="109"/>
      <c r="G54" s="110"/>
      <c r="H54" s="110"/>
    </row>
    <row r="55" spans="2:8" x14ac:dyDescent="0.25">
      <c r="B55" s="106"/>
      <c r="C55" s="106"/>
      <c r="D55" s="107"/>
      <c r="E55" s="108"/>
      <c r="F55" s="109"/>
      <c r="G55" s="110"/>
      <c r="H55" s="110"/>
    </row>
    <row r="56" spans="2:8" x14ac:dyDescent="0.25">
      <c r="B56" s="106"/>
      <c r="C56" s="106"/>
      <c r="D56" s="107"/>
      <c r="E56" s="108"/>
      <c r="F56" s="109"/>
      <c r="G56" s="110"/>
      <c r="H56" s="110"/>
    </row>
    <row r="57" spans="2:8" x14ac:dyDescent="0.25">
      <c r="B57" s="106"/>
      <c r="C57" s="106"/>
      <c r="D57" s="107"/>
      <c r="E57" s="108"/>
      <c r="F57" s="109"/>
      <c r="G57" s="110"/>
      <c r="H57" s="110"/>
    </row>
    <row r="58" spans="2:8" x14ac:dyDescent="0.25">
      <c r="B58" s="106"/>
      <c r="C58" s="106"/>
      <c r="D58" s="107"/>
      <c r="E58" s="108"/>
      <c r="F58" s="109"/>
      <c r="G58" s="110"/>
      <c r="H58" s="110"/>
    </row>
    <row r="59" spans="2:8" x14ac:dyDescent="0.25">
      <c r="B59" s="106"/>
      <c r="C59" s="106"/>
      <c r="D59" s="107"/>
      <c r="E59" s="108"/>
      <c r="F59" s="109"/>
      <c r="G59" s="110"/>
      <c r="H59" s="110"/>
    </row>
    <row r="60" spans="2:8" x14ac:dyDescent="0.25">
      <c r="B60" s="106"/>
      <c r="C60" s="106"/>
      <c r="D60" s="107"/>
      <c r="E60" s="108"/>
      <c r="F60" s="109"/>
      <c r="G60" s="110"/>
      <c r="H60" s="110"/>
    </row>
    <row r="61" spans="2:8" x14ac:dyDescent="0.25">
      <c r="B61" s="106"/>
      <c r="C61" s="106"/>
      <c r="D61" s="107"/>
      <c r="E61" s="108"/>
      <c r="F61" s="109"/>
      <c r="G61" s="110"/>
      <c r="H61" s="110"/>
    </row>
    <row r="62" spans="2:8" x14ac:dyDescent="0.25">
      <c r="B62" s="106"/>
      <c r="C62" s="106"/>
      <c r="D62" s="107"/>
      <c r="E62" s="108"/>
      <c r="F62" s="106"/>
      <c r="G62" s="110"/>
      <c r="H62" s="111"/>
    </row>
    <row r="63" spans="2:8" x14ac:dyDescent="0.25">
      <c r="B63" s="106"/>
      <c r="C63" s="106"/>
      <c r="D63" s="107"/>
      <c r="E63" s="108"/>
      <c r="F63" s="106"/>
      <c r="G63" s="110"/>
      <c r="H63" s="111"/>
    </row>
    <row r="64" spans="2:8" x14ac:dyDescent="0.25">
      <c r="B64" s="106"/>
      <c r="C64" s="106"/>
      <c r="D64" s="107"/>
      <c r="E64" s="108"/>
      <c r="F64" s="106"/>
      <c r="G64" s="110"/>
      <c r="H64" s="112"/>
    </row>
    <row r="65" spans="2:8" x14ac:dyDescent="0.25">
      <c r="B65" s="106"/>
      <c r="C65" s="106"/>
      <c r="D65" s="107"/>
      <c r="E65" s="110"/>
      <c r="F65" s="106"/>
      <c r="G65" s="110"/>
      <c r="H65" s="112"/>
    </row>
    <row r="66" spans="2:8" x14ac:dyDescent="0.25">
      <c r="B66" s="106"/>
      <c r="C66" s="106"/>
      <c r="D66" s="107"/>
      <c r="E66" s="110"/>
      <c r="F66" s="106"/>
      <c r="G66" s="110"/>
      <c r="H66" s="111"/>
    </row>
    <row r="67" spans="2:8" x14ac:dyDescent="0.25">
      <c r="B67" s="106"/>
      <c r="C67" s="106"/>
      <c r="D67" s="107"/>
      <c r="E67" s="110"/>
      <c r="F67" s="106"/>
      <c r="G67" s="110"/>
      <c r="H67" s="111"/>
    </row>
    <row r="68" spans="2:8" x14ac:dyDescent="0.25">
      <c r="B68" s="106"/>
      <c r="C68" s="106"/>
      <c r="D68" s="107"/>
      <c r="E68" s="110"/>
      <c r="F68" s="106"/>
      <c r="G68" s="110"/>
      <c r="H68" s="102"/>
    </row>
    <row r="69" spans="2:8" x14ac:dyDescent="0.25">
      <c r="B69" s="106"/>
      <c r="C69" s="106"/>
      <c r="D69" s="107"/>
      <c r="E69" s="110"/>
      <c r="F69" s="106"/>
      <c r="G69" s="110"/>
      <c r="H69" s="111"/>
    </row>
    <row r="70" spans="2:8" x14ac:dyDescent="0.25">
      <c r="B70" s="106"/>
      <c r="C70" s="106"/>
      <c r="D70" s="107"/>
      <c r="E70" s="110"/>
      <c r="F70" s="106"/>
      <c r="G70" s="110"/>
      <c r="H70" s="102"/>
    </row>
    <row r="71" spans="2:8" x14ac:dyDescent="0.25">
      <c r="B71" s="106"/>
      <c r="C71" s="106"/>
      <c r="D71" s="107"/>
      <c r="E71" s="110"/>
      <c r="F71" s="106"/>
      <c r="G71" s="110"/>
      <c r="H71" s="111"/>
    </row>
    <row r="72" spans="2:8" x14ac:dyDescent="0.25">
      <c r="B72" s="106"/>
      <c r="C72" s="106"/>
      <c r="D72" s="107"/>
      <c r="E72" s="110"/>
      <c r="F72" s="110"/>
      <c r="G72" s="110"/>
      <c r="H72" s="102"/>
    </row>
    <row r="73" spans="2:8" x14ac:dyDescent="0.25">
      <c r="B73" s="106"/>
      <c r="C73" s="106"/>
      <c r="D73" s="107"/>
      <c r="E73" s="110"/>
      <c r="F73" s="110"/>
      <c r="G73" s="110"/>
      <c r="H73" s="102"/>
    </row>
    <row r="74" spans="2:8" x14ac:dyDescent="0.25">
      <c r="B74" s="106"/>
      <c r="C74" s="106"/>
      <c r="D74" s="107"/>
      <c r="E74" s="110"/>
      <c r="F74" s="110"/>
      <c r="G74" s="110"/>
      <c r="H74" s="111"/>
    </row>
    <row r="75" spans="2:8" x14ac:dyDescent="0.25">
      <c r="B75" s="106"/>
      <c r="C75" s="106"/>
      <c r="D75" s="107"/>
      <c r="E75" s="110"/>
      <c r="F75" s="110"/>
      <c r="G75" s="110"/>
      <c r="H75" s="102"/>
    </row>
    <row r="76" spans="2:8" x14ac:dyDescent="0.25">
      <c r="B76" s="106"/>
      <c r="C76" s="106"/>
      <c r="D76" s="107"/>
      <c r="E76" s="110"/>
      <c r="F76" s="101"/>
      <c r="G76" s="110"/>
      <c r="H76" s="110"/>
    </row>
    <row r="77" spans="2:8" x14ac:dyDescent="0.25">
      <c r="B77" s="106"/>
      <c r="C77" s="106"/>
      <c r="D77" s="107"/>
      <c r="E77" s="110"/>
      <c r="F77" s="101"/>
      <c r="G77" s="110"/>
      <c r="H77" s="111"/>
    </row>
    <row r="78" spans="2:8" x14ac:dyDescent="0.25">
      <c r="B78" s="106"/>
      <c r="C78" s="106"/>
      <c r="D78" s="107"/>
      <c r="E78" s="110"/>
      <c r="F78" s="101"/>
      <c r="G78" s="110"/>
      <c r="H78" s="111"/>
    </row>
    <row r="79" spans="2:8" x14ac:dyDescent="0.25">
      <c r="B79" s="106"/>
      <c r="C79" s="106"/>
      <c r="D79" s="107"/>
      <c r="E79" s="110"/>
      <c r="F79" s="113"/>
      <c r="G79" s="110"/>
      <c r="H79" s="111"/>
    </row>
    <row r="80" spans="2:8" x14ac:dyDescent="0.25">
      <c r="B80" s="106"/>
      <c r="C80" s="106"/>
      <c r="D80" s="107"/>
      <c r="E80" s="103"/>
      <c r="F80" s="113"/>
      <c r="G80" s="110"/>
      <c r="H80" s="111"/>
    </row>
    <row r="81" spans="1:8" x14ac:dyDescent="0.25">
      <c r="B81" s="106"/>
      <c r="C81" s="106"/>
      <c r="D81" s="107"/>
      <c r="E81" s="103"/>
      <c r="F81" s="109"/>
      <c r="G81" s="110"/>
      <c r="H81" s="111"/>
    </row>
    <row r="82" spans="1:8" x14ac:dyDescent="0.25">
      <c r="B82" s="106"/>
      <c r="C82" s="106"/>
      <c r="D82" s="107"/>
      <c r="E82" s="103"/>
      <c r="F82" s="109"/>
      <c r="G82" s="110"/>
      <c r="H82" s="111"/>
    </row>
    <row r="83" spans="1:8" x14ac:dyDescent="0.25">
      <c r="B83" s="106"/>
      <c r="C83" s="106"/>
      <c r="D83" s="107"/>
      <c r="E83" s="102"/>
      <c r="F83" s="109"/>
      <c r="G83" s="110"/>
      <c r="H83" s="111"/>
    </row>
    <row r="84" spans="1:8" x14ac:dyDescent="0.25">
      <c r="B84" s="106"/>
      <c r="C84" s="106"/>
      <c r="D84" s="107"/>
      <c r="E84" s="102"/>
      <c r="F84" s="109"/>
      <c r="G84" s="110"/>
      <c r="H84" s="111"/>
    </row>
    <row r="85" spans="1:8" x14ac:dyDescent="0.25">
      <c r="B85" s="106"/>
      <c r="C85" s="106"/>
      <c r="D85" s="107"/>
      <c r="E85" s="108"/>
      <c r="F85" s="109"/>
      <c r="G85" s="110"/>
      <c r="H85" s="111"/>
    </row>
    <row r="86" spans="1:8" x14ac:dyDescent="0.25">
      <c r="B86" s="106"/>
      <c r="C86" s="106"/>
      <c r="D86" s="107"/>
      <c r="E86" s="108"/>
      <c r="F86" s="109"/>
      <c r="G86" s="110"/>
      <c r="H86" s="111"/>
    </row>
    <row r="87" spans="1:8" x14ac:dyDescent="0.25">
      <c r="B87" s="106"/>
      <c r="C87" s="106"/>
      <c r="D87" s="107"/>
      <c r="E87" s="108"/>
      <c r="F87" s="109"/>
      <c r="G87" s="110"/>
      <c r="H87" s="111"/>
    </row>
    <row r="88" spans="1:8" x14ac:dyDescent="0.25">
      <c r="B88" s="106"/>
      <c r="C88" s="106"/>
      <c r="D88" s="107"/>
      <c r="E88" s="108"/>
      <c r="F88" s="109"/>
      <c r="G88" s="110"/>
      <c r="H88" s="111"/>
    </row>
    <row r="89" spans="1:8" x14ac:dyDescent="0.25">
      <c r="B89" s="106"/>
      <c r="C89" s="106"/>
      <c r="D89" s="107"/>
      <c r="E89" s="108"/>
      <c r="F89" s="109"/>
      <c r="G89" s="110"/>
      <c r="H89" s="111"/>
    </row>
    <row r="90" spans="1:8" x14ac:dyDescent="0.25">
      <c r="B90" s="106"/>
      <c r="C90" s="106"/>
      <c r="D90" s="107"/>
      <c r="E90" s="108"/>
      <c r="F90" s="109"/>
      <c r="G90" s="110"/>
      <c r="H90" s="111"/>
    </row>
    <row r="91" spans="1:8" x14ac:dyDescent="0.25">
      <c r="B91" s="106"/>
      <c r="C91" s="106"/>
      <c r="D91" s="107"/>
      <c r="E91" s="108"/>
      <c r="F91" s="109"/>
      <c r="G91" s="110"/>
      <c r="H91" s="111"/>
    </row>
    <row r="92" spans="1:8" x14ac:dyDescent="0.25">
      <c r="B92" s="106"/>
      <c r="C92" s="106"/>
      <c r="D92" s="107"/>
      <c r="E92" s="108"/>
      <c r="F92" s="109"/>
      <c r="G92" s="110"/>
      <c r="H92" s="111"/>
    </row>
    <row r="93" spans="1:8" x14ac:dyDescent="0.25">
      <c r="B93" s="106"/>
      <c r="C93" s="106"/>
      <c r="D93" s="107"/>
      <c r="E93" s="108"/>
      <c r="F93" s="109"/>
      <c r="G93" s="110"/>
      <c r="H93" s="111"/>
    </row>
    <row r="94" spans="1:8" x14ac:dyDescent="0.25">
      <c r="A94" s="114"/>
      <c r="B94" s="110"/>
      <c r="C94" s="110"/>
      <c r="D94" s="107"/>
      <c r="E94" s="108"/>
      <c r="F94" s="109"/>
      <c r="G94" s="112"/>
      <c r="H94" s="111"/>
    </row>
    <row r="95" spans="1:8" x14ac:dyDescent="0.25">
      <c r="A95" s="114"/>
      <c r="B95" s="110"/>
      <c r="C95" s="110"/>
      <c r="D95" s="107"/>
      <c r="E95" s="108"/>
      <c r="F95" s="109"/>
      <c r="G95" s="112"/>
      <c r="H95" s="111"/>
    </row>
    <row r="96" spans="1:8" x14ac:dyDescent="0.25">
      <c r="A96" s="114"/>
      <c r="B96" s="110"/>
      <c r="C96" s="110"/>
      <c r="D96" s="107"/>
      <c r="E96" s="108"/>
      <c r="F96" s="109"/>
      <c r="G96" s="111"/>
      <c r="H96" s="111"/>
    </row>
    <row r="97" spans="1:8" x14ac:dyDescent="0.25">
      <c r="A97" s="114"/>
      <c r="B97" s="110"/>
      <c r="C97" s="110"/>
      <c r="D97" s="107"/>
      <c r="E97" s="108"/>
      <c r="F97" s="109"/>
      <c r="G97" s="112"/>
      <c r="H97" s="111"/>
    </row>
    <row r="98" spans="1:8" x14ac:dyDescent="0.25">
      <c r="A98" s="114"/>
      <c r="B98" s="110"/>
      <c r="C98" s="110"/>
      <c r="D98" s="107"/>
      <c r="E98" s="108"/>
      <c r="F98" s="109"/>
      <c r="G98" s="112"/>
      <c r="H98" s="111"/>
    </row>
    <row r="99" spans="1:8" x14ac:dyDescent="0.25">
      <c r="A99" s="114"/>
      <c r="B99" s="110"/>
      <c r="C99" s="110"/>
      <c r="D99" s="107"/>
      <c r="E99" s="108"/>
      <c r="F99" s="109"/>
      <c r="G99" s="112"/>
      <c r="H99" s="111"/>
    </row>
    <row r="100" spans="1:8" x14ac:dyDescent="0.25">
      <c r="A100" s="114"/>
      <c r="B100" s="110"/>
      <c r="C100" s="110"/>
      <c r="D100" s="107"/>
      <c r="E100" s="108"/>
      <c r="F100" s="109"/>
      <c r="G100" s="112"/>
      <c r="H100" s="112"/>
    </row>
    <row r="101" spans="1:8" x14ac:dyDescent="0.25">
      <c r="A101" s="114"/>
      <c r="B101" s="110"/>
      <c r="C101" s="110"/>
      <c r="D101" s="107"/>
      <c r="E101" s="112"/>
      <c r="F101" s="109"/>
      <c r="G101" s="112"/>
      <c r="H101" s="112"/>
    </row>
    <row r="102" spans="1:8" x14ac:dyDescent="0.25">
      <c r="A102" s="114"/>
      <c r="B102" s="115"/>
      <c r="C102" s="116"/>
      <c r="D102" s="112"/>
      <c r="E102" s="112"/>
      <c r="F102" s="115"/>
      <c r="G102" s="112"/>
      <c r="H102" s="112"/>
    </row>
    <row r="103" spans="1:8" x14ac:dyDescent="0.25">
      <c r="A103" s="114"/>
      <c r="B103" s="115"/>
      <c r="C103" s="116"/>
      <c r="D103" s="112"/>
      <c r="E103" s="112"/>
      <c r="F103" s="115"/>
      <c r="G103" s="112"/>
      <c r="H103" s="112"/>
    </row>
    <row r="104" spans="1:8" x14ac:dyDescent="0.25">
      <c r="A104" s="114"/>
      <c r="B104" s="115"/>
      <c r="C104" s="112"/>
      <c r="D104" s="112"/>
      <c r="E104" s="112"/>
      <c r="F104" s="115"/>
      <c r="G104" s="117"/>
      <c r="H104" s="112"/>
    </row>
    <row r="105" spans="1:8" x14ac:dyDescent="0.25">
      <c r="A105" s="114"/>
      <c r="B105" s="112"/>
      <c r="C105" s="112"/>
      <c r="D105" s="112"/>
      <c r="E105" s="112"/>
      <c r="F105" s="112"/>
      <c r="G105" s="118"/>
      <c r="H105" s="112"/>
    </row>
    <row r="106" spans="1:8" x14ac:dyDescent="0.25">
      <c r="A106" s="114"/>
      <c r="B106" s="112"/>
      <c r="C106" s="116"/>
      <c r="D106" s="112"/>
      <c r="E106" s="112"/>
      <c r="F106" s="112"/>
      <c r="G106" s="119"/>
      <c r="H106" s="112"/>
    </row>
    <row r="107" spans="1:8" ht="210" x14ac:dyDescent="0.25">
      <c r="A107" s="114"/>
      <c r="B107" s="117" t="s">
        <v>423</v>
      </c>
      <c r="C107" s="117"/>
      <c r="D107" s="117"/>
      <c r="E107" s="117"/>
      <c r="F107" s="117"/>
      <c r="G107" s="120"/>
      <c r="H107" s="117"/>
    </row>
    <row r="108" spans="1:8" ht="27.6" customHeight="1" x14ac:dyDescent="0.25">
      <c r="A108" s="114"/>
      <c r="B108" s="118" t="s">
        <v>424</v>
      </c>
      <c r="C108" s="118"/>
      <c r="D108" s="118"/>
      <c r="E108" s="118"/>
      <c r="F108" s="118"/>
      <c r="H108" s="121"/>
    </row>
    <row r="109" spans="1:8" ht="15" customHeight="1" x14ac:dyDescent="0.25">
      <c r="A109" s="114"/>
      <c r="B109" s="119"/>
      <c r="C109" s="119"/>
      <c r="D109" s="119"/>
      <c r="E109" s="119"/>
      <c r="F109" s="119"/>
      <c r="H109" s="122"/>
    </row>
    <row r="110" spans="1:8" x14ac:dyDescent="0.25">
      <c r="A110" s="114"/>
      <c r="B110" s="120"/>
      <c r="C110" s="120"/>
      <c r="D110" s="120"/>
      <c r="E110" s="120"/>
      <c r="F110" s="120"/>
      <c r="H110" s="123"/>
    </row>
    <row r="111" spans="1:8" x14ac:dyDescent="0.25">
      <c r="A111" s="114"/>
      <c r="G111" s="124"/>
    </row>
    <row r="112" spans="1:8" x14ac:dyDescent="0.25">
      <c r="A112" s="114"/>
      <c r="G112" s="124"/>
    </row>
    <row r="113" spans="1:8" x14ac:dyDescent="0.25">
      <c r="A113" s="114"/>
      <c r="B113" s="91" t="s">
        <v>425</v>
      </c>
    </row>
    <row r="114" spans="1:8" ht="195" x14ac:dyDescent="0.25">
      <c r="A114" s="125"/>
      <c r="B114" s="124" t="s">
        <v>426</v>
      </c>
      <c r="C114" s="124"/>
      <c r="D114" s="124"/>
      <c r="E114" s="124"/>
      <c r="F114" s="124"/>
      <c r="G114" s="126"/>
      <c r="H114" s="124"/>
    </row>
    <row r="115" spans="1:8" ht="15" customHeight="1" x14ac:dyDescent="0.25">
      <c r="A115" s="125"/>
      <c r="B115" s="124"/>
      <c r="C115" s="124"/>
      <c r="D115" s="124"/>
      <c r="E115" s="124"/>
      <c r="F115" s="124"/>
      <c r="G115" s="127"/>
      <c r="H115" s="124"/>
    </row>
    <row r="116" spans="1:8" x14ac:dyDescent="0.25">
      <c r="A116" s="125"/>
      <c r="G116" s="127"/>
    </row>
    <row r="117" spans="1:8" x14ac:dyDescent="0.25">
      <c r="B117" s="126" t="s">
        <v>427</v>
      </c>
      <c r="C117" s="126"/>
      <c r="D117" s="126"/>
      <c r="E117" s="126"/>
      <c r="F117" s="126"/>
      <c r="H117" s="126"/>
    </row>
    <row r="118" spans="1:8" ht="285" x14ac:dyDescent="0.25">
      <c r="B118" s="127" t="s">
        <v>428</v>
      </c>
      <c r="C118" s="127"/>
      <c r="D118" s="127"/>
      <c r="E118" s="127"/>
      <c r="F118" s="127"/>
      <c r="G118" s="128">
        <v>42370</v>
      </c>
      <c r="H118" s="127"/>
    </row>
    <row r="119" spans="1:8" ht="15" customHeight="1" x14ac:dyDescent="0.25">
      <c r="B119" s="127"/>
      <c r="C119" s="127"/>
      <c r="D119" s="127"/>
      <c r="E119" s="127"/>
      <c r="F119" s="127"/>
      <c r="G119" s="128">
        <v>42415</v>
      </c>
      <c r="H119" s="127"/>
    </row>
    <row r="120" spans="1:8" x14ac:dyDescent="0.25">
      <c r="G120" s="128">
        <v>42430</v>
      </c>
    </row>
    <row r="121" spans="1:8" x14ac:dyDescent="0.25">
      <c r="B121" s="91" t="s">
        <v>391</v>
      </c>
      <c r="C121" s="91" t="s">
        <v>16</v>
      </c>
      <c r="D121" s="91">
        <v>99</v>
      </c>
      <c r="E121" s="91">
        <v>100</v>
      </c>
      <c r="G121" s="128">
        <v>42461</v>
      </c>
    </row>
    <row r="122" spans="1:8" hidden="1" x14ac:dyDescent="0.25">
      <c r="B122" s="91" t="s">
        <v>396</v>
      </c>
      <c r="C122" s="91" t="s">
        <v>5</v>
      </c>
      <c r="D122" s="91">
        <v>132</v>
      </c>
      <c r="E122" s="91">
        <v>121</v>
      </c>
      <c r="G122" s="128">
        <v>42491</v>
      </c>
    </row>
    <row r="123" spans="1:8" hidden="1" x14ac:dyDescent="0.25">
      <c r="C123" s="91" t="s">
        <v>14</v>
      </c>
      <c r="D123" s="91">
        <v>143</v>
      </c>
      <c r="E123" s="91">
        <v>122</v>
      </c>
      <c r="G123" s="128">
        <v>42522</v>
      </c>
    </row>
    <row r="124" spans="1:8" hidden="1" x14ac:dyDescent="0.25">
      <c r="C124" s="91" t="s">
        <v>3</v>
      </c>
      <c r="D124" s="91">
        <v>979</v>
      </c>
      <c r="E124" s="91">
        <v>123</v>
      </c>
      <c r="G124" s="128">
        <v>42552</v>
      </c>
    </row>
    <row r="125" spans="1:8" hidden="1" x14ac:dyDescent="0.25">
      <c r="C125" s="91" t="s">
        <v>12</v>
      </c>
      <c r="D125" s="91">
        <v>994</v>
      </c>
      <c r="E125" s="91">
        <v>124</v>
      </c>
      <c r="G125" s="128">
        <v>42583</v>
      </c>
    </row>
    <row r="126" spans="1:8" hidden="1" x14ac:dyDescent="0.25">
      <c r="C126" s="91" t="s">
        <v>19</v>
      </c>
      <c r="D126" s="91">
        <v>995</v>
      </c>
      <c r="E126" s="91">
        <v>127</v>
      </c>
      <c r="G126" s="128">
        <v>42614</v>
      </c>
    </row>
    <row r="127" spans="1:8" hidden="1" x14ac:dyDescent="0.25">
      <c r="C127" s="91" t="s">
        <v>23</v>
      </c>
      <c r="D127" s="91">
        <v>998</v>
      </c>
      <c r="E127" s="91">
        <v>131</v>
      </c>
      <c r="G127" s="128">
        <v>42644</v>
      </c>
    </row>
    <row r="128" spans="1:8" hidden="1" x14ac:dyDescent="0.25">
      <c r="D128" s="91">
        <v>6351</v>
      </c>
      <c r="E128" s="91">
        <v>132</v>
      </c>
      <c r="G128" s="128">
        <v>42675</v>
      </c>
    </row>
    <row r="129" spans="4:7" hidden="1" x14ac:dyDescent="0.25">
      <c r="D129" s="91">
        <v>7542</v>
      </c>
      <c r="E129" s="91">
        <v>133</v>
      </c>
      <c r="G129" s="128">
        <v>42705</v>
      </c>
    </row>
    <row r="130" spans="4:7" hidden="1" x14ac:dyDescent="0.25">
      <c r="E130" s="91">
        <v>134</v>
      </c>
    </row>
    <row r="131" spans="4:7" hidden="1" x14ac:dyDescent="0.25">
      <c r="E131" s="91">
        <v>135</v>
      </c>
    </row>
    <row r="132" spans="4:7" hidden="1" x14ac:dyDescent="0.25">
      <c r="E132" s="91">
        <v>136</v>
      </c>
    </row>
    <row r="133" spans="4:7" hidden="1" x14ac:dyDescent="0.25">
      <c r="E133" s="91">
        <v>137</v>
      </c>
    </row>
    <row r="134" spans="4:7" hidden="1" x14ac:dyDescent="0.25">
      <c r="E134" s="91">
        <v>141</v>
      </c>
    </row>
    <row r="135" spans="4:7" hidden="1" x14ac:dyDescent="0.25">
      <c r="E135" s="91">
        <v>142</v>
      </c>
    </row>
    <row r="136" spans="4:7" hidden="1" x14ac:dyDescent="0.25">
      <c r="E136" s="91">
        <v>143</v>
      </c>
    </row>
    <row r="137" spans="4:7" hidden="1" x14ac:dyDescent="0.25">
      <c r="E137" s="91">
        <v>151</v>
      </c>
    </row>
    <row r="138" spans="4:7" hidden="1" x14ac:dyDescent="0.25">
      <c r="E138" s="91">
        <v>190</v>
      </c>
    </row>
    <row r="139" spans="4:7" hidden="1" x14ac:dyDescent="0.25"/>
    <row r="140" spans="4:7" hidden="1" x14ac:dyDescent="0.25"/>
    <row r="141" spans="4:7" hidden="1" x14ac:dyDescent="0.25"/>
    <row r="142" spans="4:7" x14ac:dyDescent="0.25"/>
    <row r="143" spans="4:7" x14ac:dyDescent="0.25"/>
    <row r="144" spans="4:7" x14ac:dyDescent="0.25"/>
    <row r="145" x14ac:dyDescent="0.25"/>
    <row r="146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6:6" hidden="1" x14ac:dyDescent="0.25"/>
    <row r="162" spans="6:6" hidden="1" x14ac:dyDescent="0.25"/>
    <row r="163" spans="6:6" hidden="1" x14ac:dyDescent="0.25"/>
    <row r="164" spans="6:6" hidden="1" x14ac:dyDescent="0.25"/>
    <row r="165" spans="6:6" hidden="1" x14ac:dyDescent="0.25"/>
    <row r="166" spans="6:6" hidden="1" x14ac:dyDescent="0.25">
      <c r="F166" s="129" t="s">
        <v>429</v>
      </c>
    </row>
    <row r="167" spans="6:6" x14ac:dyDescent="0.25"/>
  </sheetData>
  <mergeCells count="11">
    <mergeCell ref="B20:H20"/>
    <mergeCell ref="D4:H4"/>
    <mergeCell ref="B7:H8"/>
    <mergeCell ref="B9:H9"/>
    <mergeCell ref="D11:F11"/>
    <mergeCell ref="D17:F17"/>
    <mergeCell ref="B22:H23"/>
    <mergeCell ref="B27:B28"/>
    <mergeCell ref="C27:C28"/>
    <mergeCell ref="D27:D28"/>
    <mergeCell ref="E27:E28"/>
  </mergeCells>
  <dataValidations count="4">
    <dataValidation type="list" allowBlank="1" showInputMessage="1" showErrorMessage="1" sqref="E31:E52">
      <formula1>$E$71:$E$88</formula1>
    </dataValidation>
    <dataValidation type="list" allowBlank="1" showInputMessage="1" showErrorMessage="1" sqref="E53:E101">
      <formula1>$E$121:$E$138</formula1>
    </dataValidation>
    <dataValidation type="list" allowBlank="1" showInputMessage="1" showErrorMessage="1" sqref="D16">
      <formula1>DocType</formula1>
    </dataValidation>
    <dataValidation allowBlank="1" showInputMessage="1" showErrorMessage="1" promptTitle="January 2015" sqref="G118"/>
  </dataValidations>
  <pageMargins left="0.7" right="0.7" top="0.75" bottom="0.75" header="0.3" footer="0.3"/>
  <pageSetup paperSize="9" scale="61" orientation="portrait" r:id="rId1"/>
  <customProperties>
    <customPr name="EpmWorksheetKeyString_GUID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74"/>
  <sheetViews>
    <sheetView workbookViewId="0">
      <selection activeCell="H26" sqref="H26:H27"/>
    </sheetView>
  </sheetViews>
  <sheetFormatPr defaultColWidth="9.140625" defaultRowHeight="15" x14ac:dyDescent="0.25"/>
  <cols>
    <col min="1" max="1" width="9.140625" style="91"/>
    <col min="2" max="2" width="7.28515625" style="91" customWidth="1"/>
    <col min="3" max="6" width="9.140625" style="91"/>
    <col min="7" max="7" width="22" style="91" bestFit="1" customWidth="1"/>
    <col min="8" max="8" width="24.7109375" style="91" customWidth="1"/>
    <col min="9" max="10" width="9.140625" style="91"/>
    <col min="11" max="11" width="10.28515625" style="91" customWidth="1"/>
    <col min="12" max="12" width="10.5703125" style="91" customWidth="1"/>
    <col min="13" max="14" width="9.140625" style="91"/>
    <col min="15" max="15" width="27.42578125" style="91" bestFit="1" customWidth="1"/>
    <col min="16" max="17" width="3.5703125" style="91" bestFit="1" customWidth="1"/>
    <col min="18" max="18" width="4.5703125" style="91" bestFit="1" customWidth="1"/>
    <col min="19" max="19" width="8.140625" style="91" bestFit="1" customWidth="1"/>
    <col min="20" max="20" width="7.5703125" style="91" bestFit="1" customWidth="1"/>
    <col min="21" max="21" width="3.5703125" style="91" bestFit="1" customWidth="1"/>
    <col min="22" max="22" width="8.5703125" style="91" bestFit="1" customWidth="1"/>
    <col min="23" max="23" width="7.140625" style="91" bestFit="1" customWidth="1"/>
    <col min="24" max="24" width="8.28515625" style="91" bestFit="1" customWidth="1"/>
    <col min="25" max="25" width="5.7109375" style="91" bestFit="1" customWidth="1"/>
    <col min="26" max="26" width="6.85546875" style="91" bestFit="1" customWidth="1"/>
    <col min="27" max="27" width="5.28515625" style="91" bestFit="1" customWidth="1"/>
    <col min="28" max="28" width="8.5703125" style="91" bestFit="1" customWidth="1"/>
    <col min="29" max="16384" width="9.140625" style="91"/>
  </cols>
  <sheetData>
    <row r="1" spans="1:31" s="135" customFormat="1" ht="12.75" x14ac:dyDescent="0.2">
      <c r="A1" s="130" t="s">
        <v>430</v>
      </c>
      <c r="B1" s="130"/>
      <c r="C1" s="130"/>
      <c r="D1" s="130"/>
      <c r="E1" s="130"/>
      <c r="F1" s="130"/>
      <c r="G1" s="130"/>
      <c r="H1" s="130"/>
      <c r="I1" s="130"/>
      <c r="J1" s="131" t="s">
        <v>431</v>
      </c>
      <c r="K1" s="132">
        <f>SUM(K5:K942)</f>
        <v>1500</v>
      </c>
      <c r="L1" s="132">
        <f>SUM(L5:L942)</f>
        <v>1500</v>
      </c>
      <c r="M1" s="133" t="str">
        <f>IF(K1-L1&lt;&gt;0,"OUT OF BALANCE","")</f>
        <v/>
      </c>
      <c r="N1" s="134"/>
      <c r="O1" s="134"/>
    </row>
    <row r="2" spans="1:31" s="135" customFormat="1" ht="12.75" x14ac:dyDescent="0.2">
      <c r="A2" s="130" t="s">
        <v>432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</row>
    <row r="3" spans="1:31" s="135" customFormat="1" x14ac:dyDescent="0.25">
      <c r="A3" s="168" t="s">
        <v>433</v>
      </c>
      <c r="B3" s="168"/>
      <c r="C3" s="168"/>
      <c r="D3" s="168"/>
      <c r="E3" s="168"/>
      <c r="F3" s="168"/>
      <c r="G3" s="168"/>
      <c r="H3" s="168"/>
      <c r="I3" s="169" t="s">
        <v>434</v>
      </c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0"/>
      <c r="AD3" s="170"/>
      <c r="AE3" s="171"/>
    </row>
    <row r="4" spans="1:31" s="135" customFormat="1" ht="31.5" customHeight="1" thickBot="1" x14ac:dyDescent="0.25">
      <c r="A4" s="136" t="s">
        <v>435</v>
      </c>
      <c r="B4" s="136" t="s">
        <v>436</v>
      </c>
      <c r="C4" s="136" t="s">
        <v>437</v>
      </c>
      <c r="D4" s="136" t="s">
        <v>438</v>
      </c>
      <c r="E4" s="136" t="s">
        <v>439</v>
      </c>
      <c r="F4" s="136" t="s">
        <v>440</v>
      </c>
      <c r="G4" s="136" t="s">
        <v>441</v>
      </c>
      <c r="H4" s="136" t="s">
        <v>442</v>
      </c>
      <c r="I4" s="137" t="s">
        <v>443</v>
      </c>
      <c r="J4" s="138" t="s">
        <v>444</v>
      </c>
      <c r="K4" s="138" t="s">
        <v>445</v>
      </c>
      <c r="L4" s="138" t="s">
        <v>446</v>
      </c>
      <c r="M4" s="138" t="s">
        <v>447</v>
      </c>
      <c r="N4" s="138" t="s">
        <v>448</v>
      </c>
      <c r="O4" s="138" t="s">
        <v>449</v>
      </c>
      <c r="P4" s="138" t="s">
        <v>450</v>
      </c>
      <c r="Q4" s="138" t="s">
        <v>451</v>
      </c>
      <c r="R4" s="138" t="s">
        <v>452</v>
      </c>
      <c r="S4" s="138" t="s">
        <v>453</v>
      </c>
      <c r="T4" s="138" t="s">
        <v>454</v>
      </c>
      <c r="U4" s="138" t="s">
        <v>47</v>
      </c>
      <c r="V4" s="138" t="s">
        <v>455</v>
      </c>
      <c r="W4" s="138" t="s">
        <v>456</v>
      </c>
      <c r="X4" s="138" t="s">
        <v>457</v>
      </c>
      <c r="Y4" s="138" t="s">
        <v>458</v>
      </c>
      <c r="Z4" s="138" t="s">
        <v>459</v>
      </c>
      <c r="AA4" s="138" t="s">
        <v>460</v>
      </c>
      <c r="AB4" s="138" t="s">
        <v>418</v>
      </c>
      <c r="AC4" s="138" t="s">
        <v>461</v>
      </c>
      <c r="AD4" s="138" t="s">
        <v>462</v>
      </c>
      <c r="AE4" s="139" t="s">
        <v>463</v>
      </c>
    </row>
    <row r="5" spans="1:31" x14ac:dyDescent="0.25">
      <c r="A5" s="140">
        <f ca="1">TODAY()-4</f>
        <v>43532</v>
      </c>
      <c r="B5" s="91" t="str">
        <f>[1]Template!D16</f>
        <v>ZN</v>
      </c>
      <c r="C5" s="91" t="str">
        <f>[1]Template!D13</f>
        <v>Fr07</v>
      </c>
      <c r="D5" s="140">
        <f ca="1">A5</f>
        <v>43532</v>
      </c>
      <c r="E5" s="141">
        <f ca="1">A5</f>
        <v>43532</v>
      </c>
      <c r="F5" s="91" t="s">
        <v>83</v>
      </c>
      <c r="G5" s="91" t="str">
        <f>O5</f>
        <v xml:space="preserve">Prov vetement </v>
      </c>
      <c r="H5" s="91" t="str">
        <f>G5</f>
        <v xml:space="preserve">Prov vetement </v>
      </c>
      <c r="I5" s="91">
        <f>IF([1]Template!G31&gt;0,40,IF([1]Template!H31&gt;0,50,""))</f>
        <v>40</v>
      </c>
      <c r="J5" s="91">
        <f>IF([1]Template!B31&lt;&gt;0,[1]Template!B31,"")</f>
        <v>70005812</v>
      </c>
      <c r="K5" s="142">
        <f>IF([1]Template!G31&gt;0,[1]Template!G31,"")</f>
        <v>1500</v>
      </c>
      <c r="L5" s="142" t="str">
        <f>IF([1]Template!H31&gt;0,[1]Template!H31,"")</f>
        <v/>
      </c>
      <c r="M5" s="91">
        <f>IF([1]Template!C31&lt;&gt;0,[1]Template!C31,"")</f>
        <v>232430</v>
      </c>
      <c r="N5" s="91">
        <f>IF(I5&lt;&gt;"",[1]Template!$D$14,"")</f>
        <v>143</v>
      </c>
      <c r="O5" s="91" t="str">
        <f>IF(I5&lt;&gt;"",[1]Template!F31,"")</f>
        <v xml:space="preserve">Prov vetement </v>
      </c>
      <c r="P5" s="91" t="s">
        <v>464</v>
      </c>
    </row>
    <row r="6" spans="1:31" x14ac:dyDescent="0.25">
      <c r="I6" s="91">
        <f>IF([1]Template!G32&gt;0,40,IF([1]Template!H32&gt;0,50,""))</f>
        <v>50</v>
      </c>
      <c r="J6" s="91">
        <f>IF([1]Template!B32&lt;&gt;0,[1]Template!B32,"")</f>
        <v>70005812</v>
      </c>
      <c r="K6" s="142" t="str">
        <f>IF([1]Template!G32&gt;0,[1]Template!G32,"")</f>
        <v/>
      </c>
      <c r="L6" s="142">
        <f>IF([1]Template!H32&gt;0,[1]Template!H32,"")</f>
        <v>1500</v>
      </c>
      <c r="M6" s="91">
        <f>IF([1]Template!C32&lt;&gt;0,[1]Template!C32,"")</f>
        <v>232428</v>
      </c>
      <c r="N6" s="91">
        <f>IF(I6&lt;&gt;"",[1]Template!$D$14,"")</f>
        <v>143</v>
      </c>
      <c r="O6" s="91" t="str">
        <f>IF(I6&lt;&gt;"",[1]Template!F32,"")</f>
        <v xml:space="preserve">Prov vetement </v>
      </c>
      <c r="P6" s="91" t="s">
        <v>464</v>
      </c>
    </row>
    <row r="7" spans="1:31" x14ac:dyDescent="0.25">
      <c r="I7" s="91" t="str">
        <f>IF([1]Template!G33&gt;0,40,IF([1]Template!H33&gt;0,50,""))</f>
        <v/>
      </c>
      <c r="J7" s="91" t="str">
        <f>IF([1]Template!B33&lt;&gt;0,[1]Template!B33,"")</f>
        <v/>
      </c>
      <c r="K7" s="142" t="str">
        <f>IF([1]Template!G33&gt;0,[1]Template!G33,"")</f>
        <v/>
      </c>
      <c r="L7" s="142" t="str">
        <f>IF([1]Template!H33&gt;0,[1]Template!H33,"")</f>
        <v/>
      </c>
      <c r="M7" s="91" t="str">
        <f>IF([1]Template!C33&lt;&gt;0,[1]Template!C33,"")</f>
        <v/>
      </c>
      <c r="N7" s="91" t="str">
        <f>IF(I7&lt;&gt;"",[1]Template!$D$14,"")</f>
        <v/>
      </c>
      <c r="O7" s="91" t="str">
        <f>IF(I7&lt;&gt;"",[1]Template!F33,"")</f>
        <v/>
      </c>
    </row>
    <row r="8" spans="1:31" x14ac:dyDescent="0.25">
      <c r="I8" s="91" t="str">
        <f>IF([1]Template!G34&gt;0,40,IF([1]Template!H34&gt;0,50,""))</f>
        <v/>
      </c>
      <c r="J8" s="91" t="str">
        <f>IF([1]Template!B34&lt;&gt;0,[1]Template!B34,"")</f>
        <v/>
      </c>
      <c r="K8" s="142" t="str">
        <f>IF([1]Template!G34&gt;0,[1]Template!G34,"")</f>
        <v/>
      </c>
      <c r="L8" s="142" t="str">
        <f>IF([1]Template!H34&gt;0,[1]Template!H34,"")</f>
        <v/>
      </c>
      <c r="M8" s="91" t="str">
        <f>IF([1]Template!C34&lt;&gt;0,[1]Template!C34,"")</f>
        <v/>
      </c>
      <c r="N8" s="91" t="str">
        <f>IF(I8&lt;&gt;"",[1]Template!$D$14,"")</f>
        <v/>
      </c>
      <c r="O8" s="91" t="str">
        <f>IF(I8&lt;&gt;"",[1]Template!F34,"")</f>
        <v/>
      </c>
    </row>
    <row r="9" spans="1:31" x14ac:dyDescent="0.25">
      <c r="I9" s="91" t="str">
        <f>IF([1]Template!G35&gt;0,40,IF([1]Template!H35&gt;0,50,""))</f>
        <v/>
      </c>
      <c r="J9" s="91" t="str">
        <f>IF([1]Template!B35&lt;&gt;0,[1]Template!B35,"")</f>
        <v/>
      </c>
      <c r="K9" s="142" t="str">
        <f>IF([1]Template!G35&gt;0,[1]Template!G35,"")</f>
        <v/>
      </c>
      <c r="L9" s="142" t="str">
        <f>IF([1]Template!H35&gt;0,[1]Template!H35,"")</f>
        <v/>
      </c>
      <c r="M9" s="91" t="str">
        <f>IF([1]Template!C35&lt;&gt;0,[1]Template!C35,"")</f>
        <v/>
      </c>
      <c r="N9" s="91" t="str">
        <f>IF(I9&lt;&gt;"",[1]Template!$D$14,"")</f>
        <v/>
      </c>
      <c r="O9" s="91" t="str">
        <f>IF(I9&lt;&gt;"",[1]Template!F35,"")</f>
        <v/>
      </c>
    </row>
    <row r="10" spans="1:31" x14ac:dyDescent="0.25">
      <c r="I10" s="91" t="str">
        <f>IF([1]Template!G36&gt;0,40,IF([1]Template!H36&gt;0,50,""))</f>
        <v/>
      </c>
      <c r="J10" s="91" t="str">
        <f>IF([1]Template!B36&lt;&gt;0,[1]Template!B36,"")</f>
        <v/>
      </c>
      <c r="K10" s="142" t="str">
        <f>IF([1]Template!G36&gt;0,[1]Template!G36,"")</f>
        <v/>
      </c>
      <c r="L10" s="142" t="str">
        <f>IF([1]Template!H36&gt;0,[1]Template!H36,"")</f>
        <v/>
      </c>
      <c r="M10" s="91" t="str">
        <f>IF([1]Template!C36&lt;&gt;0,[1]Template!C36,"")</f>
        <v/>
      </c>
      <c r="N10" s="91" t="str">
        <f>IF(I10&lt;&gt;"",[1]Template!$D$14,"")</f>
        <v/>
      </c>
      <c r="O10" s="91" t="str">
        <f>IF(I10&lt;&gt;"",[1]Template!F36,"")</f>
        <v/>
      </c>
    </row>
    <row r="11" spans="1:31" x14ac:dyDescent="0.25">
      <c r="A11" s="140"/>
      <c r="D11" s="140"/>
      <c r="E11" s="141"/>
      <c r="I11" s="91" t="str">
        <f>IF([1]Template!G37&gt;0,40,IF([1]Template!H37&gt;0,50,""))</f>
        <v/>
      </c>
      <c r="J11" s="91" t="str">
        <f>IF([1]Template!B37&lt;&gt;0,[1]Template!B37,"")</f>
        <v/>
      </c>
      <c r="K11" s="142" t="str">
        <f>IF([1]Template!G37&gt;0,[1]Template!G37,"")</f>
        <v/>
      </c>
      <c r="L11" s="142" t="str">
        <f>IF([1]Template!H37&gt;0,[1]Template!H37,"")</f>
        <v/>
      </c>
      <c r="M11" s="91" t="str">
        <f>IF([1]Template!C37&lt;&gt;0,[1]Template!C37,"")</f>
        <v/>
      </c>
      <c r="N11" s="91" t="str">
        <f>IF(I11&lt;&gt;"",[1]Template!$D$14,"")</f>
        <v/>
      </c>
      <c r="O11" s="91" t="str">
        <f>IF(I11&lt;&gt;"",[1]Template!F37,"")</f>
        <v/>
      </c>
    </row>
    <row r="12" spans="1:31" x14ac:dyDescent="0.25">
      <c r="I12" s="91" t="str">
        <f>IF([1]Template!G38&gt;0,40,IF([1]Template!H38&gt;0,50,""))</f>
        <v/>
      </c>
      <c r="J12" s="91" t="str">
        <f>IF([1]Template!B38&lt;&gt;0,[1]Template!B38,"")</f>
        <v/>
      </c>
      <c r="K12" s="142" t="str">
        <f>IF([1]Template!G38&gt;0,[1]Template!G38,"")</f>
        <v/>
      </c>
      <c r="L12" s="142" t="str">
        <f>IF([1]Template!H38&gt;0,[1]Template!H38,"")</f>
        <v/>
      </c>
      <c r="M12" s="91" t="str">
        <f>IF([1]Template!C38&lt;&gt;0,[1]Template!C38,"")</f>
        <v/>
      </c>
      <c r="N12" s="91" t="str">
        <f>IF(I12&lt;&gt;"",[1]Template!$D$14,"")</f>
        <v/>
      </c>
      <c r="O12" s="91" t="str">
        <f>IF(I12&lt;&gt;"",[1]Template!F38,"")</f>
        <v/>
      </c>
    </row>
    <row r="13" spans="1:31" x14ac:dyDescent="0.25">
      <c r="I13" s="91" t="str">
        <f>IF([1]Template!G39&gt;0,40,IF([1]Template!H39&gt;0,50,""))</f>
        <v/>
      </c>
      <c r="J13" s="91" t="str">
        <f>IF([1]Template!B39&lt;&gt;0,[1]Template!B39,"")</f>
        <v/>
      </c>
      <c r="K13" s="142" t="str">
        <f>IF([1]Template!G39&gt;0,[1]Template!G39,"")</f>
        <v/>
      </c>
      <c r="L13" s="142" t="str">
        <f>IF([1]Template!H39&gt;0,[1]Template!H39,"")</f>
        <v/>
      </c>
    </row>
    <row r="14" spans="1:31" x14ac:dyDescent="0.25">
      <c r="I14" s="91" t="str">
        <f>IF([1]Template!G40&gt;0,40,IF([1]Template!H40&gt;0,50,""))</f>
        <v/>
      </c>
      <c r="J14" s="91" t="str">
        <f>IF([1]Template!B40&lt;&gt;0,[1]Template!B40,"")</f>
        <v/>
      </c>
      <c r="K14" s="142" t="str">
        <f>IF([1]Template!G40&gt;0,[1]Template!G40,"")</f>
        <v/>
      </c>
      <c r="L14" s="142" t="str">
        <f>IF([1]Template!H40&gt;0,[1]Template!H40,"")</f>
        <v/>
      </c>
    </row>
    <row r="15" spans="1:31" x14ac:dyDescent="0.25">
      <c r="I15" s="91" t="str">
        <f>IF([1]Template!G41&gt;0,40,IF([1]Template!H41&gt;0,50,""))</f>
        <v/>
      </c>
      <c r="J15" s="91" t="str">
        <f>IF([1]Template!B41&lt;&gt;0,[1]Template!B41,"")</f>
        <v/>
      </c>
      <c r="K15" s="142" t="str">
        <f>IF([1]Template!G41&gt;0,[1]Template!G41,"")</f>
        <v/>
      </c>
      <c r="L15" s="142" t="str">
        <f>IF([1]Template!H41&gt;0,[1]Template!H41,"")</f>
        <v/>
      </c>
    </row>
    <row r="16" spans="1:31" x14ac:dyDescent="0.25">
      <c r="I16" s="91" t="str">
        <f>IF([1]Template!G42&gt;0,40,IF([1]Template!H42&gt;0,50,""))</f>
        <v/>
      </c>
      <c r="J16" s="91" t="str">
        <f>IF([1]Template!B42&lt;&gt;0,[1]Template!B42,"")</f>
        <v/>
      </c>
      <c r="K16" s="142" t="str">
        <f>IF([1]Template!G42&gt;0,[1]Template!G42,"")</f>
        <v/>
      </c>
      <c r="L16" s="142" t="str">
        <f>IF([1]Template!H42&gt;0,[1]Template!H42,"")</f>
        <v/>
      </c>
    </row>
    <row r="17" spans="9:15" x14ac:dyDescent="0.25">
      <c r="I17" s="91" t="str">
        <f>IF([1]Template!G43&gt;0,40,IF([1]Template!H43&gt;0,50,""))</f>
        <v/>
      </c>
      <c r="J17" s="91" t="str">
        <f>IF([1]Template!B43&lt;&gt;0,[1]Template!B43,"")</f>
        <v/>
      </c>
      <c r="K17" s="142" t="str">
        <f>IF([1]Template!G43&gt;0,[1]Template!G43,"")</f>
        <v/>
      </c>
      <c r="L17" s="142" t="str">
        <f>IF([1]Template!H43&gt;0,[1]Template!H43,"")</f>
        <v/>
      </c>
      <c r="M17" s="91" t="str">
        <f>IF([1]Template!C43&lt;&gt;0,[1]Template!C43,"")</f>
        <v/>
      </c>
      <c r="N17" s="91" t="str">
        <f>IF(I17&lt;&gt;"",[1]Template!$D$14,"")</f>
        <v/>
      </c>
      <c r="O17" s="91" t="str">
        <f>IF(I17&lt;&gt;"",[1]Template!F43,"")</f>
        <v/>
      </c>
    </row>
    <row r="18" spans="9:15" x14ac:dyDescent="0.25">
      <c r="I18" s="91" t="str">
        <f>IF([1]Template!G44&gt;0,40,IF([1]Template!H44&gt;0,50,""))</f>
        <v/>
      </c>
      <c r="J18" s="91" t="str">
        <f>IF([1]Template!B44&lt;&gt;0,[1]Template!B44,"")</f>
        <v/>
      </c>
      <c r="K18" s="142" t="str">
        <f>IF([1]Template!G44&gt;0,[1]Template!G44,"")</f>
        <v/>
      </c>
      <c r="L18" s="142" t="str">
        <f>IF([1]Template!H44&gt;0,[1]Template!H44,"")</f>
        <v/>
      </c>
      <c r="M18" s="91" t="str">
        <f>IF([1]Template!C44&lt;&gt;0,[1]Template!C44,"")</f>
        <v/>
      </c>
      <c r="N18" s="91" t="str">
        <f>IF(I18&lt;&gt;"",[1]Template!$D$14,"")</f>
        <v/>
      </c>
      <c r="O18" s="91" t="str">
        <f>IF(I18&lt;&gt;"",[1]Template!F44,"")</f>
        <v/>
      </c>
    </row>
    <row r="19" spans="9:15" x14ac:dyDescent="0.25">
      <c r="I19" s="91" t="str">
        <f>IF([1]Template!G45&gt;0,40,IF([1]Template!H45&gt;0,50,""))</f>
        <v/>
      </c>
      <c r="J19" s="91" t="str">
        <f>IF([1]Template!B45&lt;&gt;0,[1]Template!B45,"")</f>
        <v/>
      </c>
      <c r="K19" s="142" t="str">
        <f>IF([1]Template!G45&gt;0,[1]Template!G45,"")</f>
        <v/>
      </c>
      <c r="L19" s="142" t="str">
        <f>IF([1]Template!H45&gt;0,[1]Template!H45,"")</f>
        <v/>
      </c>
      <c r="M19" s="91" t="str">
        <f>IF([1]Template!C45&lt;&gt;0,[1]Template!C45,"")</f>
        <v/>
      </c>
      <c r="N19" s="91" t="str">
        <f>IF(I19&lt;&gt;"",[1]Template!$D$14,"")</f>
        <v/>
      </c>
      <c r="O19" s="91" t="str">
        <f>IF(I19&lt;&gt;"",[1]Template!F45,"")</f>
        <v/>
      </c>
    </row>
    <row r="20" spans="9:15" x14ac:dyDescent="0.25">
      <c r="I20" s="91" t="str">
        <f>IF([1]Template!G46&gt;0,40,IF([1]Template!H46&gt;0,50,""))</f>
        <v/>
      </c>
      <c r="J20" s="91" t="str">
        <f>IF([1]Template!B46&lt;&gt;0,[1]Template!B46,"")</f>
        <v/>
      </c>
      <c r="K20" s="142" t="str">
        <f>IF([1]Template!G46&gt;0,[1]Template!G46,"")</f>
        <v/>
      </c>
      <c r="L20" s="142" t="str">
        <f>IF([1]Template!H46&gt;0,[1]Template!H46,"")</f>
        <v/>
      </c>
      <c r="M20" s="91" t="str">
        <f>IF([1]Template!C46&lt;&gt;0,[1]Template!C46,"")</f>
        <v/>
      </c>
      <c r="N20" s="91" t="str">
        <f>IF(I20&lt;&gt;"",[1]Template!$D$14,"")</f>
        <v/>
      </c>
      <c r="O20" s="91" t="str">
        <f>IF(I20&lt;&gt;"",[1]Template!F46,"")</f>
        <v/>
      </c>
    </row>
    <row r="21" spans="9:15" x14ac:dyDescent="0.25">
      <c r="I21" s="91" t="str">
        <f>IF([1]Template!G47&gt;0,40,IF([1]Template!H47&gt;0,50,""))</f>
        <v/>
      </c>
      <c r="J21" s="91" t="str">
        <f>IF([1]Template!B47&lt;&gt;0,[1]Template!B47,"")</f>
        <v/>
      </c>
      <c r="K21" s="142" t="str">
        <f>IF([1]Template!G47&gt;0,[1]Template!G47,"")</f>
        <v/>
      </c>
      <c r="L21" s="142" t="str">
        <f>IF([1]Template!H47&gt;0,[1]Template!H47,"")</f>
        <v/>
      </c>
      <c r="M21" s="91" t="str">
        <f>IF([1]Template!C47&lt;&gt;0,[1]Template!C47,"")</f>
        <v/>
      </c>
      <c r="N21" s="91" t="str">
        <f>IF(I21&lt;&gt;"",[1]Template!$D$14,"")</f>
        <v/>
      </c>
      <c r="O21" s="91" t="str">
        <f>IF(I21&lt;&gt;"",[1]Template!F47,"")</f>
        <v/>
      </c>
    </row>
    <row r="22" spans="9:15" x14ac:dyDescent="0.25">
      <c r="I22" s="91" t="str">
        <f>IF([1]Template!G48&gt;0,40,IF([1]Template!H48&gt;0,50,""))</f>
        <v/>
      </c>
      <c r="J22" s="91" t="str">
        <f>IF([1]Template!B48&lt;&gt;0,[1]Template!B48,"")</f>
        <v/>
      </c>
      <c r="K22" s="142" t="str">
        <f>IF([1]Template!G48&gt;0,[1]Template!G48,"")</f>
        <v/>
      </c>
      <c r="L22" s="142" t="str">
        <f>IF([1]Template!H48&gt;0,[1]Template!H48,"")</f>
        <v/>
      </c>
      <c r="M22" s="91" t="str">
        <f>IF([1]Template!C48&lt;&gt;0,[1]Template!C48,"")</f>
        <v/>
      </c>
      <c r="N22" s="91" t="str">
        <f>IF(I22&lt;&gt;"",[1]Template!$D$14,"")</f>
        <v/>
      </c>
      <c r="O22" s="91" t="str">
        <f>IF(I22&lt;&gt;"",[1]Template!F48,"")</f>
        <v/>
      </c>
    </row>
    <row r="23" spans="9:15" x14ac:dyDescent="0.25">
      <c r="I23" s="91" t="str">
        <f>IF([1]Template!G49&gt;0,40,IF([1]Template!H49&gt;0,50,""))</f>
        <v/>
      </c>
      <c r="J23" s="91" t="str">
        <f>IF([1]Template!B49&lt;&gt;0,[1]Template!B49,"")</f>
        <v/>
      </c>
      <c r="K23" s="142" t="str">
        <f>IF([1]Template!G49&gt;0,[1]Template!G49,"")</f>
        <v/>
      </c>
      <c r="L23" s="142" t="str">
        <f>IF([1]Template!H49&gt;0,[1]Template!H49,"")</f>
        <v/>
      </c>
      <c r="M23" s="91" t="str">
        <f>IF([1]Template!C49&lt;&gt;0,[1]Template!C49,"")</f>
        <v/>
      </c>
      <c r="N23" s="91" t="str">
        <f>IF(I23&lt;&gt;"",[1]Template!$D$14,"")</f>
        <v/>
      </c>
      <c r="O23" s="91" t="str">
        <f>IF(I23&lt;&gt;"",[1]Template!F49,"")</f>
        <v/>
      </c>
    </row>
    <row r="24" spans="9:15" x14ac:dyDescent="0.25">
      <c r="I24" s="91" t="str">
        <f>IF([1]Template!G50&gt;0,40,IF([1]Template!H50&gt;0,50,""))</f>
        <v/>
      </c>
      <c r="J24" s="91" t="str">
        <f>IF([1]Template!B50&lt;&gt;0,[1]Template!B50,"")</f>
        <v/>
      </c>
      <c r="K24" s="142" t="str">
        <f>IF([1]Template!G50&gt;0,[1]Template!G50,"")</f>
        <v/>
      </c>
      <c r="L24" s="142" t="str">
        <f>IF([1]Template!H50&gt;0,[1]Template!H50,"")</f>
        <v/>
      </c>
      <c r="M24" s="91" t="str">
        <f>IF([1]Template!C50&lt;&gt;0,[1]Template!C50,"")</f>
        <v/>
      </c>
      <c r="N24" s="91" t="str">
        <f>IF(I24&lt;&gt;"",[1]Template!$D$14,"")</f>
        <v/>
      </c>
      <c r="O24" s="91" t="str">
        <f>IF(I24&lt;&gt;"",[1]Template!F50,"")</f>
        <v/>
      </c>
    </row>
    <row r="25" spans="9:15" x14ac:dyDescent="0.25">
      <c r="I25" s="91" t="str">
        <f>IF([1]Template!G51&gt;0,40,IF([1]Template!H51&gt;0,50,""))</f>
        <v/>
      </c>
      <c r="J25" s="91" t="str">
        <f>IF([1]Template!B51&lt;&gt;0,[1]Template!B51,"")</f>
        <v/>
      </c>
      <c r="K25" s="142" t="str">
        <f>IF([1]Template!G51&gt;0,[1]Template!G51,"")</f>
        <v/>
      </c>
      <c r="L25" s="142" t="str">
        <f>IF([1]Template!H51&gt;0,[1]Template!H51,"")</f>
        <v/>
      </c>
      <c r="M25" s="91" t="str">
        <f>IF([1]Template!C51&lt;&gt;0,[1]Template!C51,"")</f>
        <v/>
      </c>
      <c r="N25" s="91" t="str">
        <f>IF(I25&lt;&gt;"",[1]Template!$D$14,"")</f>
        <v/>
      </c>
      <c r="O25" s="91" t="str">
        <f>IF(I25&lt;&gt;"",[1]Template!F51,"")</f>
        <v/>
      </c>
    </row>
    <row r="26" spans="9:15" x14ac:dyDescent="0.25">
      <c r="I26" s="91" t="str">
        <f>IF([1]Template!G52&gt;0,40,IF([1]Template!H52&gt;0,50,""))</f>
        <v/>
      </c>
      <c r="J26" s="91" t="str">
        <f>IF([1]Template!B52&lt;&gt;0,[1]Template!B52,"")</f>
        <v/>
      </c>
      <c r="K26" s="142" t="str">
        <f>IF([1]Template!G52&gt;0,[1]Template!G52,"")</f>
        <v/>
      </c>
      <c r="L26" s="142" t="str">
        <f>IF([1]Template!H52&gt;0,[1]Template!H52,"")</f>
        <v/>
      </c>
      <c r="M26" s="91" t="str">
        <f>IF([1]Template!C52&lt;&gt;0,[1]Template!C52,"")</f>
        <v/>
      </c>
      <c r="N26" s="91" t="str">
        <f>IF(I26&lt;&gt;"",[1]Template!$D$14,"")</f>
        <v/>
      </c>
      <c r="O26" s="91" t="str">
        <f>IF(I26&lt;&gt;"",[1]Template!F52,"")</f>
        <v/>
      </c>
    </row>
    <row r="27" spans="9:15" x14ac:dyDescent="0.25">
      <c r="I27" s="91" t="str">
        <f>IF([1]Template!G53&gt;0,40,IF([1]Template!H53&gt;0,50,""))</f>
        <v/>
      </c>
      <c r="J27" s="91" t="str">
        <f>IF([1]Template!B53&lt;&gt;0,[1]Template!B53,"")</f>
        <v/>
      </c>
      <c r="K27" s="142" t="str">
        <f>IF([1]Template!G53&gt;0,[1]Template!G53,"")</f>
        <v/>
      </c>
      <c r="L27" s="142" t="str">
        <f>IF([1]Template!H53&gt;0,[1]Template!H53,"")</f>
        <v/>
      </c>
      <c r="M27" s="91" t="str">
        <f>IF([1]Template!C53&lt;&gt;0,[1]Template!C53,"")</f>
        <v/>
      </c>
      <c r="N27" s="91" t="str">
        <f>IF(I27&lt;&gt;"",[1]Template!$D$14,"")</f>
        <v/>
      </c>
      <c r="O27" s="91" t="str">
        <f>IF(I27&lt;&gt;"",[1]Template!F53,"")</f>
        <v/>
      </c>
    </row>
    <row r="28" spans="9:15" x14ac:dyDescent="0.25">
      <c r="I28" s="91" t="str">
        <f>IF([1]Template!G54&gt;0,40,IF([1]Template!H54&gt;0,50,""))</f>
        <v/>
      </c>
      <c r="J28" s="91" t="str">
        <f>IF([1]Template!B54&lt;&gt;0,[1]Template!B54,"")</f>
        <v/>
      </c>
      <c r="K28" s="142" t="str">
        <f>IF([1]Template!G54&gt;0,[1]Template!G54,"")</f>
        <v/>
      </c>
      <c r="L28" s="142" t="str">
        <f>IF([1]Template!H54&gt;0,[1]Template!H54,"")</f>
        <v/>
      </c>
      <c r="M28" s="91" t="str">
        <f>IF([1]Template!C54&lt;&gt;0,[1]Template!C54,"")</f>
        <v/>
      </c>
      <c r="N28" s="91" t="str">
        <f>IF(I28&lt;&gt;"",[1]Template!$D$14,"")</f>
        <v/>
      </c>
      <c r="O28" s="91" t="str">
        <f>IF(I28&lt;&gt;"",[1]Template!F54,"")</f>
        <v/>
      </c>
    </row>
    <row r="29" spans="9:15" x14ac:dyDescent="0.25">
      <c r="I29" s="91" t="str">
        <f>IF([1]Template!G55&gt;0,40,IF([1]Template!H55&gt;0,50,""))</f>
        <v/>
      </c>
      <c r="J29" s="91" t="str">
        <f>IF([1]Template!B55&lt;&gt;0,[1]Template!B55,"")</f>
        <v/>
      </c>
      <c r="K29" s="142" t="str">
        <f>IF([1]Template!G55&gt;0,[1]Template!G55,"")</f>
        <v/>
      </c>
      <c r="L29" s="142" t="str">
        <f>IF([1]Template!H55&gt;0,[1]Template!H55,"")</f>
        <v/>
      </c>
      <c r="M29" s="91" t="str">
        <f>IF([1]Template!C55&lt;&gt;0,[1]Template!C55,"")</f>
        <v/>
      </c>
      <c r="N29" s="91" t="str">
        <f>IF(I29&lt;&gt;"",[1]Template!$D$14,"")</f>
        <v/>
      </c>
      <c r="O29" s="91" t="str">
        <f>IF(I29&lt;&gt;"",[1]Template!F55,"")</f>
        <v/>
      </c>
    </row>
    <row r="30" spans="9:15" x14ac:dyDescent="0.25">
      <c r="I30" s="91" t="str">
        <f>IF([1]Template!G59&gt;0,40,IF([1]Template!H59&gt;0,50,""))</f>
        <v/>
      </c>
      <c r="J30" s="91" t="str">
        <f>IF([1]Template!B59&lt;&gt;0,[1]Template!B59,"")</f>
        <v/>
      </c>
      <c r="K30" s="142" t="str">
        <f>IF([1]Template!G59&gt;0,[1]Template!G59,"")</f>
        <v/>
      </c>
      <c r="L30" s="142" t="str">
        <f>IF([1]Template!H59&gt;0,[1]Template!H59,"")</f>
        <v/>
      </c>
      <c r="M30" s="91" t="str">
        <f>IF([1]Template!C59&lt;&gt;0,[1]Template!C59,"")</f>
        <v/>
      </c>
      <c r="N30" s="91" t="str">
        <f>IF(I30&lt;&gt;"",[1]Template!$D$14,"")</f>
        <v/>
      </c>
      <c r="O30" s="91" t="str">
        <f>IF(I30&lt;&gt;"",[1]Template!F59,"")</f>
        <v/>
      </c>
    </row>
    <row r="31" spans="9:15" x14ac:dyDescent="0.25">
      <c r="I31" s="91" t="str">
        <f>IF([1]Template!G60&gt;0,40,IF([1]Template!H60&gt;0,50,""))</f>
        <v/>
      </c>
      <c r="J31" s="91" t="str">
        <f>IF([1]Template!B60&lt;&gt;0,[1]Template!B60,"")</f>
        <v/>
      </c>
      <c r="K31" s="142" t="str">
        <f>IF([1]Template!G60&gt;0,[1]Template!G60,"")</f>
        <v/>
      </c>
      <c r="L31" s="142" t="str">
        <f>IF([1]Template!H60&gt;0,[1]Template!H60,"")</f>
        <v/>
      </c>
      <c r="M31" s="91" t="str">
        <f>IF([1]Template!C60&lt;&gt;0,[1]Template!C60,"")</f>
        <v/>
      </c>
      <c r="N31" s="91" t="str">
        <f>IF(I31&lt;&gt;"",[1]Template!$D$14,"")</f>
        <v/>
      </c>
      <c r="O31" s="91" t="str">
        <f>IF(I31&lt;&gt;"",[1]Template!F60,"")</f>
        <v/>
      </c>
    </row>
    <row r="32" spans="9:15" x14ac:dyDescent="0.25">
      <c r="I32" s="91" t="str">
        <f>IF([1]Template!G61&gt;0,40,IF([1]Template!H61&gt;0,50,""))</f>
        <v/>
      </c>
      <c r="J32" s="91" t="str">
        <f>IF([1]Template!B61&lt;&gt;0,[1]Template!B61,"")</f>
        <v/>
      </c>
      <c r="K32" s="142" t="str">
        <f>IF([1]Template!G61&gt;0,[1]Template!G61,"")</f>
        <v/>
      </c>
      <c r="L32" s="142" t="str">
        <f>IF([1]Template!H61&gt;0,[1]Template!H61,"")</f>
        <v/>
      </c>
      <c r="M32" s="91" t="str">
        <f>IF([1]Template!C61&lt;&gt;0,[1]Template!C61,"")</f>
        <v/>
      </c>
      <c r="N32" s="91" t="str">
        <f>IF(I32&lt;&gt;"",[1]Template!$D$14,"")</f>
        <v/>
      </c>
      <c r="O32" s="91" t="str">
        <f>IF(I32&lt;&gt;"",[1]Template!F61,"")</f>
        <v/>
      </c>
    </row>
    <row r="33" spans="9:15" x14ac:dyDescent="0.25">
      <c r="I33" s="91" t="str">
        <f>IF([1]Template!G62&gt;0,40,IF([1]Template!H62&gt;0,50,""))</f>
        <v/>
      </c>
      <c r="J33" s="91" t="str">
        <f>IF([1]Template!B62&lt;&gt;0,[1]Template!B62,"")</f>
        <v/>
      </c>
      <c r="K33" s="142" t="str">
        <f>IF([1]Template!G62&gt;0,[1]Template!G62,"")</f>
        <v/>
      </c>
      <c r="L33" s="142" t="str">
        <f>IF([1]Template!H62&gt;0,[1]Template!H62,"")</f>
        <v/>
      </c>
      <c r="M33" s="91" t="str">
        <f>IF([1]Template!C62&lt;&gt;0,[1]Template!C62,"")</f>
        <v/>
      </c>
      <c r="N33" s="91" t="str">
        <f>IF(I33&lt;&gt;"",[1]Template!$D$14,"")</f>
        <v/>
      </c>
      <c r="O33" s="91" t="str">
        <f>IF(I33&lt;&gt;"",[1]Template!F62,"")</f>
        <v/>
      </c>
    </row>
    <row r="34" spans="9:15" x14ac:dyDescent="0.25">
      <c r="I34" s="91" t="str">
        <f>IF([1]Template!G63&gt;0,40,IF([1]Template!H63&gt;0,50,""))</f>
        <v/>
      </c>
      <c r="J34" s="91" t="str">
        <f>IF([1]Template!B63&lt;&gt;0,[1]Template!B63,"")</f>
        <v/>
      </c>
      <c r="K34" s="142" t="str">
        <f>IF([1]Template!G63&gt;0,[1]Template!G63,"")</f>
        <v/>
      </c>
      <c r="L34" s="142" t="str">
        <f>IF([1]Template!H63&gt;0,[1]Template!H63,"")</f>
        <v/>
      </c>
      <c r="M34" s="91" t="str">
        <f>IF([1]Template!C63&lt;&gt;0,[1]Template!C63,"")</f>
        <v/>
      </c>
      <c r="N34" s="91" t="str">
        <f>IF(I34&lt;&gt;"",[1]Template!$D$14,"")</f>
        <v/>
      </c>
      <c r="O34" s="91" t="str">
        <f>IF(I34&lt;&gt;"",[1]Template!F63,"")</f>
        <v/>
      </c>
    </row>
    <row r="35" spans="9:15" x14ac:dyDescent="0.25">
      <c r="I35" s="91" t="str">
        <f>IF([1]Template!G64&gt;0,40,IF([1]Template!H64&gt;0,50,""))</f>
        <v/>
      </c>
      <c r="J35" s="91" t="str">
        <f>IF([1]Template!B64&lt;&gt;0,[1]Template!B64,"")</f>
        <v/>
      </c>
      <c r="K35" s="142" t="str">
        <f>IF([1]Template!G64&gt;0,[1]Template!G64,"")</f>
        <v/>
      </c>
      <c r="L35" s="142" t="str">
        <f>IF([1]Template!H64&gt;0,[1]Template!H64,"")</f>
        <v/>
      </c>
      <c r="M35" s="91" t="str">
        <f>IF([1]Template!C64&lt;&gt;0,[1]Template!C64,"")</f>
        <v/>
      </c>
      <c r="N35" s="91" t="str">
        <f>IF(I35&lt;&gt;"",[1]Template!$D$14,"")</f>
        <v/>
      </c>
      <c r="O35" s="91" t="str">
        <f>IF(I35&lt;&gt;"",[1]Template!F64,"")</f>
        <v/>
      </c>
    </row>
    <row r="36" spans="9:15" x14ac:dyDescent="0.25">
      <c r="I36" s="91" t="str">
        <f>IF([1]Template!G65&gt;0,40,IF([1]Template!H65&gt;0,50,""))</f>
        <v/>
      </c>
      <c r="J36" s="91" t="str">
        <f>IF([1]Template!B65&lt;&gt;0,[1]Template!B65,"")</f>
        <v/>
      </c>
      <c r="K36" s="142" t="str">
        <f>IF([1]Template!G65&gt;0,[1]Template!G65,"")</f>
        <v/>
      </c>
      <c r="L36" s="142" t="str">
        <f>IF([1]Template!H65&gt;0,[1]Template!H65,"")</f>
        <v/>
      </c>
      <c r="M36" s="91" t="str">
        <f>IF([1]Template!C65&lt;&gt;0,[1]Template!C65,"")</f>
        <v/>
      </c>
      <c r="N36" s="91" t="str">
        <f>IF(I36&lt;&gt;"",[1]Template!$D$14,"")</f>
        <v/>
      </c>
      <c r="O36" s="91" t="str">
        <f>IF(I36&lt;&gt;"",[1]Template!F65,"")</f>
        <v/>
      </c>
    </row>
    <row r="37" spans="9:15" x14ac:dyDescent="0.25">
      <c r="I37" s="91" t="str">
        <f>IF([1]Template!G66&gt;0,40,IF([1]Template!H66&gt;0,50,""))</f>
        <v/>
      </c>
      <c r="J37" s="91" t="str">
        <f>IF([1]Template!B66&lt;&gt;0,[1]Template!B66,"")</f>
        <v/>
      </c>
      <c r="K37" s="142" t="str">
        <f>IF([1]Template!G66&gt;0,[1]Template!G66,"")</f>
        <v/>
      </c>
      <c r="L37" s="142" t="str">
        <f>IF([1]Template!H66&gt;0,[1]Template!H66,"")</f>
        <v/>
      </c>
      <c r="M37" s="91" t="str">
        <f>IF([1]Template!C66&lt;&gt;0,[1]Template!C66,"")</f>
        <v/>
      </c>
      <c r="N37" s="91" t="str">
        <f>IF(I37&lt;&gt;"",[1]Template!$D$14,"")</f>
        <v/>
      </c>
      <c r="O37" s="91" t="str">
        <f>IF(I37&lt;&gt;"",[1]Template!F66,"")</f>
        <v/>
      </c>
    </row>
    <row r="38" spans="9:15" x14ac:dyDescent="0.25">
      <c r="I38" s="91" t="str">
        <f>IF([1]Template!G67&gt;0,40,IF([1]Template!H67&gt;0,50,""))</f>
        <v/>
      </c>
      <c r="J38" s="91" t="str">
        <f>IF([1]Template!B67&lt;&gt;0,[1]Template!B67,"")</f>
        <v/>
      </c>
      <c r="K38" s="142" t="str">
        <f>IF([1]Template!G67&gt;0,[1]Template!G67,"")</f>
        <v/>
      </c>
      <c r="L38" s="142" t="str">
        <f>IF([1]Template!H67&gt;0,[1]Template!H67,"")</f>
        <v/>
      </c>
      <c r="M38" s="91" t="str">
        <f>IF([1]Template!C67&lt;&gt;0,[1]Template!C67,"")</f>
        <v/>
      </c>
      <c r="N38" s="91" t="str">
        <f>IF(I38&lt;&gt;"",[1]Template!$D$14,"")</f>
        <v/>
      </c>
      <c r="O38" s="91" t="str">
        <f>IF(I38&lt;&gt;"",[1]Template!F67,"")</f>
        <v/>
      </c>
    </row>
    <row r="39" spans="9:15" x14ac:dyDescent="0.25">
      <c r="I39" s="91" t="str">
        <f>IF([1]Template!G68&gt;0,40,IF([1]Template!H68&gt;0,50,""))</f>
        <v/>
      </c>
      <c r="J39" s="91" t="str">
        <f>IF([1]Template!B68&lt;&gt;0,[1]Template!B68,"")</f>
        <v/>
      </c>
      <c r="K39" s="142" t="str">
        <f>IF([1]Template!G68&gt;0,[1]Template!G68,"")</f>
        <v/>
      </c>
      <c r="L39" s="142" t="str">
        <f>IF([1]Template!H68&gt;0,[1]Template!H68,"")</f>
        <v/>
      </c>
      <c r="M39" s="91" t="str">
        <f>IF([1]Template!C68&lt;&gt;0,[1]Template!C68,"")</f>
        <v/>
      </c>
      <c r="N39" s="91" t="str">
        <f>IF(I39&lt;&gt;"",[1]Template!$D$14,"")</f>
        <v/>
      </c>
      <c r="O39" s="91" t="str">
        <f>IF(I39&lt;&gt;"",[1]Template!F68,"")</f>
        <v/>
      </c>
    </row>
    <row r="40" spans="9:15" x14ac:dyDescent="0.25">
      <c r="I40" s="91" t="str">
        <f>IF([1]Template!G69&gt;0,40,IF([1]Template!H69&gt;0,50,""))</f>
        <v/>
      </c>
      <c r="J40" s="91" t="str">
        <f>IF([1]Template!B69&lt;&gt;0,[1]Template!B69,"")</f>
        <v/>
      </c>
      <c r="K40" s="142" t="str">
        <f>IF([1]Template!G69&gt;0,[1]Template!G69,"")</f>
        <v/>
      </c>
      <c r="L40" s="142" t="str">
        <f>IF([1]Template!H69&gt;0,[1]Template!H69,"")</f>
        <v/>
      </c>
      <c r="M40" s="91" t="str">
        <f>IF([1]Template!C69&lt;&gt;0,[1]Template!C69,"")</f>
        <v/>
      </c>
      <c r="N40" s="91" t="str">
        <f>IF(I40&lt;&gt;"",[1]Template!$D$14,"")</f>
        <v/>
      </c>
      <c r="O40" s="91" t="str">
        <f>IF(I40&lt;&gt;"",[1]Template!F69,"")</f>
        <v/>
      </c>
    </row>
    <row r="41" spans="9:15" x14ac:dyDescent="0.25">
      <c r="I41" s="91" t="str">
        <f>IF([1]Template!G70&gt;0,40,IF([1]Template!H70&gt;0,50,""))</f>
        <v/>
      </c>
      <c r="J41" s="91" t="str">
        <f>IF([1]Template!B70&lt;&gt;0,[1]Template!B70,"")</f>
        <v/>
      </c>
      <c r="K41" s="142" t="str">
        <f>IF([1]Template!G70&gt;0,[1]Template!G70,"")</f>
        <v/>
      </c>
      <c r="L41" s="142" t="str">
        <f>IF([1]Template!H70&gt;0,[1]Template!H70,"")</f>
        <v/>
      </c>
      <c r="M41" s="91" t="str">
        <f>IF([1]Template!C70&lt;&gt;0,[1]Template!C70,"")</f>
        <v/>
      </c>
      <c r="N41" s="91" t="str">
        <f>IF(I41&lt;&gt;"",[1]Template!$D$14,"")</f>
        <v/>
      </c>
      <c r="O41" s="91" t="str">
        <f>IF(I41&lt;&gt;"",[1]Template!F70,"")</f>
        <v/>
      </c>
    </row>
    <row r="42" spans="9:15" x14ac:dyDescent="0.25">
      <c r="I42" s="91" t="str">
        <f>IF([1]Template!G71&gt;0,40,IF([1]Template!H71&gt;0,50,""))</f>
        <v/>
      </c>
      <c r="J42" s="91" t="str">
        <f>IF([1]Template!B71&lt;&gt;0,[1]Template!B71,"")</f>
        <v/>
      </c>
      <c r="K42" s="142" t="str">
        <f>IF([1]Template!G71&gt;0,[1]Template!G71,"")</f>
        <v/>
      </c>
      <c r="L42" s="142" t="str">
        <f>IF([1]Template!H71&gt;0,[1]Template!H71,"")</f>
        <v/>
      </c>
      <c r="M42" s="91" t="str">
        <f>IF([1]Template!C71&lt;&gt;0,[1]Template!C71,"")</f>
        <v/>
      </c>
      <c r="N42" s="91" t="str">
        <f>IF(I42&lt;&gt;"",[1]Template!$D$14,"")</f>
        <v/>
      </c>
      <c r="O42" s="91" t="str">
        <f>IF(I42&lt;&gt;"",[1]Template!F71,"")</f>
        <v/>
      </c>
    </row>
    <row r="43" spans="9:15" x14ac:dyDescent="0.25">
      <c r="I43" s="91" t="str">
        <f>IF([1]Template!G72&gt;0,40,IF([1]Template!H72&gt;0,50,""))</f>
        <v/>
      </c>
      <c r="J43" s="91" t="str">
        <f>IF([1]Template!B72&lt;&gt;0,[1]Template!B72,"")</f>
        <v/>
      </c>
      <c r="K43" s="142" t="str">
        <f>IF([1]Template!G72&gt;0,[1]Template!G72,"")</f>
        <v/>
      </c>
      <c r="L43" s="142" t="str">
        <f>IF([1]Template!H72&gt;0,[1]Template!H72,"")</f>
        <v/>
      </c>
      <c r="M43" s="91" t="str">
        <f>IF([1]Template!C72&lt;&gt;0,[1]Template!C72,"")</f>
        <v/>
      </c>
      <c r="N43" s="91" t="str">
        <f>IF(I43&lt;&gt;"",[1]Template!$D$14,"")</f>
        <v/>
      </c>
      <c r="O43" s="91" t="str">
        <f>IF(I43&lt;&gt;"",[1]Template!F72,"")</f>
        <v/>
      </c>
    </row>
    <row r="44" spans="9:15" x14ac:dyDescent="0.25">
      <c r="I44" s="91" t="str">
        <f>IF([1]Template!G73&gt;0,40,IF([1]Template!H73&gt;0,50,""))</f>
        <v/>
      </c>
      <c r="J44" s="91" t="str">
        <f>IF([1]Template!B73&lt;&gt;0,[1]Template!B73,"")</f>
        <v/>
      </c>
      <c r="K44" s="142" t="str">
        <f>IF([1]Template!G73&gt;0,[1]Template!G73,"")</f>
        <v/>
      </c>
      <c r="L44" s="142" t="str">
        <f>IF([1]Template!H73&gt;0,[1]Template!H73,"")</f>
        <v/>
      </c>
      <c r="M44" s="91" t="str">
        <f>IF([1]Template!C73&lt;&gt;0,[1]Template!C73,"")</f>
        <v/>
      </c>
      <c r="N44" s="91" t="str">
        <f>IF(I44&lt;&gt;"",[1]Template!$D$14,"")</f>
        <v/>
      </c>
      <c r="O44" s="91" t="str">
        <f>IF(I44&lt;&gt;"",[1]Template!F73,"")</f>
        <v/>
      </c>
    </row>
    <row r="45" spans="9:15" x14ac:dyDescent="0.25">
      <c r="I45" s="91" t="str">
        <f>IF([1]Template!G74&gt;0,40,IF([1]Template!H74&gt;0,50,""))</f>
        <v/>
      </c>
      <c r="J45" s="91" t="str">
        <f>IF([1]Template!B74&lt;&gt;0,[1]Template!B74,"")</f>
        <v/>
      </c>
      <c r="K45" s="142" t="str">
        <f>IF([1]Template!G74&gt;0,[1]Template!G74,"")</f>
        <v/>
      </c>
      <c r="L45" s="142" t="str">
        <f>IF([1]Template!H74&gt;0,[1]Template!H74,"")</f>
        <v/>
      </c>
      <c r="M45" s="91" t="str">
        <f>IF([1]Template!C74&lt;&gt;0,[1]Template!C74,"")</f>
        <v/>
      </c>
      <c r="N45" s="91" t="str">
        <f>IF(I45&lt;&gt;"",[1]Template!$D$14,"")</f>
        <v/>
      </c>
      <c r="O45" s="91" t="str">
        <f>IF(I45&lt;&gt;"",[1]Template!F74,"")</f>
        <v/>
      </c>
    </row>
    <row r="46" spans="9:15" x14ac:dyDescent="0.25">
      <c r="I46" s="91" t="str">
        <f>IF([1]Template!G75&gt;0,40,IF([1]Template!H75&gt;0,50,""))</f>
        <v/>
      </c>
      <c r="J46" s="91" t="str">
        <f>IF([1]Template!B75&lt;&gt;0,[1]Template!B75,"")</f>
        <v/>
      </c>
      <c r="K46" s="142" t="str">
        <f>IF([1]Template!G75&gt;0,[1]Template!G75,"")</f>
        <v/>
      </c>
      <c r="L46" s="142" t="str">
        <f>IF([1]Template!H75&gt;0,[1]Template!H75,"")</f>
        <v/>
      </c>
      <c r="M46" s="91" t="str">
        <f>IF([1]Template!C75&lt;&gt;0,[1]Template!C75,"")</f>
        <v/>
      </c>
      <c r="N46" s="91" t="str">
        <f>IF(I46&lt;&gt;"",[1]Template!$D$14,"")</f>
        <v/>
      </c>
      <c r="O46" s="91" t="str">
        <f>IF(I46&lt;&gt;"",[1]Template!F75,"")</f>
        <v/>
      </c>
    </row>
    <row r="47" spans="9:15" x14ac:dyDescent="0.25">
      <c r="I47" s="91" t="str">
        <f>IF([1]Template!G76&gt;0,40,IF([1]Template!H76&gt;0,50,""))</f>
        <v/>
      </c>
      <c r="J47" s="91" t="str">
        <f>IF([1]Template!B76&lt;&gt;0,[1]Template!B76,"")</f>
        <v/>
      </c>
      <c r="K47" s="142" t="str">
        <f>IF([1]Template!G76&gt;0,[1]Template!G76,"")</f>
        <v/>
      </c>
      <c r="L47" s="142" t="str">
        <f>IF([1]Template!H76&gt;0,[1]Template!H76,"")</f>
        <v/>
      </c>
      <c r="M47" s="91" t="str">
        <f>IF([1]Template!C76&lt;&gt;0,[1]Template!C76,"")</f>
        <v/>
      </c>
      <c r="N47" s="91" t="str">
        <f>IF(I47&lt;&gt;"",[1]Template!$D$14,"")</f>
        <v/>
      </c>
      <c r="O47" s="91" t="str">
        <f>IF(I47&lt;&gt;"",[1]Template!F76,"")</f>
        <v/>
      </c>
    </row>
    <row r="48" spans="9:15" x14ac:dyDescent="0.25">
      <c r="I48" s="91" t="str">
        <f>IF([1]Template!G77&gt;0,40,IF([1]Template!H77&gt;0,50,""))</f>
        <v/>
      </c>
      <c r="J48" s="91" t="str">
        <f>IF([1]Template!B77&lt;&gt;0,[1]Template!B77,"")</f>
        <v/>
      </c>
      <c r="K48" s="142" t="str">
        <f>IF([1]Template!G77&gt;0,[1]Template!G77,"")</f>
        <v/>
      </c>
      <c r="L48" s="142" t="str">
        <f>IF([1]Template!H77&gt;0,[1]Template!H77,"")</f>
        <v/>
      </c>
      <c r="M48" s="91" t="str">
        <f>IF([1]Template!C77&lt;&gt;0,[1]Template!C77,"")</f>
        <v/>
      </c>
      <c r="N48" s="91" t="str">
        <f>IF(I48&lt;&gt;"",[1]Template!$D$14,"")</f>
        <v/>
      </c>
      <c r="O48" s="91" t="str">
        <f>IF(I48&lt;&gt;"",[1]Template!F77,"")</f>
        <v/>
      </c>
    </row>
    <row r="49" spans="9:15" x14ac:dyDescent="0.25">
      <c r="I49" s="91" t="str">
        <f>IF([1]Template!G78&gt;0,40,IF([1]Template!H78&gt;0,50,""))</f>
        <v/>
      </c>
      <c r="J49" s="91" t="str">
        <f>IF([1]Template!B78&lt;&gt;0,[1]Template!B78,"")</f>
        <v/>
      </c>
      <c r="K49" s="142" t="str">
        <f>IF([1]Template!G78&gt;0,[1]Template!G78,"")</f>
        <v/>
      </c>
      <c r="L49" s="142" t="str">
        <f>IF([1]Template!H78&gt;0,[1]Template!H78,"")</f>
        <v/>
      </c>
      <c r="M49" s="91" t="str">
        <f>IF([1]Template!C78&lt;&gt;0,[1]Template!C78,"")</f>
        <v/>
      </c>
      <c r="N49" s="91" t="str">
        <f>IF(I49&lt;&gt;"",[1]Template!$D$14,"")</f>
        <v/>
      </c>
      <c r="O49" s="91" t="str">
        <f>IF(I49&lt;&gt;"",[1]Template!F78,"")</f>
        <v/>
      </c>
    </row>
    <row r="50" spans="9:15" x14ac:dyDescent="0.25">
      <c r="I50" s="91" t="str">
        <f>IF([1]Template!G79&gt;0,40,IF([1]Template!H79&gt;0,50,""))</f>
        <v/>
      </c>
      <c r="J50" s="91" t="str">
        <f>IF([1]Template!B79&lt;&gt;0,[1]Template!B79,"")</f>
        <v/>
      </c>
      <c r="K50" s="142" t="str">
        <f>IF([1]Template!G79&gt;0,[1]Template!G79,"")</f>
        <v/>
      </c>
      <c r="L50" s="142" t="str">
        <f>IF([1]Template!H79&gt;0,[1]Template!H79,"")</f>
        <v/>
      </c>
      <c r="M50" s="91" t="str">
        <f>IF([1]Template!C79&lt;&gt;0,[1]Template!C79,"")</f>
        <v/>
      </c>
      <c r="N50" s="91" t="str">
        <f>IF(I50&lt;&gt;"",[1]Template!$D$14,"")</f>
        <v/>
      </c>
      <c r="O50" s="91" t="str">
        <f>IF(I50&lt;&gt;"",[1]Template!F79,"")</f>
        <v/>
      </c>
    </row>
    <row r="51" spans="9:15" x14ac:dyDescent="0.25">
      <c r="I51" s="91" t="str">
        <f>IF([1]Template!G80&gt;0,40,IF([1]Template!H80&gt;0,50,""))</f>
        <v/>
      </c>
      <c r="J51" s="91" t="str">
        <f>IF([1]Template!B80&lt;&gt;0,[1]Template!B80,"")</f>
        <v/>
      </c>
      <c r="K51" s="142" t="str">
        <f>IF([1]Template!G80&gt;0,[1]Template!G80,"")</f>
        <v/>
      </c>
      <c r="L51" s="142" t="str">
        <f>IF([1]Template!H80&gt;0,[1]Template!H80,"")</f>
        <v/>
      </c>
      <c r="M51" s="91" t="str">
        <f>IF([1]Template!C80&lt;&gt;0,[1]Template!C80,"")</f>
        <v/>
      </c>
      <c r="N51" s="91" t="str">
        <f>IF(I51&lt;&gt;"",[1]Template!$D$14,"")</f>
        <v/>
      </c>
      <c r="O51" s="91" t="str">
        <f>IF(I51&lt;&gt;"",[1]Template!F80,"")</f>
        <v/>
      </c>
    </row>
    <row r="52" spans="9:15" x14ac:dyDescent="0.25">
      <c r="I52" s="91" t="str">
        <f>IF([1]Template!G81&gt;0,40,IF([1]Template!H81&gt;0,50,""))</f>
        <v/>
      </c>
      <c r="J52" s="91" t="str">
        <f>IF([1]Template!B81&lt;&gt;0,[1]Template!B81,"")</f>
        <v/>
      </c>
      <c r="K52" s="142" t="str">
        <f>IF([1]Template!G81&gt;0,[1]Template!G81,"")</f>
        <v/>
      </c>
      <c r="L52" s="142" t="str">
        <f>IF([1]Template!H81&gt;0,[1]Template!H81,"")</f>
        <v/>
      </c>
      <c r="M52" s="91" t="str">
        <f>IF([1]Template!C81&lt;&gt;0,[1]Template!C81,"")</f>
        <v/>
      </c>
      <c r="N52" s="91" t="str">
        <f>IF(I52&lt;&gt;"",[1]Template!$D$14,"")</f>
        <v/>
      </c>
      <c r="O52" s="91" t="str">
        <f>IF(I52&lt;&gt;"",[1]Template!F81,"")</f>
        <v/>
      </c>
    </row>
    <row r="53" spans="9:15" x14ac:dyDescent="0.25">
      <c r="I53" s="91" t="str">
        <f>IF([1]Template!G82&gt;0,40,IF([1]Template!H82&gt;0,50,""))</f>
        <v/>
      </c>
      <c r="J53" s="91" t="str">
        <f>IF([1]Template!B82&lt;&gt;0,[1]Template!B82,"")</f>
        <v/>
      </c>
      <c r="K53" s="142" t="str">
        <f>IF([1]Template!G82&gt;0,[1]Template!G82,"")</f>
        <v/>
      </c>
      <c r="L53" s="142" t="str">
        <f>IF([1]Template!H82&gt;0,[1]Template!H82,"")</f>
        <v/>
      </c>
      <c r="M53" s="91" t="str">
        <f>IF([1]Template!C82&lt;&gt;0,[1]Template!C82,"")</f>
        <v/>
      </c>
      <c r="N53" s="91" t="str">
        <f>IF(I53&lt;&gt;"",[1]Template!$D$14,"")</f>
        <v/>
      </c>
      <c r="O53" s="91" t="str">
        <f>IF(I53&lt;&gt;"",[1]Template!F82,"")</f>
        <v/>
      </c>
    </row>
    <row r="54" spans="9:15" x14ac:dyDescent="0.25">
      <c r="I54" s="91" t="str">
        <f>IF([1]Template!G83&gt;0,40,IF([1]Template!H83&gt;0,50,""))</f>
        <v/>
      </c>
      <c r="J54" s="91" t="str">
        <f>IF([1]Template!B83&lt;&gt;0,[1]Template!B83,"")</f>
        <v/>
      </c>
      <c r="K54" s="142" t="str">
        <f>IF([1]Template!G83&gt;0,[1]Template!G83,"")</f>
        <v/>
      </c>
      <c r="L54" s="142" t="str">
        <f>IF([1]Template!H83&gt;0,[1]Template!H83,"")</f>
        <v/>
      </c>
      <c r="M54" s="91" t="str">
        <f>IF([1]Template!C83&lt;&gt;0,[1]Template!C83,"")</f>
        <v/>
      </c>
      <c r="N54" s="91" t="str">
        <f>IF(I54&lt;&gt;"",[1]Template!$D$14,"")</f>
        <v/>
      </c>
      <c r="O54" s="91" t="str">
        <f>IF(I54&lt;&gt;"",[1]Template!F83,"")</f>
        <v/>
      </c>
    </row>
    <row r="55" spans="9:15" x14ac:dyDescent="0.25">
      <c r="I55" s="91" t="str">
        <f>IF([1]Template!G84&gt;0,40,IF([1]Template!H84&gt;0,50,""))</f>
        <v/>
      </c>
      <c r="J55" s="91" t="str">
        <f>IF([1]Template!B84&lt;&gt;0,[1]Template!B84,"")</f>
        <v/>
      </c>
      <c r="K55" s="142" t="str">
        <f>IF([1]Template!G84&gt;0,[1]Template!G84,"")</f>
        <v/>
      </c>
      <c r="L55" s="142" t="str">
        <f>IF([1]Template!H84&gt;0,[1]Template!H84,"")</f>
        <v/>
      </c>
      <c r="M55" s="91" t="str">
        <f>IF([1]Template!C84&lt;&gt;0,[1]Template!C84,"")</f>
        <v/>
      </c>
      <c r="N55" s="91" t="str">
        <f>IF(I55&lt;&gt;"",[1]Template!$D$14,"")</f>
        <v/>
      </c>
      <c r="O55" s="91" t="str">
        <f>IF(I55&lt;&gt;"",[1]Template!F84,"")</f>
        <v/>
      </c>
    </row>
    <row r="56" spans="9:15" x14ac:dyDescent="0.25">
      <c r="I56" s="91" t="str">
        <f>IF([1]Template!G85&gt;0,40,IF([1]Template!H85&gt;0,50,""))</f>
        <v/>
      </c>
      <c r="J56" s="91" t="str">
        <f>IF([1]Template!B85&lt;&gt;0,[1]Template!B85,"")</f>
        <v/>
      </c>
      <c r="K56" s="142" t="str">
        <f>IF([1]Template!G85&gt;0,[1]Template!G85,"")</f>
        <v/>
      </c>
      <c r="L56" s="142" t="str">
        <f>IF([1]Template!H85&gt;0,[1]Template!H85,"")</f>
        <v/>
      </c>
      <c r="M56" s="91" t="str">
        <f>IF([1]Template!C85&lt;&gt;0,[1]Template!C85,"")</f>
        <v/>
      </c>
      <c r="N56" s="91" t="str">
        <f>IF(I56&lt;&gt;"",[1]Template!$D$14,"")</f>
        <v/>
      </c>
      <c r="O56" s="91" t="str">
        <f>IF(I56&lt;&gt;"",[1]Template!F85,"")</f>
        <v/>
      </c>
    </row>
    <row r="57" spans="9:15" x14ac:dyDescent="0.25">
      <c r="I57" s="91" t="str">
        <f>IF([1]Template!G86&gt;0,40,IF([1]Template!H86&gt;0,50,""))</f>
        <v/>
      </c>
      <c r="J57" s="91" t="str">
        <f>IF([1]Template!B86&lt;&gt;0,[1]Template!B86,"")</f>
        <v/>
      </c>
      <c r="K57" s="142" t="str">
        <f>IF([1]Template!G86&gt;0,[1]Template!G86,"")</f>
        <v/>
      </c>
      <c r="L57" s="142" t="str">
        <f>IF([1]Template!H86&gt;0,[1]Template!H86,"")</f>
        <v/>
      </c>
      <c r="M57" s="91" t="str">
        <f>IF([1]Template!C86&lt;&gt;0,[1]Template!C86,"")</f>
        <v/>
      </c>
      <c r="N57" s="91" t="str">
        <f>IF(I57&lt;&gt;"",[1]Template!$D$14,"")</f>
        <v/>
      </c>
      <c r="O57" s="91" t="str">
        <f>IF(I57&lt;&gt;"",[1]Template!F86,"")</f>
        <v/>
      </c>
    </row>
    <row r="58" spans="9:15" x14ac:dyDescent="0.25">
      <c r="I58" s="91" t="str">
        <f>IF([1]Template!G87&gt;0,40,IF([1]Template!H87&gt;0,50,""))</f>
        <v/>
      </c>
      <c r="J58" s="91" t="str">
        <f>IF([1]Template!B87&lt;&gt;0,[1]Template!B87,"")</f>
        <v/>
      </c>
      <c r="K58" s="142" t="str">
        <f>IF([1]Template!G87&gt;0,[1]Template!G87,"")</f>
        <v/>
      </c>
      <c r="L58" s="142" t="str">
        <f>IF([1]Template!H87&gt;0,[1]Template!H87,"")</f>
        <v/>
      </c>
      <c r="M58" s="91" t="str">
        <f>IF([1]Template!C87&lt;&gt;0,[1]Template!C87,"")</f>
        <v/>
      </c>
      <c r="N58" s="91" t="str">
        <f>IF(I58&lt;&gt;"",[1]Template!$D$14,"")</f>
        <v/>
      </c>
      <c r="O58" s="91" t="str">
        <f>IF(I58&lt;&gt;"",[1]Template!F87,"")</f>
        <v/>
      </c>
    </row>
    <row r="59" spans="9:15" x14ac:dyDescent="0.25">
      <c r="I59" s="91" t="str">
        <f>IF([1]Template!G88&gt;0,40,IF([1]Template!H88&gt;0,50,""))</f>
        <v/>
      </c>
      <c r="J59" s="91" t="str">
        <f>IF([1]Template!B88&lt;&gt;0,[1]Template!B88,"")</f>
        <v/>
      </c>
      <c r="K59" s="142" t="str">
        <f>IF([1]Template!G88&gt;0,[1]Template!G88,"")</f>
        <v/>
      </c>
      <c r="L59" s="142" t="str">
        <f>IF([1]Template!H88&gt;0,[1]Template!H88,"")</f>
        <v/>
      </c>
      <c r="M59" s="91" t="str">
        <f>IF([1]Template!C88&lt;&gt;0,[1]Template!C88,"")</f>
        <v/>
      </c>
      <c r="N59" s="91" t="str">
        <f>IF(I59&lt;&gt;"",[1]Template!$D$14,"")</f>
        <v/>
      </c>
      <c r="O59" s="91" t="str">
        <f>IF(I59&lt;&gt;"",[1]Template!F88,"")</f>
        <v/>
      </c>
    </row>
    <row r="60" spans="9:15" x14ac:dyDescent="0.25">
      <c r="I60" s="91" t="str">
        <f>IF([1]Template!G89&gt;0,40,IF([1]Template!H89&gt;0,50,""))</f>
        <v/>
      </c>
      <c r="J60" s="91" t="str">
        <f>IF([1]Template!B89&lt;&gt;0,[1]Template!B89,"")</f>
        <v/>
      </c>
      <c r="K60" s="142" t="str">
        <f>IF([1]Template!G89&gt;0,[1]Template!G89,"")</f>
        <v/>
      </c>
      <c r="L60" s="142" t="str">
        <f>IF([1]Template!H89&gt;0,[1]Template!H89,"")</f>
        <v/>
      </c>
      <c r="M60" s="91" t="str">
        <f>IF([1]Template!C89&lt;&gt;0,[1]Template!C89,"")</f>
        <v/>
      </c>
      <c r="N60" s="91" t="str">
        <f>IF(I60&lt;&gt;"",[1]Template!$D$14,"")</f>
        <v/>
      </c>
      <c r="O60" s="91" t="str">
        <f>IF(I60&lt;&gt;"",[1]Template!F89,"")</f>
        <v/>
      </c>
    </row>
    <row r="61" spans="9:15" x14ac:dyDescent="0.25">
      <c r="I61" s="91" t="str">
        <f>IF([1]Template!G90&gt;0,40,IF([1]Template!H90&gt;0,50,""))</f>
        <v/>
      </c>
      <c r="J61" s="91" t="str">
        <f>IF([1]Template!B90&lt;&gt;0,[1]Template!B90,"")</f>
        <v/>
      </c>
      <c r="K61" s="142" t="str">
        <f>IF([1]Template!G90&gt;0,[1]Template!G90,"")</f>
        <v/>
      </c>
      <c r="L61" s="142" t="str">
        <f>IF([1]Template!H90&gt;0,[1]Template!H90,"")</f>
        <v/>
      </c>
      <c r="M61" s="91" t="str">
        <f>IF([1]Template!C90&lt;&gt;0,[1]Template!C90,"")</f>
        <v/>
      </c>
      <c r="N61" s="91" t="str">
        <f>IF(I61&lt;&gt;"",[1]Template!$D$14,"")</f>
        <v/>
      </c>
      <c r="O61" s="91" t="str">
        <f>IF(I61&lt;&gt;"",[1]Template!F90,"")</f>
        <v/>
      </c>
    </row>
    <row r="62" spans="9:15" x14ac:dyDescent="0.25">
      <c r="I62" s="91" t="str">
        <f>IF([1]Template!G91&gt;0,40,IF([1]Template!H91&gt;0,50,""))</f>
        <v/>
      </c>
      <c r="J62" s="91" t="str">
        <f>IF([1]Template!B91&lt;&gt;0,[1]Template!B91,"")</f>
        <v/>
      </c>
      <c r="K62" s="142" t="str">
        <f>IF([1]Template!G91&gt;0,[1]Template!G91,"")</f>
        <v/>
      </c>
      <c r="L62" s="142" t="str">
        <f>IF([1]Template!H91&gt;0,[1]Template!H91,"")</f>
        <v/>
      </c>
      <c r="M62" s="91" t="str">
        <f>IF([1]Template!C91&lt;&gt;0,[1]Template!C91,"")</f>
        <v/>
      </c>
      <c r="N62" s="91" t="str">
        <f>IF(I62&lt;&gt;"",[1]Template!$D$14,"")</f>
        <v/>
      </c>
      <c r="O62" s="91" t="str">
        <f>IF(I62&lt;&gt;"",[1]Template!F91,"")</f>
        <v/>
      </c>
    </row>
    <row r="63" spans="9:15" x14ac:dyDescent="0.25">
      <c r="I63" s="91" t="str">
        <f>IF([1]Template!G92&gt;0,40,IF([1]Template!H92&gt;0,50,""))</f>
        <v/>
      </c>
      <c r="J63" s="91" t="str">
        <f>IF([1]Template!B92&lt;&gt;0,[1]Template!B92,"")</f>
        <v/>
      </c>
      <c r="K63" s="142" t="str">
        <f>IF([1]Template!G92&gt;0,[1]Template!G92,"")</f>
        <v/>
      </c>
      <c r="L63" s="142" t="str">
        <f>IF([1]Template!H92&gt;0,[1]Template!H92,"")</f>
        <v/>
      </c>
      <c r="M63" s="91" t="str">
        <f>IF([1]Template!C92&lt;&gt;0,[1]Template!C92,"")</f>
        <v/>
      </c>
      <c r="N63" s="91" t="str">
        <f>IF(I63&lt;&gt;"",[1]Template!$D$14,"")</f>
        <v/>
      </c>
      <c r="O63" s="91" t="str">
        <f>IF(I63&lt;&gt;"",[1]Template!F92,"")</f>
        <v/>
      </c>
    </row>
    <row r="64" spans="9:15" x14ac:dyDescent="0.25">
      <c r="I64" s="91" t="str">
        <f>IF([1]Template!G93&gt;0,40,IF([1]Template!H93&gt;0,50,""))</f>
        <v/>
      </c>
      <c r="J64" s="91" t="str">
        <f>IF([1]Template!B93&lt;&gt;0,[1]Template!B93,"")</f>
        <v/>
      </c>
      <c r="K64" s="142" t="str">
        <f>IF([1]Template!G93&gt;0,[1]Template!G93,"")</f>
        <v/>
      </c>
      <c r="L64" s="142" t="str">
        <f>IF([1]Template!H93&gt;0,[1]Template!H93,"")</f>
        <v/>
      </c>
      <c r="M64" s="91" t="str">
        <f>IF([1]Template!C93&lt;&gt;0,[1]Template!C93,"")</f>
        <v/>
      </c>
      <c r="N64" s="91" t="str">
        <f>IF(I64&lt;&gt;"",[1]Template!$D$14,"")</f>
        <v/>
      </c>
      <c r="O64" s="91" t="str">
        <f>IF(I64&lt;&gt;"",[1]Template!F93,"")</f>
        <v/>
      </c>
    </row>
    <row r="65" spans="9:15" x14ac:dyDescent="0.25">
      <c r="I65" s="91" t="str">
        <f>IF([1]Template!G94&gt;0,40,IF([1]Template!H94&gt;0,50,""))</f>
        <v/>
      </c>
      <c r="J65" s="91" t="str">
        <f>IF([1]Template!B94&lt;&gt;0,[1]Template!B94,"")</f>
        <v/>
      </c>
      <c r="K65" s="142" t="str">
        <f>IF([1]Template!G94&gt;0,[1]Template!G94,"")</f>
        <v/>
      </c>
      <c r="L65" s="142" t="str">
        <f>IF([1]Template!H94&gt;0,[1]Template!H94,"")</f>
        <v/>
      </c>
      <c r="M65" s="91" t="str">
        <f>IF([1]Template!C94&lt;&gt;0,[1]Template!C94,"")</f>
        <v/>
      </c>
      <c r="N65" s="91" t="str">
        <f>IF(I65&lt;&gt;"",[1]Template!$D$14,"")</f>
        <v/>
      </c>
      <c r="O65" s="91" t="str">
        <f>IF(I65&lt;&gt;"",[1]Template!F94,"")</f>
        <v/>
      </c>
    </row>
    <row r="66" spans="9:15" x14ac:dyDescent="0.25">
      <c r="I66" s="91" t="str">
        <f>IF([1]Template!G95&gt;0,40,IF([1]Template!H95&gt;0,50,""))</f>
        <v/>
      </c>
      <c r="J66" s="91" t="str">
        <f>IF([1]Template!B95&lt;&gt;0,[1]Template!B95,"")</f>
        <v/>
      </c>
      <c r="K66" s="142" t="str">
        <f>IF([1]Template!G95&gt;0,[1]Template!G95,"")</f>
        <v/>
      </c>
      <c r="L66" s="142" t="str">
        <f>IF([1]Template!H95&gt;0,[1]Template!H95,"")</f>
        <v/>
      </c>
      <c r="M66" s="91" t="str">
        <f>IF([1]Template!C95&lt;&gt;0,[1]Template!C95,"")</f>
        <v/>
      </c>
      <c r="N66" s="91" t="str">
        <f>IF(I66&lt;&gt;"",[1]Template!$D$14,"")</f>
        <v/>
      </c>
      <c r="O66" s="91" t="str">
        <f>IF(I66&lt;&gt;"",[1]Template!F95,"")</f>
        <v/>
      </c>
    </row>
    <row r="67" spans="9:15" x14ac:dyDescent="0.25">
      <c r="I67" s="91" t="str">
        <f>IF([1]Template!G96&gt;0,40,IF([1]Template!H96&gt;0,50,""))</f>
        <v/>
      </c>
      <c r="J67" s="91" t="str">
        <f>IF([1]Template!B96&lt;&gt;0,[1]Template!B96,"")</f>
        <v/>
      </c>
      <c r="K67" s="142" t="str">
        <f>IF([1]Template!G96&gt;0,[1]Template!G96,"")</f>
        <v/>
      </c>
      <c r="L67" s="142" t="str">
        <f>IF([1]Template!H96&gt;0,[1]Template!H96,"")</f>
        <v/>
      </c>
      <c r="M67" s="91" t="str">
        <f>IF([1]Template!C96&lt;&gt;0,[1]Template!C96,"")</f>
        <v/>
      </c>
      <c r="N67" s="91" t="str">
        <f>IF(I67&lt;&gt;"",[1]Template!$D$14,"")</f>
        <v/>
      </c>
      <c r="O67" s="91" t="str">
        <f>IF(I67&lt;&gt;"",[1]Template!F96,"")</f>
        <v/>
      </c>
    </row>
    <row r="68" spans="9:15" x14ac:dyDescent="0.25">
      <c r="I68" s="91" t="str">
        <f>IF([1]Template!G97&gt;0,40,IF([1]Template!H97&gt;0,50,""))</f>
        <v/>
      </c>
      <c r="J68" s="91" t="str">
        <f>IF([1]Template!B97&lt;&gt;0,[1]Template!B97,"")</f>
        <v/>
      </c>
      <c r="K68" s="142" t="str">
        <f>IF([1]Template!G97&gt;0,[1]Template!G97,"")</f>
        <v/>
      </c>
      <c r="L68" s="142" t="str">
        <f>IF([1]Template!H97&gt;0,[1]Template!H97,"")</f>
        <v/>
      </c>
      <c r="M68" s="91" t="str">
        <f>IF([1]Template!C97&lt;&gt;0,[1]Template!C97,"")</f>
        <v/>
      </c>
      <c r="N68" s="91" t="str">
        <f>IF(I68&lt;&gt;"",[1]Template!$D$14,"")</f>
        <v/>
      </c>
      <c r="O68" s="91" t="str">
        <f>IF(I68&lt;&gt;"",[1]Template!F97,"")</f>
        <v/>
      </c>
    </row>
    <row r="69" spans="9:15" x14ac:dyDescent="0.25">
      <c r="I69" s="91" t="str">
        <f>IF([1]Template!G98&gt;0,40,IF([1]Template!H98&gt;0,50,""))</f>
        <v/>
      </c>
      <c r="J69" s="91" t="str">
        <f>IF([1]Template!B98&lt;&gt;0,[1]Template!B98,"")</f>
        <v/>
      </c>
      <c r="K69" s="142" t="str">
        <f>IF([1]Template!G98&gt;0,[1]Template!G98,"")</f>
        <v/>
      </c>
      <c r="L69" s="142" t="str">
        <f>IF([1]Template!H98&gt;0,[1]Template!H98,"")</f>
        <v/>
      </c>
      <c r="M69" s="91" t="str">
        <f>IF([1]Template!C98&lt;&gt;0,[1]Template!C98,"")</f>
        <v/>
      </c>
      <c r="N69" s="91" t="str">
        <f>IF(I69&lt;&gt;"",[1]Template!$D$14,"")</f>
        <v/>
      </c>
      <c r="O69" s="91" t="str">
        <f>IF(I69&lt;&gt;"",[1]Template!F98,"")</f>
        <v/>
      </c>
    </row>
    <row r="70" spans="9:15" x14ac:dyDescent="0.25">
      <c r="I70" s="91" t="str">
        <f>IF([1]Template!G99&gt;0,40,IF([1]Template!H99&gt;0,50,""))</f>
        <v/>
      </c>
      <c r="J70" s="91" t="str">
        <f>IF([1]Template!B99&lt;&gt;0,[1]Template!B99,"")</f>
        <v/>
      </c>
      <c r="K70" s="142" t="str">
        <f>IF([1]Template!G99&gt;0,[1]Template!G99,"")</f>
        <v/>
      </c>
      <c r="L70" s="142" t="str">
        <f>IF([1]Template!H99&gt;0,[1]Template!H99,"")</f>
        <v/>
      </c>
      <c r="M70" s="91" t="str">
        <f>IF([1]Template!C99&lt;&gt;0,[1]Template!C99,"")</f>
        <v/>
      </c>
      <c r="N70" s="91" t="str">
        <f>IF(I70&lt;&gt;"",[1]Template!$D$14,"")</f>
        <v/>
      </c>
      <c r="O70" s="91" t="str">
        <f>IF(I70&lt;&gt;"",[1]Template!F99,"")</f>
        <v/>
      </c>
    </row>
    <row r="71" spans="9:15" x14ac:dyDescent="0.25">
      <c r="I71" s="91" t="str">
        <f>IF([1]Template!G100&gt;0,40,IF([1]Template!H100&gt;0,50,""))</f>
        <v/>
      </c>
      <c r="J71" s="91" t="str">
        <f>IF([1]Template!B100&lt;&gt;0,[1]Template!B100,"")</f>
        <v/>
      </c>
      <c r="K71" s="142" t="str">
        <f>IF([1]Template!G100&gt;0,[1]Template!G100,"")</f>
        <v/>
      </c>
      <c r="L71" s="142" t="str">
        <f>IF([1]Template!H100&gt;0,[1]Template!H100,"")</f>
        <v/>
      </c>
      <c r="M71" s="91" t="str">
        <f>IF([1]Template!C100&lt;&gt;0,[1]Template!C100,"")</f>
        <v/>
      </c>
      <c r="N71" s="91" t="str">
        <f>IF(I71&lt;&gt;"",[1]Template!$D$14,"")</f>
        <v/>
      </c>
      <c r="O71" s="91" t="str">
        <f>IF(I71&lt;&gt;"",[1]Template!F100,"")</f>
        <v/>
      </c>
    </row>
    <row r="72" spans="9:15" x14ac:dyDescent="0.25">
      <c r="I72" s="91" t="str">
        <f>IF([1]Template!G101&gt;0,40,IF([1]Template!H101&gt;0,50,""))</f>
        <v/>
      </c>
      <c r="J72" s="91" t="str">
        <f>IF([1]Template!B101&lt;&gt;0,[1]Template!B101,"")</f>
        <v/>
      </c>
      <c r="K72" s="142" t="str">
        <f>IF([1]Template!G101&gt;0,[1]Template!G101,"")</f>
        <v/>
      </c>
      <c r="L72" s="142" t="str">
        <f>IF([1]Template!H101&gt;0,[1]Template!H101,"")</f>
        <v/>
      </c>
      <c r="M72" s="91" t="str">
        <f>IF([1]Template!C101&lt;&gt;0,[1]Template!C101,"")</f>
        <v/>
      </c>
      <c r="N72" s="91" t="str">
        <f>IF(I72&lt;&gt;"",[1]Template!$D$14,"")</f>
        <v/>
      </c>
      <c r="O72" s="91" t="str">
        <f>IF(I72&lt;&gt;"",[1]Template!F101,"")</f>
        <v/>
      </c>
    </row>
    <row r="73" spans="9:15" x14ac:dyDescent="0.25">
      <c r="I73" s="91" t="str">
        <f>IF([1]Template!G102&gt;0,40,IF([1]Template!H102&gt;0,50,""))</f>
        <v/>
      </c>
      <c r="J73" s="91" t="str">
        <f>IF([1]Template!B102&lt;&gt;0,[1]Template!B102,"")</f>
        <v/>
      </c>
      <c r="K73" s="142"/>
      <c r="L73" s="142" t="str">
        <f>IF([1]Template!H102&gt;0,[1]Template!H102,"")</f>
        <v/>
      </c>
      <c r="M73" s="91" t="str">
        <f>IF([1]Template!C102&lt;&gt;0,[1]Template!C102,"")</f>
        <v/>
      </c>
      <c r="N73" s="91" t="str">
        <f>IF(I73&lt;&gt;"",[1]Template!$D$14,"")</f>
        <v/>
      </c>
      <c r="O73" s="91" t="str">
        <f>IF(I73&lt;&gt;"",[1]Template!F102,"")</f>
        <v/>
      </c>
    </row>
    <row r="74" spans="9:15" x14ac:dyDescent="0.25">
      <c r="I74" s="91" t="str">
        <f>IF([1]Template!G103&gt;0,40,IF([1]Template!H103&gt;0,50,""))</f>
        <v/>
      </c>
      <c r="J74" s="91" t="str">
        <f>IF([1]Template!B103&lt;&gt;0,[1]Template!B103,"")</f>
        <v/>
      </c>
      <c r="K74" s="142" t="str">
        <f>IF([1]Template!G103&gt;0,[1]Template!G103,"")</f>
        <v/>
      </c>
      <c r="L74" s="142" t="str">
        <f>IF([1]Template!H103&gt;0,[1]Template!H103,"")</f>
        <v/>
      </c>
      <c r="M74" s="91" t="str">
        <f>IF([1]Template!C103&lt;&gt;0,[1]Template!C103,"")</f>
        <v/>
      </c>
      <c r="N74" s="91" t="str">
        <f>IF(I74&lt;&gt;"",[1]Template!$D$14,"")</f>
        <v/>
      </c>
      <c r="O74" s="91" t="str">
        <f>IF(I74&lt;&gt;"",[1]Template!F103,"")</f>
        <v/>
      </c>
    </row>
    <row r="75" spans="9:15" x14ac:dyDescent="0.25">
      <c r="I75" s="91" t="str">
        <f>IF([1]Template!G104&gt;0,40,IF([1]Template!H104&gt;0,50,""))</f>
        <v/>
      </c>
      <c r="J75" s="91" t="str">
        <f>IF([1]Template!B104&lt;&gt;0,[1]Template!B104,"")</f>
        <v/>
      </c>
      <c r="K75" s="142" t="str">
        <f>IF([1]Template!G104&gt;0,[1]Template!G104,"")</f>
        <v/>
      </c>
      <c r="L75" s="142" t="str">
        <f>IF([1]Template!H104&gt;0,[1]Template!H104,"")</f>
        <v/>
      </c>
      <c r="M75" s="91" t="str">
        <f>IF([1]Template!C104&lt;&gt;0,[1]Template!C104,"")</f>
        <v/>
      </c>
      <c r="N75" s="91" t="str">
        <f>IF(I75&lt;&gt;"",[1]Template!$D$14,"")</f>
        <v/>
      </c>
      <c r="O75" s="91" t="str">
        <f>IF(I75&lt;&gt;"",[1]Template!F104,"")</f>
        <v/>
      </c>
    </row>
    <row r="76" spans="9:15" x14ac:dyDescent="0.25">
      <c r="K76" s="142"/>
      <c r="L76" s="142"/>
      <c r="N76" s="91" t="str">
        <f>IF(I76&lt;&gt;"",[1]Template!$D$14,"")</f>
        <v/>
      </c>
      <c r="O76" s="91" t="str">
        <f>IF(I76&lt;&gt;"",[1]Template!F105,"")</f>
        <v/>
      </c>
    </row>
    <row r="77" spans="9:15" x14ac:dyDescent="0.25">
      <c r="K77" s="142"/>
      <c r="L77" s="142"/>
      <c r="N77" s="91" t="str">
        <f>IF(I77&lt;&gt;"",[1]Template!$D$14,"")</f>
        <v/>
      </c>
      <c r="O77" s="91" t="str">
        <f>IF(I77&lt;&gt;"",[1]Template!F106,"")</f>
        <v/>
      </c>
    </row>
    <row r="78" spans="9:15" x14ac:dyDescent="0.25">
      <c r="K78" s="142"/>
      <c r="L78" s="142"/>
      <c r="N78" s="91" t="str">
        <f>IF(I78&lt;&gt;"",[1]Template!$D$14,"")</f>
        <v/>
      </c>
      <c r="O78" s="91" t="str">
        <f>IF(I78&lt;&gt;"",[1]Template!F107,"")</f>
        <v/>
      </c>
    </row>
    <row r="79" spans="9:15" x14ac:dyDescent="0.25">
      <c r="K79" s="142"/>
      <c r="L79" s="142"/>
      <c r="N79" s="91" t="str">
        <f>IF(I79&lt;&gt;"",[1]Template!$D$14,"")</f>
        <v/>
      </c>
      <c r="O79" s="91" t="str">
        <f>IF(I79&lt;&gt;"",[1]Template!F108,"")</f>
        <v/>
      </c>
    </row>
    <row r="80" spans="9:15" x14ac:dyDescent="0.25">
      <c r="K80" s="142"/>
      <c r="L80" s="142"/>
      <c r="N80" s="91" t="str">
        <f>IF(I80&lt;&gt;"",[1]Template!$D$14,"")</f>
        <v/>
      </c>
      <c r="O80" s="91" t="str">
        <f>IF(I80&lt;&gt;"",[1]Template!F109,"")</f>
        <v/>
      </c>
    </row>
    <row r="81" spans="11:15" x14ac:dyDescent="0.25">
      <c r="K81" s="142"/>
      <c r="L81" s="142"/>
      <c r="N81" s="91" t="str">
        <f>IF(I81&lt;&gt;"",[1]Template!$D$14,"")</f>
        <v/>
      </c>
      <c r="O81" s="91" t="str">
        <f>IF(I81&lt;&gt;"",[1]Template!F110,"")</f>
        <v/>
      </c>
    </row>
    <row r="82" spans="11:15" x14ac:dyDescent="0.25">
      <c r="K82" s="142"/>
      <c r="L82" s="142"/>
      <c r="N82" s="91" t="str">
        <f>IF(I82&lt;&gt;"",[1]Template!$D$14,"")</f>
        <v/>
      </c>
      <c r="O82" s="91" t="str">
        <f>IF(I82&lt;&gt;"",[1]Template!F111,"")</f>
        <v/>
      </c>
    </row>
    <row r="83" spans="11:15" x14ac:dyDescent="0.25">
      <c r="K83" s="142"/>
      <c r="L83" s="142"/>
      <c r="N83" s="91" t="str">
        <f>IF(I83&lt;&gt;"",[1]Template!$D$14,"")</f>
        <v/>
      </c>
      <c r="O83" s="91" t="str">
        <f>IF(I83&lt;&gt;"",[1]Template!F112,"")</f>
        <v/>
      </c>
    </row>
    <row r="84" spans="11:15" x14ac:dyDescent="0.25">
      <c r="K84" s="142"/>
      <c r="L84" s="142"/>
      <c r="N84" s="91" t="str">
        <f>IF(I84&lt;&gt;"",[1]Template!$D$14,"")</f>
        <v/>
      </c>
      <c r="O84" s="91" t="str">
        <f>IF(I84&lt;&gt;"",[1]Template!F113,"")</f>
        <v/>
      </c>
    </row>
    <row r="85" spans="11:15" x14ac:dyDescent="0.25">
      <c r="K85" s="142"/>
      <c r="L85" s="142"/>
      <c r="N85" s="91" t="str">
        <f>IF(I85&lt;&gt;"",[1]Template!$D$14,"")</f>
        <v/>
      </c>
      <c r="O85" s="91" t="str">
        <f>IF(I85&lt;&gt;"",[1]Template!F114,"")</f>
        <v/>
      </c>
    </row>
    <row r="86" spans="11:15" x14ac:dyDescent="0.25">
      <c r="K86" s="142"/>
      <c r="L86" s="142"/>
    </row>
    <row r="87" spans="11:15" x14ac:dyDescent="0.25">
      <c r="K87" s="142"/>
      <c r="L87" s="142"/>
    </row>
    <row r="88" spans="11:15" x14ac:dyDescent="0.25">
      <c r="K88" s="142"/>
      <c r="L88" s="142"/>
    </row>
    <row r="89" spans="11:15" x14ac:dyDescent="0.25">
      <c r="K89" s="142"/>
      <c r="L89" s="142"/>
    </row>
    <row r="90" spans="11:15" x14ac:dyDescent="0.25">
      <c r="K90" s="142"/>
      <c r="L90" s="142"/>
    </row>
    <row r="91" spans="11:15" x14ac:dyDescent="0.25">
      <c r="K91" s="142"/>
      <c r="L91" s="142"/>
    </row>
    <row r="92" spans="11:15" x14ac:dyDescent="0.25">
      <c r="K92" s="142"/>
      <c r="L92" s="142"/>
    </row>
    <row r="93" spans="11:15" x14ac:dyDescent="0.25">
      <c r="K93" s="142"/>
      <c r="L93" s="142"/>
    </row>
    <row r="94" spans="11:15" x14ac:dyDescent="0.25">
      <c r="K94" s="142"/>
      <c r="L94" s="142"/>
    </row>
    <row r="95" spans="11:15" x14ac:dyDescent="0.25">
      <c r="K95" s="142"/>
      <c r="L95" s="142"/>
    </row>
    <row r="96" spans="11:15" x14ac:dyDescent="0.25">
      <c r="K96" s="142"/>
      <c r="L96" s="142"/>
    </row>
    <row r="97" spans="9:15" x14ac:dyDescent="0.25">
      <c r="K97" s="142"/>
      <c r="L97" s="142"/>
    </row>
    <row r="98" spans="9:15" x14ac:dyDescent="0.25">
      <c r="K98" s="142"/>
      <c r="L98" s="142"/>
    </row>
    <row r="99" spans="9:15" x14ac:dyDescent="0.25">
      <c r="K99" s="142"/>
      <c r="L99" s="142"/>
    </row>
    <row r="100" spans="9:15" x14ac:dyDescent="0.25">
      <c r="K100" s="142"/>
      <c r="L100" s="142"/>
    </row>
    <row r="101" spans="9:15" x14ac:dyDescent="0.25">
      <c r="K101" s="142"/>
      <c r="L101" s="142"/>
    </row>
    <row r="102" spans="9:15" x14ac:dyDescent="0.25">
      <c r="K102" s="142"/>
      <c r="L102" s="142"/>
    </row>
    <row r="103" spans="9:15" x14ac:dyDescent="0.25">
      <c r="K103" s="142"/>
      <c r="L103" s="142"/>
    </row>
    <row r="104" spans="9:15" x14ac:dyDescent="0.25">
      <c r="K104" s="142"/>
      <c r="L104" s="142"/>
    </row>
    <row r="105" spans="9:15" x14ac:dyDescent="0.25">
      <c r="K105" s="142"/>
      <c r="L105" s="142"/>
    </row>
    <row r="106" spans="9:15" x14ac:dyDescent="0.25">
      <c r="K106" s="142"/>
      <c r="L106" s="142"/>
    </row>
    <row r="107" spans="9:15" x14ac:dyDescent="0.25">
      <c r="I107" s="91" t="str">
        <f>IF([1]Template!G136&gt;0,40,IF([1]Template!H136&gt;0,50,""))</f>
        <v/>
      </c>
      <c r="J107" s="91" t="str">
        <f>IF([1]Template!B136&lt;&gt;0,[1]Template!B136,"")</f>
        <v/>
      </c>
      <c r="K107" s="142" t="str">
        <f>IF([1]Template!G136&gt;0,[1]Template!G136,"")</f>
        <v/>
      </c>
      <c r="L107" s="142" t="str">
        <f>IF([1]Template!H136&gt;0,[1]Template!H136,"")</f>
        <v/>
      </c>
      <c r="M107" s="91" t="str">
        <f>IF([1]Template!C136&lt;&gt;0,[1]Template!C136,"")</f>
        <v/>
      </c>
      <c r="N107" s="91" t="str">
        <f>IF(I107&lt;&gt;"",[1]Template!$D$14,"")</f>
        <v/>
      </c>
      <c r="O107" s="91" t="str">
        <f>IF(I107&lt;&gt;"",[1]Template!F136,"")</f>
        <v/>
      </c>
    </row>
    <row r="108" spans="9:15" x14ac:dyDescent="0.25">
      <c r="I108" s="91" t="str">
        <f>IF([1]Template!G137&gt;0,40,IF([1]Template!H137&gt;0,50,""))</f>
        <v/>
      </c>
      <c r="J108" s="91" t="str">
        <f>IF([1]Template!B137&lt;&gt;0,[1]Template!B137,"")</f>
        <v/>
      </c>
      <c r="K108" s="142" t="str">
        <f>IF([1]Template!G137&gt;0,[1]Template!G137,"")</f>
        <v/>
      </c>
      <c r="L108" s="142" t="str">
        <f>IF([1]Template!H137&gt;0,[1]Template!H137,"")</f>
        <v/>
      </c>
      <c r="M108" s="91" t="str">
        <f>IF([1]Template!C137&lt;&gt;0,[1]Template!C137,"")</f>
        <v/>
      </c>
      <c r="N108" s="91" t="str">
        <f>IF(I108&lt;&gt;"",[1]Template!$D$14,"")</f>
        <v/>
      </c>
      <c r="O108" s="91" t="str">
        <f>IF(I108&lt;&gt;"",[1]Template!F137,"")</f>
        <v/>
      </c>
    </row>
    <row r="109" spans="9:15" x14ac:dyDescent="0.25">
      <c r="I109" s="91" t="str">
        <f>IF([1]Template!G138&gt;0,40,IF([1]Template!H138&gt;0,50,""))</f>
        <v/>
      </c>
      <c r="J109" s="91" t="str">
        <f>IF([1]Template!B138&lt;&gt;0,[1]Template!B138,"")</f>
        <v/>
      </c>
      <c r="K109" s="142" t="str">
        <f>IF([1]Template!G138&gt;0,[1]Template!G138,"")</f>
        <v/>
      </c>
      <c r="L109" s="142" t="str">
        <f>IF([1]Template!H138&gt;0,[1]Template!H138,"")</f>
        <v/>
      </c>
      <c r="M109" s="91" t="str">
        <f>IF([1]Template!C138&lt;&gt;0,[1]Template!C138,"")</f>
        <v/>
      </c>
      <c r="N109" s="91" t="str">
        <f>IF(I109&lt;&gt;"",[1]Template!$D$14,"")</f>
        <v/>
      </c>
      <c r="O109" s="91" t="str">
        <f>IF(I109&lt;&gt;"",[1]Template!F138,"")</f>
        <v/>
      </c>
    </row>
    <row r="110" spans="9:15" x14ac:dyDescent="0.25">
      <c r="I110" s="91" t="str">
        <f>IF([1]Template!G139&gt;0,40,IF([1]Template!H139&gt;0,50,""))</f>
        <v/>
      </c>
      <c r="J110" s="91" t="str">
        <f>IF([1]Template!B139&lt;&gt;0,[1]Template!B139,"")</f>
        <v/>
      </c>
      <c r="K110" s="142" t="str">
        <f>IF([1]Template!G139&gt;0,[1]Template!G139,"")</f>
        <v/>
      </c>
      <c r="L110" s="142" t="str">
        <f>IF([1]Template!H139&gt;0,[1]Template!H139,"")</f>
        <v/>
      </c>
      <c r="M110" s="91" t="str">
        <f>IF([1]Template!C139&lt;&gt;0,[1]Template!C139,"")</f>
        <v/>
      </c>
      <c r="N110" s="91" t="str">
        <f>IF(I110&lt;&gt;"",[1]Template!$D$14,"")</f>
        <v/>
      </c>
      <c r="O110" s="91" t="str">
        <f>IF(I110&lt;&gt;"",[1]Template!F139,"")</f>
        <v/>
      </c>
    </row>
    <row r="111" spans="9:15" x14ac:dyDescent="0.25">
      <c r="I111" s="91" t="str">
        <f>IF([1]Template!G140&gt;0,40,IF([1]Template!H140&gt;0,50,""))</f>
        <v/>
      </c>
      <c r="J111" s="91" t="str">
        <f>IF([1]Template!B140&lt;&gt;0,[1]Template!B140,"")</f>
        <v/>
      </c>
      <c r="K111" s="142" t="str">
        <f>IF([1]Template!G140&gt;0,[1]Template!G140,"")</f>
        <v/>
      </c>
      <c r="L111" s="142" t="str">
        <f>IF([1]Template!H140&gt;0,[1]Template!H140,"")</f>
        <v/>
      </c>
      <c r="M111" s="91" t="str">
        <f>IF([1]Template!C140&lt;&gt;0,[1]Template!C140,"")</f>
        <v/>
      </c>
      <c r="N111" s="91" t="str">
        <f>IF(I111&lt;&gt;"",[1]Template!$D$14,"")</f>
        <v/>
      </c>
      <c r="O111" s="91" t="str">
        <f>IF(I111&lt;&gt;"",[1]Template!F140,"")</f>
        <v/>
      </c>
    </row>
    <row r="112" spans="9:15" x14ac:dyDescent="0.25">
      <c r="I112" s="91" t="str">
        <f>IF([1]Template!G141&gt;0,40,IF([1]Template!H141&gt;0,50,""))</f>
        <v/>
      </c>
      <c r="J112" s="91" t="str">
        <f>IF([1]Template!B141&lt;&gt;0,[1]Template!B141,"")</f>
        <v/>
      </c>
      <c r="K112" s="142" t="str">
        <f>IF([1]Template!G141&gt;0,[1]Template!G141,"")</f>
        <v/>
      </c>
      <c r="L112" s="142" t="str">
        <f>IF([1]Template!H141&gt;0,[1]Template!H141,"")</f>
        <v/>
      </c>
      <c r="M112" s="91" t="str">
        <f>IF([1]Template!C141&lt;&gt;0,[1]Template!C141,"")</f>
        <v/>
      </c>
      <c r="N112" s="91" t="str">
        <f>IF(I112&lt;&gt;"",[1]Template!$D$14,"")</f>
        <v/>
      </c>
      <c r="O112" s="91" t="str">
        <f>IF(I112&lt;&gt;"",[1]Template!F141,"")</f>
        <v/>
      </c>
    </row>
    <row r="113" spans="9:15" x14ac:dyDescent="0.25">
      <c r="I113" s="91" t="str">
        <f>IF([1]Template!G142&gt;0,40,IF([1]Template!H142&gt;0,50,""))</f>
        <v/>
      </c>
      <c r="J113" s="91" t="str">
        <f>IF([1]Template!B142&lt;&gt;0,[1]Template!B142,"")</f>
        <v/>
      </c>
      <c r="K113" s="142" t="str">
        <f>IF([1]Template!G142&gt;0,[1]Template!G142,"")</f>
        <v/>
      </c>
      <c r="L113" s="142" t="str">
        <f>IF([1]Template!H142&gt;0,[1]Template!H142,"")</f>
        <v/>
      </c>
      <c r="M113" s="91" t="str">
        <f>IF([1]Template!C142&lt;&gt;0,[1]Template!C142,"")</f>
        <v/>
      </c>
      <c r="N113" s="91" t="str">
        <f>IF(I113&lt;&gt;"",[1]Template!$D$14,"")</f>
        <v/>
      </c>
      <c r="O113" s="91" t="str">
        <f>IF(I113&lt;&gt;"",[1]Template!F142,"")</f>
        <v/>
      </c>
    </row>
    <row r="114" spans="9:15" x14ac:dyDescent="0.25">
      <c r="I114" s="91" t="str">
        <f>IF([1]Template!G143&gt;0,40,IF([1]Template!H143&gt;0,50,""))</f>
        <v/>
      </c>
      <c r="J114" s="91" t="str">
        <f>IF([1]Template!B143&lt;&gt;0,[1]Template!B143,"")</f>
        <v/>
      </c>
      <c r="K114" s="142" t="str">
        <f>IF([1]Template!G143&gt;0,[1]Template!G143,"")</f>
        <v/>
      </c>
      <c r="L114" s="142" t="str">
        <f>IF([1]Template!H143&gt;0,[1]Template!H143,"")</f>
        <v/>
      </c>
      <c r="M114" s="91" t="str">
        <f>IF([1]Template!C143&lt;&gt;0,[1]Template!C143,"")</f>
        <v/>
      </c>
      <c r="N114" s="91" t="str">
        <f>IF(I114&lt;&gt;"",[1]Template!$D$14,"")</f>
        <v/>
      </c>
      <c r="O114" s="91" t="str">
        <f>IF(I114&lt;&gt;"",[1]Template!F143,"")</f>
        <v/>
      </c>
    </row>
    <row r="115" spans="9:15" x14ac:dyDescent="0.25">
      <c r="I115" s="91" t="str">
        <f>IF([1]Template!G144&gt;0,40,IF([1]Template!H144&gt;0,50,""))</f>
        <v/>
      </c>
      <c r="J115" s="91" t="str">
        <f>IF([1]Template!B144&lt;&gt;0,[1]Template!B144,"")</f>
        <v/>
      </c>
      <c r="K115" s="142" t="str">
        <f>IF([1]Template!G144&gt;0,[1]Template!G144,"")</f>
        <v/>
      </c>
      <c r="L115" s="142" t="str">
        <f>IF([1]Template!H144&gt;0,[1]Template!H144,"")</f>
        <v/>
      </c>
      <c r="M115" s="91" t="str">
        <f>IF([1]Template!C144&lt;&gt;0,[1]Template!C144,"")</f>
        <v/>
      </c>
      <c r="N115" s="91" t="str">
        <f>IF(I115&lt;&gt;"",[1]Template!$D$14,"")</f>
        <v/>
      </c>
      <c r="O115" s="91" t="str">
        <f>IF(I115&lt;&gt;"",[1]Template!F144,"")</f>
        <v/>
      </c>
    </row>
    <row r="116" spans="9:15" x14ac:dyDescent="0.25">
      <c r="I116" s="91" t="str">
        <f>IF([1]Template!G145&gt;0,40,IF([1]Template!H145&gt;0,50,""))</f>
        <v/>
      </c>
      <c r="J116" s="91" t="str">
        <f>IF([1]Template!B145&lt;&gt;0,[1]Template!B145,"")</f>
        <v/>
      </c>
      <c r="K116" s="142" t="str">
        <f>IF([1]Template!G145&gt;0,[1]Template!G145,"")</f>
        <v/>
      </c>
      <c r="L116" s="142" t="str">
        <f>IF([1]Template!H145&gt;0,[1]Template!H145,"")</f>
        <v/>
      </c>
      <c r="M116" s="91" t="str">
        <f>IF([1]Template!C145&lt;&gt;0,[1]Template!C145,"")</f>
        <v/>
      </c>
      <c r="N116" s="91" t="str">
        <f>IF(I116&lt;&gt;"",[1]Template!$D$14,"")</f>
        <v/>
      </c>
      <c r="O116" s="91" t="str">
        <f>IF(I116&lt;&gt;"",[1]Template!F145,"")</f>
        <v/>
      </c>
    </row>
    <row r="117" spans="9:15" x14ac:dyDescent="0.25">
      <c r="I117" s="91" t="str">
        <f>IF([1]Template!G146&gt;0,40,IF([1]Template!H146&gt;0,50,""))</f>
        <v/>
      </c>
      <c r="J117" s="91" t="str">
        <f>IF([1]Template!B146&lt;&gt;0,[1]Template!B146,"")</f>
        <v/>
      </c>
      <c r="K117" s="142" t="str">
        <f>IF([1]Template!G146&gt;0,[1]Template!G146,"")</f>
        <v/>
      </c>
      <c r="L117" s="142" t="str">
        <f>IF([1]Template!H146&gt;0,[1]Template!H146,"")</f>
        <v/>
      </c>
      <c r="M117" s="91" t="str">
        <f>IF([1]Template!C146&lt;&gt;0,[1]Template!C146,"")</f>
        <v/>
      </c>
      <c r="N117" s="91" t="str">
        <f>IF(I117&lt;&gt;"",[1]Template!$D$14,"")</f>
        <v/>
      </c>
      <c r="O117" s="91" t="str">
        <f>IF(I117&lt;&gt;"",[1]Template!F146,"")</f>
        <v/>
      </c>
    </row>
    <row r="118" spans="9:15" x14ac:dyDescent="0.25">
      <c r="I118" s="91" t="str">
        <f>IF([1]Template!G147&gt;0,40,IF([1]Template!H147&gt;0,50,""))</f>
        <v/>
      </c>
      <c r="J118" s="91" t="str">
        <f>IF([1]Template!B147&lt;&gt;0,[1]Template!B147,"")</f>
        <v/>
      </c>
      <c r="K118" s="142" t="str">
        <f>IF([1]Template!G147&gt;0,[1]Template!G147,"")</f>
        <v/>
      </c>
      <c r="L118" s="142" t="str">
        <f>IF([1]Template!H147&gt;0,[1]Template!H147,"")</f>
        <v/>
      </c>
      <c r="M118" s="91" t="str">
        <f>IF([1]Template!C147&lt;&gt;0,[1]Template!C147,"")</f>
        <v/>
      </c>
      <c r="N118" s="91" t="str">
        <f>IF(I118&lt;&gt;"",[1]Template!$D$14,"")</f>
        <v/>
      </c>
      <c r="O118" s="91" t="str">
        <f>IF(I118&lt;&gt;"",[1]Template!F147,"")</f>
        <v/>
      </c>
    </row>
    <row r="119" spans="9:15" x14ac:dyDescent="0.25">
      <c r="I119" s="91" t="str">
        <f>IF([1]Template!G148&gt;0,40,IF([1]Template!H148&gt;0,50,""))</f>
        <v/>
      </c>
      <c r="J119" s="91" t="str">
        <f>IF([1]Template!B148&lt;&gt;0,[1]Template!B148,"")</f>
        <v/>
      </c>
      <c r="K119" s="142" t="str">
        <f>IF([1]Template!G148&gt;0,[1]Template!G148,"")</f>
        <v/>
      </c>
      <c r="L119" s="142" t="str">
        <f>IF([1]Template!H148&gt;0,[1]Template!H148,"")</f>
        <v/>
      </c>
      <c r="M119" s="91" t="str">
        <f>IF([1]Template!C148&lt;&gt;0,[1]Template!C148,"")</f>
        <v/>
      </c>
      <c r="N119" s="91" t="str">
        <f>IF(I119&lt;&gt;"",[1]Template!$D$14,"")</f>
        <v/>
      </c>
      <c r="O119" s="91" t="str">
        <f>IF(I119&lt;&gt;"",[1]Template!F148,"")</f>
        <v/>
      </c>
    </row>
    <row r="120" spans="9:15" x14ac:dyDescent="0.25">
      <c r="I120" s="91" t="str">
        <f>IF([1]Template!G149&gt;0,40,IF([1]Template!H149&gt;0,50,""))</f>
        <v/>
      </c>
      <c r="J120" s="91" t="str">
        <f>IF([1]Template!B149&lt;&gt;0,[1]Template!B149,"")</f>
        <v/>
      </c>
      <c r="K120" s="142" t="str">
        <f>IF([1]Template!G149&gt;0,[1]Template!G149,"")</f>
        <v/>
      </c>
      <c r="L120" s="142" t="str">
        <f>IF([1]Template!H149&gt;0,[1]Template!H149,"")</f>
        <v/>
      </c>
      <c r="M120" s="91" t="str">
        <f>IF([1]Template!C149&lt;&gt;0,[1]Template!C149,"")</f>
        <v/>
      </c>
      <c r="N120" s="91" t="str">
        <f>IF(I120&lt;&gt;"",[1]Template!$D$14,"")</f>
        <v/>
      </c>
      <c r="O120" s="91" t="str">
        <f>IF(I120&lt;&gt;"",[1]Template!F149,"")</f>
        <v/>
      </c>
    </row>
    <row r="121" spans="9:15" x14ac:dyDescent="0.25">
      <c r="I121" s="91" t="str">
        <f>IF([1]Template!G150&gt;0,40,IF([1]Template!H150&gt;0,50,""))</f>
        <v/>
      </c>
      <c r="J121" s="91" t="str">
        <f>IF([1]Template!B150&lt;&gt;0,[1]Template!B150,"")</f>
        <v/>
      </c>
      <c r="K121" s="142" t="str">
        <f>IF([1]Template!G150&gt;0,[1]Template!G150,"")</f>
        <v/>
      </c>
      <c r="L121" s="142" t="str">
        <f>IF([1]Template!H150&gt;0,[1]Template!H150,"")</f>
        <v/>
      </c>
      <c r="M121" s="91" t="str">
        <f>IF([1]Template!C150&lt;&gt;0,[1]Template!C150,"")</f>
        <v/>
      </c>
      <c r="N121" s="91" t="str">
        <f>IF(I121&lt;&gt;"",[1]Template!$D$14,"")</f>
        <v/>
      </c>
      <c r="O121" s="91" t="str">
        <f>IF(I121&lt;&gt;"",[1]Template!F150,"")</f>
        <v/>
      </c>
    </row>
    <row r="122" spans="9:15" x14ac:dyDescent="0.25">
      <c r="I122" s="91" t="str">
        <f>IF([1]Template!G151&gt;0,40,IF([1]Template!H151&gt;0,50,""))</f>
        <v/>
      </c>
      <c r="J122" s="91" t="str">
        <f>IF([1]Template!B151&lt;&gt;0,[1]Template!B151,"")</f>
        <v/>
      </c>
      <c r="K122" s="142" t="str">
        <f>IF([1]Template!G151&gt;0,[1]Template!G151,"")</f>
        <v/>
      </c>
      <c r="L122" s="142" t="str">
        <f>IF([1]Template!H151&gt;0,[1]Template!H151,"")</f>
        <v/>
      </c>
      <c r="M122" s="91" t="str">
        <f>IF([1]Template!C151&lt;&gt;0,[1]Template!C151,"")</f>
        <v/>
      </c>
      <c r="N122" s="91" t="str">
        <f>IF(I122&lt;&gt;"",[1]Template!$D$14,"")</f>
        <v/>
      </c>
      <c r="O122" s="91" t="str">
        <f>IF(I122&lt;&gt;"",[1]Template!F151,"")</f>
        <v/>
      </c>
    </row>
    <row r="123" spans="9:15" x14ac:dyDescent="0.25">
      <c r="I123" s="91" t="str">
        <f>IF([1]Template!G152&gt;0,40,IF([1]Template!H152&gt;0,50,""))</f>
        <v/>
      </c>
      <c r="J123" s="91" t="str">
        <f>IF([1]Template!B152&lt;&gt;0,[1]Template!B152,"")</f>
        <v/>
      </c>
      <c r="K123" s="142" t="str">
        <f>IF([1]Template!G152&gt;0,[1]Template!G152,"")</f>
        <v/>
      </c>
      <c r="L123" s="142" t="str">
        <f>IF([1]Template!H152&gt;0,[1]Template!H152,"")</f>
        <v/>
      </c>
      <c r="M123" s="91" t="str">
        <f>IF([1]Template!C152&lt;&gt;0,[1]Template!C152,"")</f>
        <v/>
      </c>
      <c r="N123" s="91" t="str">
        <f>IF(I123&lt;&gt;"",[1]Template!$D$14,"")</f>
        <v/>
      </c>
      <c r="O123" s="91" t="str">
        <f>IF(I123&lt;&gt;"",[1]Template!F152,"")</f>
        <v/>
      </c>
    </row>
    <row r="124" spans="9:15" x14ac:dyDescent="0.25">
      <c r="I124" s="91" t="str">
        <f>IF([1]Template!G153&gt;0,40,IF([1]Template!H153&gt;0,50,""))</f>
        <v/>
      </c>
      <c r="J124" s="91" t="str">
        <f>IF([1]Template!B153&lt;&gt;0,[1]Template!B153,"")</f>
        <v/>
      </c>
      <c r="K124" s="142" t="str">
        <f>IF([1]Template!G153&gt;0,[1]Template!G153,"")</f>
        <v/>
      </c>
      <c r="L124" s="142" t="str">
        <f>IF([1]Template!H153&gt;0,[1]Template!H153,"")</f>
        <v/>
      </c>
      <c r="M124" s="91" t="str">
        <f>IF([1]Template!C153&lt;&gt;0,[1]Template!C153,"")</f>
        <v/>
      </c>
      <c r="N124" s="91" t="str">
        <f>IF(I124&lt;&gt;"",[1]Template!$D$14,"")</f>
        <v/>
      </c>
      <c r="O124" s="91" t="str">
        <f>IF(I124&lt;&gt;"",[1]Template!F153,"")</f>
        <v/>
      </c>
    </row>
    <row r="125" spans="9:15" x14ac:dyDescent="0.25">
      <c r="I125" s="91" t="str">
        <f>IF([1]Template!G154&gt;0,40,IF([1]Template!H154&gt;0,50,""))</f>
        <v/>
      </c>
      <c r="J125" s="91" t="str">
        <f>IF([1]Template!B154&lt;&gt;0,[1]Template!B154,"")</f>
        <v/>
      </c>
      <c r="K125" s="142" t="str">
        <f>IF([1]Template!G154&gt;0,[1]Template!G154,"")</f>
        <v/>
      </c>
      <c r="L125" s="142" t="str">
        <f>IF([1]Template!H154&gt;0,[1]Template!H154,"")</f>
        <v/>
      </c>
      <c r="M125" s="91" t="str">
        <f>IF([1]Template!C154&lt;&gt;0,[1]Template!C154,"")</f>
        <v/>
      </c>
      <c r="N125" s="91" t="str">
        <f>IF(I125&lt;&gt;"",[1]Template!$D$14,"")</f>
        <v/>
      </c>
      <c r="O125" s="91" t="str">
        <f>IF(I125&lt;&gt;"",[1]Template!F154,"")</f>
        <v/>
      </c>
    </row>
    <row r="126" spans="9:15" x14ac:dyDescent="0.25">
      <c r="I126" s="91" t="str">
        <f>IF([1]Template!G155&gt;0,40,IF([1]Template!H155&gt;0,50,""))</f>
        <v/>
      </c>
      <c r="J126" s="91" t="str">
        <f>IF([1]Template!B155&lt;&gt;0,[1]Template!B155,"")</f>
        <v/>
      </c>
      <c r="K126" s="142" t="str">
        <f>IF([1]Template!G155&gt;0,[1]Template!G155,"")</f>
        <v/>
      </c>
      <c r="L126" s="142" t="str">
        <f>IF([1]Template!H155&gt;0,[1]Template!H155,"")</f>
        <v/>
      </c>
      <c r="M126" s="91" t="str">
        <f>IF([1]Template!C155&lt;&gt;0,[1]Template!C155,"")</f>
        <v/>
      </c>
      <c r="N126" s="91" t="str">
        <f>IF(I126&lt;&gt;"",[1]Template!$D$14,"")</f>
        <v/>
      </c>
      <c r="O126" s="91" t="str">
        <f>IF(I126&lt;&gt;"",[1]Template!F155,"")</f>
        <v/>
      </c>
    </row>
    <row r="127" spans="9:15" x14ac:dyDescent="0.25">
      <c r="I127" s="91" t="str">
        <f>IF([1]Template!G156&gt;0,40,IF([1]Template!H156&gt;0,50,""))</f>
        <v/>
      </c>
      <c r="J127" s="91" t="str">
        <f>IF([1]Template!B156&lt;&gt;0,[1]Template!B156,"")</f>
        <v/>
      </c>
      <c r="K127" s="142" t="str">
        <f>IF([1]Template!G156&gt;0,[1]Template!G156,"")</f>
        <v/>
      </c>
      <c r="L127" s="142" t="str">
        <f>IF([1]Template!H156&gt;0,[1]Template!H156,"")</f>
        <v/>
      </c>
      <c r="M127" s="91" t="str">
        <f>IF([1]Template!C156&lt;&gt;0,[1]Template!C156,"")</f>
        <v/>
      </c>
      <c r="N127" s="91" t="str">
        <f>IF(I127&lt;&gt;"",[1]Template!$D$14,"")</f>
        <v/>
      </c>
      <c r="O127" s="91" t="str">
        <f>IF(I127&lt;&gt;"",[1]Template!F156,"")</f>
        <v/>
      </c>
    </row>
    <row r="128" spans="9:15" x14ac:dyDescent="0.25">
      <c r="I128" s="91" t="str">
        <f>IF([1]Template!G157&gt;0,40,IF([1]Template!H157&gt;0,50,""))</f>
        <v/>
      </c>
      <c r="J128" s="91" t="str">
        <f>IF([1]Template!B157&lt;&gt;0,[1]Template!B157,"")</f>
        <v/>
      </c>
      <c r="K128" s="142" t="str">
        <f>IF([1]Template!G157&gt;0,[1]Template!G157,"")</f>
        <v/>
      </c>
      <c r="L128" s="142" t="str">
        <f>IF([1]Template!H157&gt;0,[1]Template!H157,"")</f>
        <v/>
      </c>
      <c r="M128" s="91" t="str">
        <f>IF([1]Template!C157&lt;&gt;0,[1]Template!C157,"")</f>
        <v/>
      </c>
      <c r="N128" s="91" t="str">
        <f>IF(I128&lt;&gt;"",[1]Template!$D$14,"")</f>
        <v/>
      </c>
      <c r="O128" s="91" t="str">
        <f>IF(I128&lt;&gt;"",[1]Template!F157,"")</f>
        <v/>
      </c>
    </row>
    <row r="129" spans="9:15" x14ac:dyDescent="0.25">
      <c r="I129" s="91" t="str">
        <f>IF([1]Template!G158&gt;0,40,IF([1]Template!H158&gt;0,50,""))</f>
        <v/>
      </c>
      <c r="J129" s="91" t="str">
        <f>IF([1]Template!B158&lt;&gt;0,[1]Template!B158,"")</f>
        <v/>
      </c>
      <c r="K129" s="142" t="str">
        <f>IF([1]Template!G158&gt;0,[1]Template!G158,"")</f>
        <v/>
      </c>
      <c r="L129" s="142" t="str">
        <f>IF([1]Template!H158&gt;0,[1]Template!H158,"")</f>
        <v/>
      </c>
      <c r="M129" s="91" t="str">
        <f>IF([1]Template!C158&lt;&gt;0,[1]Template!C158,"")</f>
        <v/>
      </c>
      <c r="N129" s="91" t="str">
        <f>IF(I129&lt;&gt;"",[1]Template!$D$14,"")</f>
        <v/>
      </c>
      <c r="O129" s="91" t="str">
        <f>IF(I129&lt;&gt;"",[1]Template!F158,"")</f>
        <v/>
      </c>
    </row>
    <row r="130" spans="9:15" x14ac:dyDescent="0.25">
      <c r="I130" s="91" t="str">
        <f>IF([1]Template!G159&gt;0,40,IF([1]Template!H159&gt;0,50,""))</f>
        <v/>
      </c>
      <c r="J130" s="91" t="str">
        <f>IF([1]Template!B159&lt;&gt;0,[1]Template!B159,"")</f>
        <v/>
      </c>
      <c r="K130" s="142" t="str">
        <f>IF([1]Template!G159&gt;0,[1]Template!G159,"")</f>
        <v/>
      </c>
      <c r="L130" s="142" t="str">
        <f>IF([1]Template!H159&gt;0,[1]Template!H159,"")</f>
        <v/>
      </c>
      <c r="M130" s="91" t="str">
        <f>IF([1]Template!C159&lt;&gt;0,[1]Template!C159,"")</f>
        <v/>
      </c>
      <c r="N130" s="91" t="str">
        <f>IF(I130&lt;&gt;"",[1]Template!$D$14,"")</f>
        <v/>
      </c>
      <c r="O130" s="91" t="str">
        <f>IF(I130&lt;&gt;"",[1]Template!F159,"")</f>
        <v/>
      </c>
    </row>
    <row r="131" spans="9:15" x14ac:dyDescent="0.25">
      <c r="I131" s="91" t="str">
        <f>IF([1]Template!G160&gt;0,40,IF([1]Template!H160&gt;0,50,""))</f>
        <v/>
      </c>
      <c r="J131" s="91" t="str">
        <f>IF([1]Template!B160&lt;&gt;0,[1]Template!B160,"")</f>
        <v/>
      </c>
      <c r="K131" s="142" t="str">
        <f>IF([1]Template!G160&gt;0,[1]Template!G160,"")</f>
        <v/>
      </c>
      <c r="L131" s="142" t="str">
        <f>IF([1]Template!H160&gt;0,[1]Template!H160,"")</f>
        <v/>
      </c>
      <c r="M131" s="91" t="str">
        <f>IF([1]Template!C160&lt;&gt;0,[1]Template!C160,"")</f>
        <v/>
      </c>
      <c r="N131" s="91" t="str">
        <f>IF(I131&lt;&gt;"",[1]Template!$D$14,"")</f>
        <v/>
      </c>
      <c r="O131" s="91" t="str">
        <f>IF(I131&lt;&gt;"",[1]Template!F160,"")</f>
        <v/>
      </c>
    </row>
    <row r="132" spans="9:15" x14ac:dyDescent="0.25">
      <c r="I132" s="91" t="str">
        <f>IF([1]Template!G161&gt;0,40,IF([1]Template!H161&gt;0,50,""))</f>
        <v/>
      </c>
      <c r="J132" s="91" t="str">
        <f>IF([1]Template!B161&lt;&gt;0,[1]Template!B161,"")</f>
        <v/>
      </c>
      <c r="K132" s="142" t="str">
        <f>IF([1]Template!G161&gt;0,[1]Template!G161,"")</f>
        <v/>
      </c>
      <c r="L132" s="142" t="str">
        <f>IF([1]Template!H161&gt;0,[1]Template!H161,"")</f>
        <v/>
      </c>
      <c r="M132" s="91" t="str">
        <f>IF([1]Template!C161&lt;&gt;0,[1]Template!C161,"")</f>
        <v/>
      </c>
      <c r="N132" s="91" t="str">
        <f>IF(I132&lt;&gt;"",[1]Template!$D$14,"")</f>
        <v/>
      </c>
      <c r="O132" s="91" t="str">
        <f>IF(I132&lt;&gt;"",[1]Template!F161,"")</f>
        <v/>
      </c>
    </row>
    <row r="133" spans="9:15" x14ac:dyDescent="0.25">
      <c r="I133" s="91" t="str">
        <f>IF([1]Template!G162&gt;0,40,IF([1]Template!H162&gt;0,50,""))</f>
        <v/>
      </c>
      <c r="J133" s="91" t="str">
        <f>IF([1]Template!B162&lt;&gt;0,[1]Template!B162,"")</f>
        <v/>
      </c>
      <c r="K133" s="142" t="str">
        <f>IF([1]Template!G162&gt;0,[1]Template!G162,"")</f>
        <v/>
      </c>
      <c r="L133" s="142" t="str">
        <f>IF([1]Template!H162&gt;0,[1]Template!H162,"")</f>
        <v/>
      </c>
      <c r="M133" s="91" t="str">
        <f>IF([1]Template!C162&lt;&gt;0,[1]Template!C162,"")</f>
        <v/>
      </c>
      <c r="N133" s="91" t="str">
        <f>IF(I133&lt;&gt;"",[1]Template!$D$14,"")</f>
        <v/>
      </c>
      <c r="O133" s="91" t="str">
        <f>IF(I133&lt;&gt;"",[1]Template!F162,"")</f>
        <v/>
      </c>
    </row>
    <row r="134" spans="9:15" x14ac:dyDescent="0.25">
      <c r="I134" s="91" t="str">
        <f>IF([1]Template!G163&gt;0,40,IF([1]Template!H163&gt;0,50,""))</f>
        <v/>
      </c>
      <c r="J134" s="91" t="str">
        <f>IF([1]Template!B163&lt;&gt;0,[1]Template!B163,"")</f>
        <v/>
      </c>
      <c r="K134" s="142" t="str">
        <f>IF([1]Template!G163&gt;0,[1]Template!G163,"")</f>
        <v/>
      </c>
      <c r="L134" s="142" t="str">
        <f>IF([1]Template!H163&gt;0,[1]Template!H163,"")</f>
        <v/>
      </c>
      <c r="M134" s="91" t="str">
        <f>IF([1]Template!C163&lt;&gt;0,[1]Template!C163,"")</f>
        <v/>
      </c>
      <c r="N134" s="91" t="str">
        <f>IF(I134&lt;&gt;"",[1]Template!$D$14,"")</f>
        <v/>
      </c>
      <c r="O134" s="91" t="str">
        <f>IF(I134&lt;&gt;"",[1]Template!F163,"")</f>
        <v/>
      </c>
    </row>
    <row r="135" spans="9:15" x14ac:dyDescent="0.25">
      <c r="I135" s="91" t="str">
        <f>IF([1]Template!G164&gt;0,40,IF([1]Template!H164&gt;0,50,""))</f>
        <v/>
      </c>
      <c r="J135" s="91" t="str">
        <f>IF([1]Template!B164&lt;&gt;0,[1]Template!B164,"")</f>
        <v/>
      </c>
      <c r="K135" s="142" t="str">
        <f>IF([1]Template!G164&gt;0,[1]Template!G164,"")</f>
        <v/>
      </c>
      <c r="L135" s="142" t="str">
        <f>IF([1]Template!H164&gt;0,[1]Template!H164,"")</f>
        <v/>
      </c>
      <c r="M135" s="91" t="str">
        <f>IF([1]Template!C164&lt;&gt;0,[1]Template!C164,"")</f>
        <v/>
      </c>
      <c r="N135" s="91" t="str">
        <f>IF(I135&lt;&gt;"",[1]Template!$D$14,"")</f>
        <v/>
      </c>
      <c r="O135" s="91" t="str">
        <f>IF(I135&lt;&gt;"",[1]Template!F164,"")</f>
        <v/>
      </c>
    </row>
    <row r="136" spans="9:15" x14ac:dyDescent="0.25">
      <c r="I136" s="91" t="str">
        <f>IF([1]Template!G165&gt;0,40,IF([1]Template!H165&gt;0,50,""))</f>
        <v/>
      </c>
      <c r="J136" s="91" t="str">
        <f>IF([1]Template!B165&lt;&gt;0,[1]Template!B165,"")</f>
        <v/>
      </c>
      <c r="K136" s="142" t="str">
        <f>IF([1]Template!G165&gt;0,[1]Template!G165,"")</f>
        <v/>
      </c>
      <c r="L136" s="142" t="str">
        <f>IF([1]Template!H165&gt;0,[1]Template!H165,"")</f>
        <v/>
      </c>
      <c r="M136" s="91" t="str">
        <f>IF([1]Template!C165&lt;&gt;0,[1]Template!C165,"")</f>
        <v/>
      </c>
      <c r="N136" s="91" t="str">
        <f>IF(I136&lt;&gt;"",[1]Template!$D$14,"")</f>
        <v/>
      </c>
      <c r="O136" s="91" t="str">
        <f>IF(I136&lt;&gt;"",[1]Template!F165,"")</f>
        <v/>
      </c>
    </row>
    <row r="137" spans="9:15" x14ac:dyDescent="0.25">
      <c r="I137" s="91" t="str">
        <f>IF([1]Template!G166&gt;0,40,IF([1]Template!H166&gt;0,50,""))</f>
        <v/>
      </c>
      <c r="J137" s="91" t="str">
        <f>IF([1]Template!B166&lt;&gt;0,[1]Template!B166,"")</f>
        <v/>
      </c>
      <c r="K137" s="142" t="str">
        <f>IF([1]Template!G166&gt;0,[1]Template!G166,"")</f>
        <v/>
      </c>
      <c r="L137" s="142" t="str">
        <f>IF([1]Template!H166&gt;0,[1]Template!H166,"")</f>
        <v/>
      </c>
      <c r="M137" s="91" t="str">
        <f>IF([1]Template!C166&lt;&gt;0,[1]Template!C166,"")</f>
        <v/>
      </c>
      <c r="N137" s="91" t="str">
        <f>IF(I137&lt;&gt;"",[1]Template!$D$14,"")</f>
        <v/>
      </c>
      <c r="O137" s="91" t="str">
        <f>IF(I137&lt;&gt;"",[1]Template!F166,"")</f>
        <v/>
      </c>
    </row>
    <row r="138" spans="9:15" x14ac:dyDescent="0.25">
      <c r="I138" s="91" t="str">
        <f>IF([1]Template!G167&gt;0,40,IF([1]Template!H167&gt;0,50,""))</f>
        <v/>
      </c>
      <c r="J138" s="91" t="str">
        <f>IF([1]Template!B167&lt;&gt;0,[1]Template!B167,"")</f>
        <v/>
      </c>
      <c r="K138" s="142" t="str">
        <f>IF([1]Template!G167&gt;0,[1]Template!G167,"")</f>
        <v/>
      </c>
      <c r="L138" s="142" t="str">
        <f>IF([1]Template!H167&gt;0,[1]Template!H167,"")</f>
        <v/>
      </c>
      <c r="M138" s="91" t="str">
        <f>IF([1]Template!C167&lt;&gt;0,[1]Template!C167,"")</f>
        <v/>
      </c>
      <c r="N138" s="91" t="str">
        <f>IF(I138&lt;&gt;"",[1]Template!$D$14,"")</f>
        <v/>
      </c>
      <c r="O138" s="91" t="str">
        <f>IF(I138&lt;&gt;"",[1]Template!F167,"")</f>
        <v/>
      </c>
    </row>
    <row r="139" spans="9:15" x14ac:dyDescent="0.25">
      <c r="I139" s="91" t="str">
        <f>IF([1]Template!G168&gt;0,40,IF([1]Template!H168&gt;0,50,""))</f>
        <v/>
      </c>
      <c r="J139" s="91" t="str">
        <f>IF([1]Template!B168&lt;&gt;0,[1]Template!B168,"")</f>
        <v/>
      </c>
      <c r="K139" s="142" t="str">
        <f>IF([1]Template!G168&gt;0,[1]Template!G168,"")</f>
        <v/>
      </c>
      <c r="L139" s="142" t="str">
        <f>IF([1]Template!H168&gt;0,[1]Template!H168,"")</f>
        <v/>
      </c>
      <c r="M139" s="91" t="str">
        <f>IF([1]Template!C168&lt;&gt;0,[1]Template!C168,"")</f>
        <v/>
      </c>
      <c r="N139" s="91" t="str">
        <f>IF(I139&lt;&gt;"",[1]Template!$D$14,"")</f>
        <v/>
      </c>
      <c r="O139" s="91" t="str">
        <f>IF(I139&lt;&gt;"",[1]Template!F168,"")</f>
        <v/>
      </c>
    </row>
    <row r="140" spans="9:15" x14ac:dyDescent="0.25">
      <c r="I140" s="91" t="str">
        <f>IF([1]Template!G169&gt;0,40,IF([1]Template!H169&gt;0,50,""))</f>
        <v/>
      </c>
      <c r="J140" s="91" t="str">
        <f>IF([1]Template!B169&lt;&gt;0,[1]Template!B169,"")</f>
        <v/>
      </c>
      <c r="K140" s="142" t="str">
        <f>IF([1]Template!G169&gt;0,[1]Template!G169,"")</f>
        <v/>
      </c>
      <c r="L140" s="142" t="str">
        <f>IF([1]Template!H169&gt;0,[1]Template!H169,"")</f>
        <v/>
      </c>
      <c r="M140" s="91" t="str">
        <f>IF([1]Template!C169&lt;&gt;0,[1]Template!C169,"")</f>
        <v/>
      </c>
      <c r="N140" s="91" t="str">
        <f>IF(I140&lt;&gt;"",[1]Template!$D$14,"")</f>
        <v/>
      </c>
      <c r="O140" s="91" t="str">
        <f>IF(I140&lt;&gt;"",[1]Template!F169,"")</f>
        <v/>
      </c>
    </row>
    <row r="141" spans="9:15" x14ac:dyDescent="0.25">
      <c r="I141" s="91" t="str">
        <f>IF([1]Template!G170&gt;0,40,IF([1]Template!H170&gt;0,50,""))</f>
        <v/>
      </c>
      <c r="J141" s="91" t="str">
        <f>IF([1]Template!B170&lt;&gt;0,[1]Template!B170,"")</f>
        <v/>
      </c>
      <c r="K141" s="142" t="str">
        <f>IF([1]Template!G170&gt;0,[1]Template!G170,"")</f>
        <v/>
      </c>
      <c r="L141" s="142" t="str">
        <f>IF([1]Template!H170&gt;0,[1]Template!H170,"")</f>
        <v/>
      </c>
      <c r="M141" s="91" t="str">
        <f>IF([1]Template!C170&lt;&gt;0,[1]Template!C170,"")</f>
        <v/>
      </c>
      <c r="N141" s="91" t="str">
        <f>IF(I141&lt;&gt;"",[1]Template!$D$14,"")</f>
        <v/>
      </c>
      <c r="O141" s="91" t="str">
        <f>IF(I141&lt;&gt;"",[1]Template!F170,"")</f>
        <v/>
      </c>
    </row>
    <row r="142" spans="9:15" x14ac:dyDescent="0.25">
      <c r="I142" s="91" t="str">
        <f>IF([1]Template!G171&gt;0,40,IF([1]Template!H171&gt;0,50,""))</f>
        <v/>
      </c>
      <c r="J142" s="91" t="str">
        <f>IF([1]Template!B171&lt;&gt;0,[1]Template!B171,"")</f>
        <v/>
      </c>
      <c r="K142" s="142" t="str">
        <f>IF([1]Template!G171&gt;0,[1]Template!G171,"")</f>
        <v/>
      </c>
      <c r="L142" s="142" t="str">
        <f>IF([1]Template!H171&gt;0,[1]Template!H171,"")</f>
        <v/>
      </c>
      <c r="M142" s="91" t="str">
        <f>IF([1]Template!C171&lt;&gt;0,[1]Template!C171,"")</f>
        <v/>
      </c>
      <c r="N142" s="91" t="str">
        <f>IF(I142&lt;&gt;"",[1]Template!$D$14,"")</f>
        <v/>
      </c>
      <c r="O142" s="91" t="str">
        <f>IF(I142&lt;&gt;"",[1]Template!F171,"")</f>
        <v/>
      </c>
    </row>
    <row r="143" spans="9:15" x14ac:dyDescent="0.25">
      <c r="I143" s="91" t="str">
        <f>IF([1]Template!G172&gt;0,40,IF([1]Template!H172&gt;0,50,""))</f>
        <v/>
      </c>
      <c r="J143" s="91" t="str">
        <f>IF([1]Template!B172&lt;&gt;0,[1]Template!B172,"")</f>
        <v/>
      </c>
      <c r="K143" s="142" t="str">
        <f>IF([1]Template!G172&gt;0,[1]Template!G172,"")</f>
        <v/>
      </c>
      <c r="L143" s="142" t="str">
        <f>IF([1]Template!H172&gt;0,[1]Template!H172,"")</f>
        <v/>
      </c>
      <c r="M143" s="91" t="str">
        <f>IF([1]Template!C172&lt;&gt;0,[1]Template!C172,"")</f>
        <v/>
      </c>
      <c r="N143" s="91" t="str">
        <f>IF(I143&lt;&gt;"",[1]Template!$D$14,"")</f>
        <v/>
      </c>
      <c r="O143" s="91" t="str">
        <f>IF(I143&lt;&gt;"",[1]Template!F172,"")</f>
        <v/>
      </c>
    </row>
    <row r="144" spans="9:15" x14ac:dyDescent="0.25">
      <c r="I144" s="91" t="str">
        <f>IF([1]Template!G173&gt;0,40,IF([1]Template!H173&gt;0,50,""))</f>
        <v/>
      </c>
      <c r="J144" s="91" t="str">
        <f>IF([1]Template!B173&lt;&gt;0,[1]Template!B173,"")</f>
        <v/>
      </c>
      <c r="K144" s="142" t="str">
        <f>IF([1]Template!G173&gt;0,[1]Template!G173,"")</f>
        <v/>
      </c>
      <c r="L144" s="142" t="str">
        <f>IF([1]Template!H173&gt;0,[1]Template!H173,"")</f>
        <v/>
      </c>
      <c r="M144" s="91" t="str">
        <f>IF([1]Template!C173&lt;&gt;0,[1]Template!C173,"")</f>
        <v/>
      </c>
      <c r="N144" s="91" t="str">
        <f>IF(I144&lt;&gt;"",[1]Template!$D$14,"")</f>
        <v/>
      </c>
      <c r="O144" s="91" t="str">
        <f>IF(I144&lt;&gt;"",[1]Template!F173,"")</f>
        <v/>
      </c>
    </row>
    <row r="145" spans="9:15" x14ac:dyDescent="0.25">
      <c r="I145" s="91" t="str">
        <f>IF([1]Template!G174&gt;0,40,IF([1]Template!H174&gt;0,50,""))</f>
        <v/>
      </c>
      <c r="J145" s="91" t="str">
        <f>IF([1]Template!B174&lt;&gt;0,[1]Template!B174,"")</f>
        <v/>
      </c>
      <c r="K145" s="142" t="str">
        <f>IF([1]Template!G174&gt;0,[1]Template!G174,"")</f>
        <v/>
      </c>
      <c r="L145" s="142" t="str">
        <f>IF([1]Template!H174&gt;0,[1]Template!H174,"")</f>
        <v/>
      </c>
      <c r="M145" s="91" t="str">
        <f>IF([1]Template!C174&lt;&gt;0,[1]Template!C174,"")</f>
        <v/>
      </c>
      <c r="N145" s="91" t="str">
        <f>IF(I145&lt;&gt;"",[1]Template!$D$14,"")</f>
        <v/>
      </c>
      <c r="O145" s="91" t="str">
        <f>IF(I145&lt;&gt;"",[1]Template!F174,"")</f>
        <v/>
      </c>
    </row>
    <row r="146" spans="9:15" x14ac:dyDescent="0.25">
      <c r="I146" s="91" t="str">
        <f>IF([1]Template!G175&gt;0,40,IF([1]Template!H175&gt;0,50,""))</f>
        <v/>
      </c>
      <c r="J146" s="91" t="str">
        <f>IF([1]Template!B175&lt;&gt;0,[1]Template!B175,"")</f>
        <v/>
      </c>
      <c r="K146" s="142" t="str">
        <f>IF([1]Template!G175&gt;0,[1]Template!G175,"")</f>
        <v/>
      </c>
      <c r="L146" s="142" t="str">
        <f>IF([1]Template!H175&gt;0,[1]Template!H175,"")</f>
        <v/>
      </c>
      <c r="M146" s="91" t="str">
        <f>IF([1]Template!C175&lt;&gt;0,[1]Template!C175,"")</f>
        <v/>
      </c>
      <c r="N146" s="91" t="str">
        <f>IF(I146&lt;&gt;"",[1]Template!$D$14,"")</f>
        <v/>
      </c>
      <c r="O146" s="91" t="str">
        <f>IF(I146&lt;&gt;"",[1]Template!F175,"")</f>
        <v/>
      </c>
    </row>
    <row r="147" spans="9:15" x14ac:dyDescent="0.25">
      <c r="I147" s="91" t="str">
        <f>IF([1]Template!G176&gt;0,40,IF([1]Template!H176&gt;0,50,""))</f>
        <v/>
      </c>
      <c r="J147" s="91" t="str">
        <f>IF([1]Template!B176&lt;&gt;0,[1]Template!B176,"")</f>
        <v/>
      </c>
      <c r="K147" s="142" t="str">
        <f>IF([1]Template!G176&gt;0,[1]Template!G176,"")</f>
        <v/>
      </c>
      <c r="L147" s="142" t="str">
        <f>IF([1]Template!H176&gt;0,[1]Template!H176,"")</f>
        <v/>
      </c>
      <c r="M147" s="91" t="str">
        <f>IF([1]Template!C176&lt;&gt;0,[1]Template!C176,"")</f>
        <v/>
      </c>
      <c r="N147" s="91" t="str">
        <f>IF(I147&lt;&gt;"",[1]Template!$D$14,"")</f>
        <v/>
      </c>
      <c r="O147" s="91" t="str">
        <f>IF(I147&lt;&gt;"",[1]Template!F176,"")</f>
        <v/>
      </c>
    </row>
    <row r="148" spans="9:15" x14ac:dyDescent="0.25">
      <c r="I148" s="91" t="str">
        <f>IF([1]Template!G177&gt;0,40,IF([1]Template!H177&gt;0,50,""))</f>
        <v/>
      </c>
      <c r="J148" s="91" t="str">
        <f>IF([1]Template!B177&lt;&gt;0,[1]Template!B177,"")</f>
        <v/>
      </c>
      <c r="K148" s="142" t="str">
        <f>IF([1]Template!G177&gt;0,[1]Template!G177,"")</f>
        <v/>
      </c>
      <c r="L148" s="142" t="str">
        <f>IF([1]Template!H177&gt;0,[1]Template!H177,"")</f>
        <v/>
      </c>
      <c r="M148" s="91" t="str">
        <f>IF([1]Template!C177&lt;&gt;0,[1]Template!C177,"")</f>
        <v/>
      </c>
      <c r="N148" s="91" t="str">
        <f>IF(I148&lt;&gt;"",[1]Template!$D$14,"")</f>
        <v/>
      </c>
      <c r="O148" s="91" t="str">
        <f>IF(I148&lt;&gt;"",[1]Template!F177,"")</f>
        <v/>
      </c>
    </row>
    <row r="149" spans="9:15" x14ac:dyDescent="0.25">
      <c r="I149" s="91" t="str">
        <f>IF([1]Template!G178&gt;0,40,IF([1]Template!H178&gt;0,50,""))</f>
        <v/>
      </c>
      <c r="J149" s="91" t="str">
        <f>IF([1]Template!B178&lt;&gt;0,[1]Template!B178,"")</f>
        <v/>
      </c>
      <c r="K149" s="142" t="str">
        <f>IF([1]Template!G178&gt;0,[1]Template!G178,"")</f>
        <v/>
      </c>
      <c r="L149" s="142" t="str">
        <f>IF([1]Template!H178&gt;0,[1]Template!H178,"")</f>
        <v/>
      </c>
      <c r="M149" s="91" t="str">
        <f>IF([1]Template!C178&lt;&gt;0,[1]Template!C178,"")</f>
        <v/>
      </c>
      <c r="N149" s="91" t="str">
        <f>IF(I149&lt;&gt;"",[1]Template!$D$14,"")</f>
        <v/>
      </c>
      <c r="O149" s="91" t="str">
        <f>IF(I149&lt;&gt;"",[1]Template!F178,"")</f>
        <v/>
      </c>
    </row>
    <row r="150" spans="9:15" x14ac:dyDescent="0.25">
      <c r="I150" s="91" t="str">
        <f>IF([1]Template!G179&gt;0,40,IF([1]Template!H179&gt;0,50,""))</f>
        <v/>
      </c>
      <c r="J150" s="91" t="str">
        <f>IF([1]Template!B179&lt;&gt;0,[1]Template!B179,"")</f>
        <v/>
      </c>
      <c r="K150" s="142" t="str">
        <f>IF([1]Template!G179&gt;0,[1]Template!G179,"")</f>
        <v/>
      </c>
      <c r="L150" s="142" t="str">
        <f>IF([1]Template!H179&gt;0,[1]Template!H179,"")</f>
        <v/>
      </c>
      <c r="M150" s="91" t="str">
        <f>IF([1]Template!C179&lt;&gt;0,[1]Template!C179,"")</f>
        <v/>
      </c>
      <c r="N150" s="91" t="str">
        <f>IF(I150&lt;&gt;"",[1]Template!$D$14,"")</f>
        <v/>
      </c>
      <c r="O150" s="91" t="str">
        <f>IF(I150&lt;&gt;"",[1]Template!F179,"")</f>
        <v/>
      </c>
    </row>
    <row r="151" spans="9:15" x14ac:dyDescent="0.25">
      <c r="I151" s="91" t="str">
        <f>IF([1]Template!G180&gt;0,40,IF([1]Template!H180&gt;0,50,""))</f>
        <v/>
      </c>
      <c r="J151" s="91" t="str">
        <f>IF([1]Template!B180&lt;&gt;0,[1]Template!B180,"")</f>
        <v/>
      </c>
      <c r="K151" s="142" t="str">
        <f>IF([1]Template!G180&gt;0,[1]Template!G180,"")</f>
        <v/>
      </c>
      <c r="L151" s="142" t="str">
        <f>IF([1]Template!H180&gt;0,[1]Template!H180,"")</f>
        <v/>
      </c>
      <c r="M151" s="91" t="str">
        <f>IF([1]Template!C180&lt;&gt;0,[1]Template!C180,"")</f>
        <v/>
      </c>
      <c r="N151" s="91" t="str">
        <f>IF(I151&lt;&gt;"",[1]Template!$D$14,"")</f>
        <v/>
      </c>
      <c r="O151" s="91" t="str">
        <f>IF(I151&lt;&gt;"",[1]Template!F180,"")</f>
        <v/>
      </c>
    </row>
    <row r="152" spans="9:15" x14ac:dyDescent="0.25">
      <c r="I152" s="91" t="str">
        <f>IF([1]Template!G181&gt;0,40,IF([1]Template!H181&gt;0,50,""))</f>
        <v/>
      </c>
      <c r="J152" s="91" t="str">
        <f>IF([1]Template!B181&lt;&gt;0,[1]Template!B181,"")</f>
        <v/>
      </c>
      <c r="K152" s="142" t="str">
        <f>IF([1]Template!G181&gt;0,[1]Template!G181,"")</f>
        <v/>
      </c>
      <c r="L152" s="142" t="str">
        <f>IF([1]Template!H181&gt;0,[1]Template!H181,"")</f>
        <v/>
      </c>
      <c r="M152" s="91" t="str">
        <f>IF([1]Template!C181&lt;&gt;0,[1]Template!C181,"")</f>
        <v/>
      </c>
      <c r="N152" s="91" t="str">
        <f>IF(I152&lt;&gt;"",[1]Template!$D$14,"")</f>
        <v/>
      </c>
      <c r="O152" s="91" t="str">
        <f>IF(I152&lt;&gt;"",[1]Template!F181,"")</f>
        <v/>
      </c>
    </row>
    <row r="153" spans="9:15" x14ac:dyDescent="0.25">
      <c r="I153" s="91" t="str">
        <f>IF([1]Template!G182&gt;0,40,IF([1]Template!H182&gt;0,50,""))</f>
        <v/>
      </c>
      <c r="J153" s="91" t="str">
        <f>IF([1]Template!B182&lt;&gt;0,[1]Template!B182,"")</f>
        <v/>
      </c>
      <c r="K153" s="142" t="str">
        <f>IF([1]Template!G182&gt;0,[1]Template!G182,"")</f>
        <v/>
      </c>
      <c r="L153" s="142" t="str">
        <f>IF([1]Template!H182&gt;0,[1]Template!H182,"")</f>
        <v/>
      </c>
      <c r="M153" s="91" t="str">
        <f>IF([1]Template!C182&lt;&gt;0,[1]Template!C182,"")</f>
        <v/>
      </c>
      <c r="N153" s="91" t="str">
        <f>IF(I153&lt;&gt;"",[1]Template!$D$14,"")</f>
        <v/>
      </c>
      <c r="O153" s="91" t="str">
        <f>IF(I153&lt;&gt;"",[1]Template!F182,"")</f>
        <v/>
      </c>
    </row>
    <row r="154" spans="9:15" x14ac:dyDescent="0.25">
      <c r="I154" s="91" t="str">
        <f>IF([1]Template!G183&gt;0,40,IF([1]Template!H183&gt;0,50,""))</f>
        <v/>
      </c>
      <c r="J154" s="91" t="str">
        <f>IF([1]Template!B183&lt;&gt;0,[1]Template!B183,"")</f>
        <v/>
      </c>
      <c r="K154" s="142" t="str">
        <f>IF([1]Template!G183&gt;0,[1]Template!G183,"")</f>
        <v/>
      </c>
      <c r="L154" s="142" t="str">
        <f>IF([1]Template!H183&gt;0,[1]Template!H183,"")</f>
        <v/>
      </c>
      <c r="M154" s="91" t="str">
        <f>IF([1]Template!C183&lt;&gt;0,[1]Template!C183,"")</f>
        <v/>
      </c>
      <c r="N154" s="91" t="str">
        <f>IF(I154&lt;&gt;"",[1]Template!$D$14,"")</f>
        <v/>
      </c>
      <c r="O154" s="91" t="str">
        <f>IF(I154&lt;&gt;"",[1]Template!F183,"")</f>
        <v/>
      </c>
    </row>
    <row r="155" spans="9:15" x14ac:dyDescent="0.25">
      <c r="I155" s="91" t="str">
        <f>IF([1]Template!G184&gt;0,40,IF([1]Template!H184&gt;0,50,""))</f>
        <v/>
      </c>
      <c r="J155" s="91" t="str">
        <f>IF([1]Template!B184&lt;&gt;0,[1]Template!B184,"")</f>
        <v/>
      </c>
      <c r="K155" s="142" t="str">
        <f>IF([1]Template!G184&gt;0,[1]Template!G184,"")</f>
        <v/>
      </c>
      <c r="L155" s="142" t="str">
        <f>IF([1]Template!H184&gt;0,[1]Template!H184,"")</f>
        <v/>
      </c>
      <c r="M155" s="91" t="str">
        <f>IF([1]Template!C184&lt;&gt;0,[1]Template!C184,"")</f>
        <v/>
      </c>
      <c r="N155" s="91" t="str">
        <f>IF(I155&lt;&gt;"",[1]Template!$D$14,"")</f>
        <v/>
      </c>
      <c r="O155" s="91" t="str">
        <f>IF(I155&lt;&gt;"",[1]Template!F184,"")</f>
        <v/>
      </c>
    </row>
    <row r="156" spans="9:15" x14ac:dyDescent="0.25">
      <c r="I156" s="91" t="str">
        <f>IF([1]Template!G185&gt;0,40,IF([1]Template!H185&gt;0,50,""))</f>
        <v/>
      </c>
      <c r="J156" s="91" t="str">
        <f>IF([1]Template!B185&lt;&gt;0,[1]Template!B185,"")</f>
        <v/>
      </c>
      <c r="K156" s="142" t="str">
        <f>IF([1]Template!G185&gt;0,[1]Template!G185,"")</f>
        <v/>
      </c>
      <c r="L156" s="142" t="str">
        <f>IF([1]Template!H185&gt;0,[1]Template!H185,"")</f>
        <v/>
      </c>
      <c r="M156" s="91" t="str">
        <f>IF([1]Template!C185&lt;&gt;0,[1]Template!C185,"")</f>
        <v/>
      </c>
      <c r="N156" s="91" t="str">
        <f>IF(I156&lt;&gt;"",[1]Template!$D$14,"")</f>
        <v/>
      </c>
      <c r="O156" s="91" t="str">
        <f>IF(I156&lt;&gt;"",[1]Template!F185,"")</f>
        <v/>
      </c>
    </row>
    <row r="157" spans="9:15" x14ac:dyDescent="0.25">
      <c r="I157" s="91" t="str">
        <f>IF([1]Template!G186&gt;0,40,IF([1]Template!H186&gt;0,50,""))</f>
        <v/>
      </c>
      <c r="J157" s="91" t="str">
        <f>IF([1]Template!B186&lt;&gt;0,[1]Template!B186,"")</f>
        <v/>
      </c>
      <c r="K157" s="142" t="str">
        <f>IF([1]Template!G186&gt;0,[1]Template!G186,"")</f>
        <v/>
      </c>
      <c r="L157" s="142" t="str">
        <f>IF([1]Template!H186&gt;0,[1]Template!H186,"")</f>
        <v/>
      </c>
      <c r="M157" s="91" t="str">
        <f>IF([1]Template!C186&lt;&gt;0,[1]Template!C186,"")</f>
        <v/>
      </c>
      <c r="N157" s="91" t="str">
        <f>IF(I157&lt;&gt;"",[1]Template!$D$14,"")</f>
        <v/>
      </c>
      <c r="O157" s="91" t="str">
        <f>IF(I157&lt;&gt;"",[1]Template!F186,"")</f>
        <v/>
      </c>
    </row>
    <row r="158" spans="9:15" x14ac:dyDescent="0.25">
      <c r="I158" s="91" t="str">
        <f>IF([1]Template!G187&gt;0,40,IF([1]Template!H187&gt;0,50,""))</f>
        <v/>
      </c>
      <c r="J158" s="91" t="str">
        <f>IF([1]Template!B187&lt;&gt;0,[1]Template!B187,"")</f>
        <v/>
      </c>
      <c r="K158" s="142" t="str">
        <f>IF([1]Template!G187&gt;0,[1]Template!G187,"")</f>
        <v/>
      </c>
      <c r="L158" s="142" t="str">
        <f>IF([1]Template!H187&gt;0,[1]Template!H187,"")</f>
        <v/>
      </c>
      <c r="M158" s="91" t="str">
        <f>IF([1]Template!C187&lt;&gt;0,[1]Template!C187,"")</f>
        <v/>
      </c>
      <c r="N158" s="91" t="str">
        <f>IF(I158&lt;&gt;"",[1]Template!$D$14,"")</f>
        <v/>
      </c>
      <c r="O158" s="91" t="str">
        <f>IF(I158&lt;&gt;"",[1]Template!F187,"")</f>
        <v/>
      </c>
    </row>
    <row r="159" spans="9:15" x14ac:dyDescent="0.25">
      <c r="I159" s="91" t="str">
        <f>IF([1]Template!G188&gt;0,40,IF([1]Template!H188&gt;0,50,""))</f>
        <v/>
      </c>
      <c r="J159" s="91" t="str">
        <f>IF([1]Template!B188&lt;&gt;0,[1]Template!B188,"")</f>
        <v/>
      </c>
      <c r="K159" s="142" t="str">
        <f>IF([1]Template!G188&gt;0,[1]Template!G188,"")</f>
        <v/>
      </c>
      <c r="L159" s="142" t="str">
        <f>IF([1]Template!H188&gt;0,[1]Template!H188,"")</f>
        <v/>
      </c>
      <c r="M159" s="91" t="str">
        <f>IF([1]Template!C188&lt;&gt;0,[1]Template!C188,"")</f>
        <v/>
      </c>
      <c r="N159" s="91" t="str">
        <f>IF(I159&lt;&gt;"",[1]Template!$D$14,"")</f>
        <v/>
      </c>
      <c r="O159" s="91" t="str">
        <f>IF(I159&lt;&gt;"",[1]Template!F188,"")</f>
        <v/>
      </c>
    </row>
    <row r="160" spans="9:15" x14ac:dyDescent="0.25">
      <c r="I160" s="91" t="str">
        <f>IF([1]Template!G189&gt;0,40,IF([1]Template!H189&gt;0,50,""))</f>
        <v/>
      </c>
      <c r="J160" s="91" t="str">
        <f>IF([1]Template!B189&lt;&gt;0,[1]Template!B189,"")</f>
        <v/>
      </c>
      <c r="K160" s="142" t="str">
        <f>IF([1]Template!G189&gt;0,[1]Template!G189,"")</f>
        <v/>
      </c>
      <c r="L160" s="142" t="str">
        <f>IF([1]Template!H189&gt;0,[1]Template!H189,"")</f>
        <v/>
      </c>
      <c r="M160" s="91" t="str">
        <f>IF([1]Template!C189&lt;&gt;0,[1]Template!C189,"")</f>
        <v/>
      </c>
      <c r="N160" s="91" t="str">
        <f>IF(I160&lt;&gt;"",[1]Template!$D$14,"")</f>
        <v/>
      </c>
      <c r="O160" s="91" t="str">
        <f>IF(I160&lt;&gt;"",[1]Template!F189,"")</f>
        <v/>
      </c>
    </row>
    <row r="161" spans="9:15" x14ac:dyDescent="0.25">
      <c r="I161" s="91" t="str">
        <f>IF([1]Template!G190&gt;0,40,IF([1]Template!H190&gt;0,50,""))</f>
        <v/>
      </c>
      <c r="J161" s="91" t="str">
        <f>IF([1]Template!B190&lt;&gt;0,[1]Template!B190,"")</f>
        <v/>
      </c>
      <c r="K161" s="142" t="str">
        <f>IF([1]Template!G190&gt;0,[1]Template!G190,"")</f>
        <v/>
      </c>
      <c r="L161" s="142" t="str">
        <f>IF([1]Template!H190&gt;0,[1]Template!H190,"")</f>
        <v/>
      </c>
      <c r="M161" s="91" t="str">
        <f>IF([1]Template!C190&lt;&gt;0,[1]Template!C190,"")</f>
        <v/>
      </c>
      <c r="N161" s="91" t="str">
        <f>IF(I161&lt;&gt;"",[1]Template!$D$14,"")</f>
        <v/>
      </c>
      <c r="O161" s="91" t="str">
        <f>IF(I161&lt;&gt;"",[1]Template!F190,"")</f>
        <v/>
      </c>
    </row>
    <row r="162" spans="9:15" x14ac:dyDescent="0.25">
      <c r="I162" s="91" t="str">
        <f>IF([1]Template!G191&gt;0,40,IF([1]Template!H191&gt;0,50,""))</f>
        <v/>
      </c>
      <c r="J162" s="91" t="str">
        <f>IF([1]Template!B191&lt;&gt;0,[1]Template!B191,"")</f>
        <v/>
      </c>
      <c r="K162" s="142" t="str">
        <f>IF([1]Template!G191&gt;0,[1]Template!G191,"")</f>
        <v/>
      </c>
      <c r="L162" s="142" t="str">
        <f>IF([1]Template!H191&gt;0,[1]Template!H191,"")</f>
        <v/>
      </c>
      <c r="M162" s="91" t="str">
        <f>IF([1]Template!C191&lt;&gt;0,[1]Template!C191,"")</f>
        <v/>
      </c>
      <c r="N162" s="91" t="str">
        <f>IF(I162&lt;&gt;"",[1]Template!$D$14,"")</f>
        <v/>
      </c>
      <c r="O162" s="91" t="str">
        <f>IF(I162&lt;&gt;"",[1]Template!F191,"")</f>
        <v/>
      </c>
    </row>
    <row r="163" spans="9:15" x14ac:dyDescent="0.25">
      <c r="I163" s="91" t="str">
        <f>IF([1]Template!G192&gt;0,40,IF([1]Template!H192&gt;0,50,""))</f>
        <v/>
      </c>
      <c r="J163" s="91" t="str">
        <f>IF([1]Template!B192&lt;&gt;0,[1]Template!B192,"")</f>
        <v/>
      </c>
      <c r="K163" s="142" t="str">
        <f>IF([1]Template!G192&gt;0,[1]Template!G192,"")</f>
        <v/>
      </c>
      <c r="L163" s="142" t="str">
        <f>IF([1]Template!H192&gt;0,[1]Template!H192,"")</f>
        <v/>
      </c>
      <c r="M163" s="91" t="str">
        <f>IF([1]Template!C192&lt;&gt;0,[1]Template!C192,"")</f>
        <v/>
      </c>
      <c r="N163" s="91" t="str">
        <f>IF(I163&lt;&gt;"",[1]Template!$D$14,"")</f>
        <v/>
      </c>
      <c r="O163" s="91" t="str">
        <f>IF(I163&lt;&gt;"",[1]Template!F192,"")</f>
        <v/>
      </c>
    </row>
    <row r="164" spans="9:15" x14ac:dyDescent="0.25">
      <c r="I164" s="91" t="str">
        <f>IF([1]Template!G193&gt;0,40,IF([1]Template!H193&gt;0,50,""))</f>
        <v/>
      </c>
      <c r="J164" s="91" t="str">
        <f>IF([1]Template!B193&lt;&gt;0,[1]Template!B193,"")</f>
        <v/>
      </c>
      <c r="K164" s="142" t="str">
        <f>IF([1]Template!G193&gt;0,[1]Template!G193,"")</f>
        <v/>
      </c>
      <c r="L164" s="142" t="str">
        <f>IF([1]Template!H193&gt;0,[1]Template!H193,"")</f>
        <v/>
      </c>
      <c r="M164" s="91" t="str">
        <f>IF([1]Template!C193&lt;&gt;0,[1]Template!C193,"")</f>
        <v/>
      </c>
      <c r="N164" s="91" t="str">
        <f>IF(I164&lt;&gt;"",[1]Template!$D$14,"")</f>
        <v/>
      </c>
      <c r="O164" s="91" t="str">
        <f>IF(I164&lt;&gt;"",[1]Template!F193,"")</f>
        <v/>
      </c>
    </row>
    <row r="165" spans="9:15" x14ac:dyDescent="0.25">
      <c r="I165" s="91" t="str">
        <f>IF([1]Template!G194&gt;0,40,IF([1]Template!H194&gt;0,50,""))</f>
        <v/>
      </c>
      <c r="J165" s="91" t="str">
        <f>IF([1]Template!B194&lt;&gt;0,[1]Template!B194,"")</f>
        <v/>
      </c>
      <c r="K165" s="142" t="str">
        <f>IF([1]Template!G194&gt;0,[1]Template!G194,"")</f>
        <v/>
      </c>
      <c r="L165" s="142" t="str">
        <f>IF([1]Template!H194&gt;0,[1]Template!H194,"")</f>
        <v/>
      </c>
      <c r="M165" s="91" t="str">
        <f>IF([1]Template!C194&lt;&gt;0,[1]Template!C194,"")</f>
        <v/>
      </c>
      <c r="N165" s="91" t="str">
        <f>IF(I165&lt;&gt;"",[1]Template!$D$14,"")</f>
        <v/>
      </c>
      <c r="O165" s="91" t="str">
        <f>IF(I165&lt;&gt;"",[1]Template!F194,"")</f>
        <v/>
      </c>
    </row>
    <row r="166" spans="9:15" x14ac:dyDescent="0.25">
      <c r="I166" s="91" t="str">
        <f>IF([1]Template!G195&gt;0,40,IF([1]Template!H195&gt;0,50,""))</f>
        <v/>
      </c>
      <c r="J166" s="91" t="str">
        <f>IF([1]Template!B195&lt;&gt;0,[1]Template!B195,"")</f>
        <v/>
      </c>
      <c r="K166" s="142" t="str">
        <f>IF([1]Template!G195&gt;0,[1]Template!G195,"")</f>
        <v/>
      </c>
      <c r="L166" s="142" t="str">
        <f>IF([1]Template!H195&gt;0,[1]Template!H195,"")</f>
        <v/>
      </c>
      <c r="M166" s="91" t="str">
        <f>IF([1]Template!C195&lt;&gt;0,[1]Template!C195,"")</f>
        <v/>
      </c>
      <c r="N166" s="91" t="str">
        <f>IF(I166&lt;&gt;"",[1]Template!$D$14,"")</f>
        <v/>
      </c>
      <c r="O166" s="91" t="str">
        <f>IF(I166&lt;&gt;"",[1]Template!F195,"")</f>
        <v/>
      </c>
    </row>
    <row r="167" spans="9:15" x14ac:dyDescent="0.25">
      <c r="I167" s="91" t="str">
        <f>IF([1]Template!G196&gt;0,40,IF([1]Template!H196&gt;0,50,""))</f>
        <v/>
      </c>
      <c r="J167" s="91" t="str">
        <f>IF([1]Template!B196&lt;&gt;0,[1]Template!B196,"")</f>
        <v/>
      </c>
      <c r="K167" s="142" t="str">
        <f>IF([1]Template!G196&gt;0,[1]Template!G196,"")</f>
        <v/>
      </c>
      <c r="L167" s="142" t="str">
        <f>IF([1]Template!H196&gt;0,[1]Template!H196,"")</f>
        <v/>
      </c>
      <c r="M167" s="91" t="str">
        <f>IF([1]Template!C196&lt;&gt;0,[1]Template!C196,"")</f>
        <v/>
      </c>
      <c r="N167" s="91" t="str">
        <f>IF(I167&lt;&gt;"",[1]Template!$D$14,"")</f>
        <v/>
      </c>
      <c r="O167" s="91" t="str">
        <f>IF(I167&lt;&gt;"",[1]Template!F196,"")</f>
        <v/>
      </c>
    </row>
    <row r="168" spans="9:15" x14ac:dyDescent="0.25">
      <c r="I168" s="91" t="str">
        <f>IF([1]Template!G197&gt;0,40,IF([1]Template!H197&gt;0,50,""))</f>
        <v/>
      </c>
      <c r="J168" s="91" t="str">
        <f>IF([1]Template!B197&lt;&gt;0,[1]Template!B197,"")</f>
        <v/>
      </c>
      <c r="K168" s="142" t="str">
        <f>IF([1]Template!G197&gt;0,[1]Template!G197,"")</f>
        <v/>
      </c>
      <c r="L168" s="142" t="str">
        <f>IF([1]Template!H197&gt;0,[1]Template!H197,"")</f>
        <v/>
      </c>
      <c r="M168" s="91" t="str">
        <f>IF([1]Template!C197&lt;&gt;0,[1]Template!C197,"")</f>
        <v/>
      </c>
      <c r="N168" s="91" t="str">
        <f>IF(I168&lt;&gt;"",[1]Template!$D$14,"")</f>
        <v/>
      </c>
      <c r="O168" s="91" t="str">
        <f>IF(I168&lt;&gt;"",[1]Template!F197,"")</f>
        <v/>
      </c>
    </row>
    <row r="169" spans="9:15" x14ac:dyDescent="0.25">
      <c r="I169" s="91" t="str">
        <f>IF([1]Template!G198&gt;0,40,IF([1]Template!H198&gt;0,50,""))</f>
        <v/>
      </c>
      <c r="J169" s="91" t="str">
        <f>IF([1]Template!B198&lt;&gt;0,[1]Template!B198,"")</f>
        <v/>
      </c>
      <c r="K169" s="142" t="str">
        <f>IF([1]Template!G198&gt;0,[1]Template!G198,"")</f>
        <v/>
      </c>
      <c r="L169" s="142" t="str">
        <f>IF([1]Template!H198&gt;0,[1]Template!H198,"")</f>
        <v/>
      </c>
      <c r="M169" s="91" t="str">
        <f>IF([1]Template!C198&lt;&gt;0,[1]Template!C198,"")</f>
        <v/>
      </c>
      <c r="N169" s="91" t="str">
        <f>IF(I169&lt;&gt;"",[1]Template!$D$14,"")</f>
        <v/>
      </c>
      <c r="O169" s="91" t="str">
        <f>IF(I169&lt;&gt;"",[1]Template!F198,"")</f>
        <v/>
      </c>
    </row>
    <row r="170" spans="9:15" x14ac:dyDescent="0.25">
      <c r="I170" s="91" t="str">
        <f>IF([1]Template!G199&gt;0,40,IF([1]Template!H199&gt;0,50,""))</f>
        <v/>
      </c>
      <c r="J170" s="91" t="str">
        <f>IF([1]Template!B199&lt;&gt;0,[1]Template!B199,"")</f>
        <v/>
      </c>
      <c r="K170" s="142" t="str">
        <f>IF([1]Template!G199&gt;0,[1]Template!G199,"")</f>
        <v/>
      </c>
      <c r="L170" s="142" t="str">
        <f>IF([1]Template!H199&gt;0,[1]Template!H199,"")</f>
        <v/>
      </c>
      <c r="M170" s="91" t="str">
        <f>IF([1]Template!C199&lt;&gt;0,[1]Template!C199,"")</f>
        <v/>
      </c>
      <c r="N170" s="91" t="str">
        <f>IF(I170&lt;&gt;"",[1]Template!$D$14,"")</f>
        <v/>
      </c>
      <c r="O170" s="91" t="str">
        <f>IF(I170&lt;&gt;"",[1]Template!F199,"")</f>
        <v/>
      </c>
    </row>
    <row r="171" spans="9:15" x14ac:dyDescent="0.25">
      <c r="I171" s="91" t="str">
        <f>IF([1]Template!G200&gt;0,40,IF([1]Template!H200&gt;0,50,""))</f>
        <v/>
      </c>
      <c r="J171" s="91" t="str">
        <f>IF([1]Template!B200&lt;&gt;0,[1]Template!B200,"")</f>
        <v/>
      </c>
      <c r="K171" s="142" t="str">
        <f>IF([1]Template!G200&gt;0,[1]Template!G200,"")</f>
        <v/>
      </c>
      <c r="L171" s="142" t="str">
        <f>IF([1]Template!H200&gt;0,[1]Template!H200,"")</f>
        <v/>
      </c>
      <c r="M171" s="91" t="str">
        <f>IF([1]Template!C200&lt;&gt;0,[1]Template!C200,"")</f>
        <v/>
      </c>
      <c r="N171" s="91" t="str">
        <f>IF(I171&lt;&gt;"",[1]Template!$D$14,"")</f>
        <v/>
      </c>
      <c r="O171" s="91" t="str">
        <f>IF(I171&lt;&gt;"",[1]Template!F200,"")</f>
        <v/>
      </c>
    </row>
    <row r="172" spans="9:15" x14ac:dyDescent="0.25">
      <c r="I172" s="91" t="str">
        <f>IF([1]Template!G201&gt;0,40,IF([1]Template!H201&gt;0,50,""))</f>
        <v/>
      </c>
      <c r="J172" s="91" t="str">
        <f>IF([1]Template!B201&lt;&gt;0,[1]Template!B201,"")</f>
        <v/>
      </c>
      <c r="K172" s="142" t="str">
        <f>IF([1]Template!G201&gt;0,[1]Template!G201,"")</f>
        <v/>
      </c>
      <c r="L172" s="142" t="str">
        <f>IF([1]Template!H201&gt;0,[1]Template!H201,"")</f>
        <v/>
      </c>
      <c r="M172" s="91" t="str">
        <f>IF([1]Template!C201&lt;&gt;0,[1]Template!C201,"")</f>
        <v/>
      </c>
      <c r="N172" s="91" t="str">
        <f>IF(I172&lt;&gt;"",[1]Template!$D$14,"")</f>
        <v/>
      </c>
      <c r="O172" s="91" t="str">
        <f>IF(I172&lt;&gt;"",[1]Template!F201,"")</f>
        <v/>
      </c>
    </row>
    <row r="173" spans="9:15" x14ac:dyDescent="0.25">
      <c r="I173" s="91" t="str">
        <f>IF([1]Template!G202&gt;0,40,IF([1]Template!H202&gt;0,50,""))</f>
        <v/>
      </c>
      <c r="J173" s="91" t="str">
        <f>IF([1]Template!B202&lt;&gt;0,[1]Template!B202,"")</f>
        <v/>
      </c>
      <c r="K173" s="142" t="str">
        <f>IF([1]Template!G202&gt;0,[1]Template!G202,"")</f>
        <v/>
      </c>
      <c r="L173" s="142" t="str">
        <f>IF([1]Template!H202&gt;0,[1]Template!H202,"")</f>
        <v/>
      </c>
      <c r="M173" s="91" t="str">
        <f>IF([1]Template!C202&lt;&gt;0,[1]Template!C202,"")</f>
        <v/>
      </c>
      <c r="N173" s="91" t="str">
        <f>IF(I173&lt;&gt;"",[1]Template!$D$14,"")</f>
        <v/>
      </c>
      <c r="O173" s="91" t="str">
        <f>IF(I173&lt;&gt;"",[1]Template!F202,"")</f>
        <v/>
      </c>
    </row>
    <row r="174" spans="9:15" x14ac:dyDescent="0.25">
      <c r="I174" s="91" t="str">
        <f>IF([1]Template!G203&gt;0,40,IF([1]Template!H203&gt;0,50,""))</f>
        <v/>
      </c>
      <c r="J174" s="91" t="str">
        <f>IF([1]Template!B203&lt;&gt;0,[1]Template!B203,"")</f>
        <v/>
      </c>
      <c r="K174" s="142" t="str">
        <f>IF([1]Template!G203&gt;0,[1]Template!G203,"")</f>
        <v/>
      </c>
      <c r="L174" s="142" t="str">
        <f>IF([1]Template!H203&gt;0,[1]Template!H203,"")</f>
        <v/>
      </c>
      <c r="M174" s="91" t="str">
        <f>IF([1]Template!C203&lt;&gt;0,[1]Template!C203,"")</f>
        <v/>
      </c>
      <c r="N174" s="91" t="str">
        <f>IF(I174&lt;&gt;"",[1]Template!$D$14,"")</f>
        <v/>
      </c>
      <c r="O174" s="91" t="str">
        <f>IF(I174&lt;&gt;"",[1]Template!F203,"")</f>
        <v/>
      </c>
    </row>
    <row r="175" spans="9:15" x14ac:dyDescent="0.25">
      <c r="I175" s="91" t="str">
        <f>IF([1]Template!G204&gt;0,40,IF([1]Template!H204&gt;0,50,""))</f>
        <v/>
      </c>
      <c r="J175" s="91" t="str">
        <f>IF([1]Template!B204&lt;&gt;0,[1]Template!B204,"")</f>
        <v/>
      </c>
      <c r="K175" s="142" t="str">
        <f>IF([1]Template!G204&gt;0,[1]Template!G204,"")</f>
        <v/>
      </c>
      <c r="L175" s="142" t="str">
        <f>IF([1]Template!H204&gt;0,[1]Template!H204,"")</f>
        <v/>
      </c>
      <c r="M175" s="91" t="str">
        <f>IF([1]Template!C204&lt;&gt;0,[1]Template!C204,"")</f>
        <v/>
      </c>
      <c r="N175" s="91" t="str">
        <f>IF(I175&lt;&gt;"",[1]Template!$D$14,"")</f>
        <v/>
      </c>
      <c r="O175" s="91" t="str">
        <f>IF(I175&lt;&gt;"",[1]Template!F204,"")</f>
        <v/>
      </c>
    </row>
    <row r="176" spans="9:15" x14ac:dyDescent="0.25">
      <c r="I176" s="91" t="str">
        <f>IF([1]Template!G205&gt;0,40,IF([1]Template!H205&gt;0,50,""))</f>
        <v/>
      </c>
      <c r="J176" s="91" t="str">
        <f>IF([1]Template!B205&lt;&gt;0,[1]Template!B205,"")</f>
        <v/>
      </c>
      <c r="K176" s="142" t="str">
        <f>IF([1]Template!G205&gt;0,[1]Template!G205,"")</f>
        <v/>
      </c>
      <c r="L176" s="142" t="str">
        <f>IF([1]Template!H205&gt;0,[1]Template!H205,"")</f>
        <v/>
      </c>
      <c r="M176" s="91" t="str">
        <f>IF([1]Template!C205&lt;&gt;0,[1]Template!C205,"")</f>
        <v/>
      </c>
      <c r="N176" s="91" t="str">
        <f>IF(I176&lt;&gt;"",[1]Template!$D$14,"")</f>
        <v/>
      </c>
      <c r="O176" s="91" t="str">
        <f>IF(I176&lt;&gt;"",[1]Template!F205,"")</f>
        <v/>
      </c>
    </row>
    <row r="177" spans="9:15" x14ac:dyDescent="0.25">
      <c r="I177" s="91" t="str">
        <f>IF([1]Template!G206&gt;0,40,IF([1]Template!H206&gt;0,50,""))</f>
        <v/>
      </c>
      <c r="J177" s="91" t="str">
        <f>IF([1]Template!B206&lt;&gt;0,[1]Template!B206,"")</f>
        <v/>
      </c>
      <c r="K177" s="142" t="str">
        <f>IF([1]Template!G206&gt;0,[1]Template!G206,"")</f>
        <v/>
      </c>
      <c r="L177" s="142" t="str">
        <f>IF([1]Template!H206&gt;0,[1]Template!H206,"")</f>
        <v/>
      </c>
      <c r="M177" s="91" t="str">
        <f>IF([1]Template!C206&lt;&gt;0,[1]Template!C206,"")</f>
        <v/>
      </c>
      <c r="N177" s="91" t="str">
        <f>IF(I177&lt;&gt;"",[1]Template!$D$14,"")</f>
        <v/>
      </c>
      <c r="O177" s="91" t="str">
        <f>IF(I177&lt;&gt;"",[1]Template!F206,"")</f>
        <v/>
      </c>
    </row>
    <row r="178" spans="9:15" x14ac:dyDescent="0.25">
      <c r="I178" s="91" t="str">
        <f>IF([1]Template!G207&gt;0,40,IF([1]Template!H207&gt;0,50,""))</f>
        <v/>
      </c>
      <c r="J178" s="91" t="str">
        <f>IF([1]Template!B207&lt;&gt;0,[1]Template!B207,"")</f>
        <v/>
      </c>
      <c r="K178" s="142" t="str">
        <f>IF([1]Template!G207&gt;0,[1]Template!G207,"")</f>
        <v/>
      </c>
      <c r="L178" s="142" t="str">
        <f>IF([1]Template!H207&gt;0,[1]Template!H207,"")</f>
        <v/>
      </c>
      <c r="M178" s="91" t="str">
        <f>IF([1]Template!C207&lt;&gt;0,[1]Template!C207,"")</f>
        <v/>
      </c>
      <c r="N178" s="91" t="str">
        <f>IF(I178&lt;&gt;"",[1]Template!$D$14,"")</f>
        <v/>
      </c>
      <c r="O178" s="91" t="str">
        <f>IF(I178&lt;&gt;"",[1]Template!F207,"")</f>
        <v/>
      </c>
    </row>
    <row r="179" spans="9:15" x14ac:dyDescent="0.25">
      <c r="I179" s="91" t="str">
        <f>IF([1]Template!G208&gt;0,40,IF([1]Template!H208&gt;0,50,""))</f>
        <v/>
      </c>
      <c r="J179" s="91" t="str">
        <f>IF([1]Template!B208&lt;&gt;0,[1]Template!B208,"")</f>
        <v/>
      </c>
      <c r="K179" s="142" t="str">
        <f>IF([1]Template!G208&gt;0,[1]Template!G208,"")</f>
        <v/>
      </c>
      <c r="L179" s="142" t="str">
        <f>IF([1]Template!H208&gt;0,[1]Template!H208,"")</f>
        <v/>
      </c>
      <c r="M179" s="91" t="str">
        <f>IF([1]Template!C208&lt;&gt;0,[1]Template!C208,"")</f>
        <v/>
      </c>
      <c r="N179" s="91" t="str">
        <f>IF(I179&lt;&gt;"",[1]Template!$D$14,"")</f>
        <v/>
      </c>
      <c r="O179" s="91" t="str">
        <f>IF(I179&lt;&gt;"",[1]Template!F208,"")</f>
        <v/>
      </c>
    </row>
    <row r="180" spans="9:15" x14ac:dyDescent="0.25">
      <c r="I180" s="91" t="str">
        <f>IF([1]Template!G209&gt;0,40,IF([1]Template!H209&gt;0,50,""))</f>
        <v/>
      </c>
      <c r="J180" s="91" t="str">
        <f>IF([1]Template!B209&lt;&gt;0,[1]Template!B209,"")</f>
        <v/>
      </c>
      <c r="K180" s="142" t="str">
        <f>IF([1]Template!G209&gt;0,[1]Template!G209,"")</f>
        <v/>
      </c>
      <c r="L180" s="142" t="str">
        <f>IF([1]Template!H209&gt;0,[1]Template!H209,"")</f>
        <v/>
      </c>
      <c r="M180" s="91" t="str">
        <f>IF([1]Template!C209&lt;&gt;0,[1]Template!C209,"")</f>
        <v/>
      </c>
      <c r="N180" s="91" t="str">
        <f>IF(I180&lt;&gt;"",[1]Template!$D$14,"")</f>
        <v/>
      </c>
      <c r="O180" s="91" t="str">
        <f>IF(I180&lt;&gt;"",[1]Template!F209,"")</f>
        <v/>
      </c>
    </row>
    <row r="181" spans="9:15" x14ac:dyDescent="0.25">
      <c r="I181" s="91" t="str">
        <f>IF([1]Template!G210&gt;0,40,IF([1]Template!H210&gt;0,50,""))</f>
        <v/>
      </c>
      <c r="J181" s="91" t="str">
        <f>IF([1]Template!B210&lt;&gt;0,[1]Template!B210,"")</f>
        <v/>
      </c>
      <c r="K181" s="142" t="str">
        <f>IF([1]Template!G210&gt;0,[1]Template!G210,"")</f>
        <v/>
      </c>
      <c r="L181" s="142" t="str">
        <f>IF([1]Template!H210&gt;0,[1]Template!H210,"")</f>
        <v/>
      </c>
      <c r="M181" s="91" t="str">
        <f>IF([1]Template!C210&lt;&gt;0,[1]Template!C210,"")</f>
        <v/>
      </c>
      <c r="N181" s="91" t="str">
        <f>IF(I181&lt;&gt;"",[1]Template!$D$14,"")</f>
        <v/>
      </c>
      <c r="O181" s="91" t="str">
        <f>IF(I181&lt;&gt;"",[1]Template!F210,"")</f>
        <v/>
      </c>
    </row>
    <row r="182" spans="9:15" x14ac:dyDescent="0.25">
      <c r="I182" s="91" t="str">
        <f>IF([1]Template!G211&gt;0,40,IF([1]Template!H211&gt;0,50,""))</f>
        <v/>
      </c>
      <c r="J182" s="91" t="str">
        <f>IF([1]Template!B211&lt;&gt;0,[1]Template!B211,"")</f>
        <v/>
      </c>
      <c r="K182" s="142" t="str">
        <f>IF([1]Template!G211&gt;0,[1]Template!G211,"")</f>
        <v/>
      </c>
      <c r="L182" s="142" t="str">
        <f>IF([1]Template!H211&gt;0,[1]Template!H211,"")</f>
        <v/>
      </c>
      <c r="M182" s="91" t="str">
        <f>IF([1]Template!C211&lt;&gt;0,[1]Template!C211,"")</f>
        <v/>
      </c>
      <c r="N182" s="91" t="str">
        <f>IF(I182&lt;&gt;"",[1]Template!$D$14,"")</f>
        <v/>
      </c>
      <c r="O182" s="91" t="str">
        <f>IF(I182&lt;&gt;"",[1]Template!F211,"")</f>
        <v/>
      </c>
    </row>
    <row r="183" spans="9:15" x14ac:dyDescent="0.25">
      <c r="I183" s="91" t="str">
        <f>IF([1]Template!G212&gt;0,40,IF([1]Template!H212&gt;0,50,""))</f>
        <v/>
      </c>
      <c r="J183" s="91" t="str">
        <f>IF([1]Template!B212&lt;&gt;0,[1]Template!B212,"")</f>
        <v/>
      </c>
      <c r="K183" s="142" t="str">
        <f>IF([1]Template!G212&gt;0,[1]Template!G212,"")</f>
        <v/>
      </c>
      <c r="L183" s="142" t="str">
        <f>IF([1]Template!H212&gt;0,[1]Template!H212,"")</f>
        <v/>
      </c>
      <c r="M183" s="91" t="str">
        <f>IF([1]Template!C212&lt;&gt;0,[1]Template!C212,"")</f>
        <v/>
      </c>
      <c r="N183" s="91" t="str">
        <f>IF(I183&lt;&gt;"",[1]Template!$D$14,"")</f>
        <v/>
      </c>
      <c r="O183" s="91" t="str">
        <f>IF(I183&lt;&gt;"",[1]Template!F212,"")</f>
        <v/>
      </c>
    </row>
    <row r="184" spans="9:15" x14ac:dyDescent="0.25">
      <c r="I184" s="91" t="str">
        <f>IF([1]Template!G213&gt;0,40,IF([1]Template!H213&gt;0,50,""))</f>
        <v/>
      </c>
      <c r="J184" s="91" t="str">
        <f>IF([1]Template!B213&lt;&gt;0,[1]Template!B213,"")</f>
        <v/>
      </c>
      <c r="K184" s="142" t="str">
        <f>IF([1]Template!G213&gt;0,[1]Template!G213,"")</f>
        <v/>
      </c>
      <c r="L184" s="142" t="str">
        <f>IF([1]Template!H213&gt;0,[1]Template!H213,"")</f>
        <v/>
      </c>
      <c r="M184" s="91" t="str">
        <f>IF([1]Template!C213&lt;&gt;0,[1]Template!C213,"")</f>
        <v/>
      </c>
      <c r="N184" s="91" t="str">
        <f>IF(I184&lt;&gt;"",[1]Template!$D$14,"")</f>
        <v/>
      </c>
      <c r="O184" s="91" t="str">
        <f>IF(I184&lt;&gt;"",[1]Template!F213,"")</f>
        <v/>
      </c>
    </row>
    <row r="185" spans="9:15" x14ac:dyDescent="0.25">
      <c r="I185" s="91" t="str">
        <f>IF([1]Template!G214&gt;0,40,IF([1]Template!H214&gt;0,50,""))</f>
        <v/>
      </c>
      <c r="J185" s="91" t="str">
        <f>IF([1]Template!B214&lt;&gt;0,[1]Template!B214,"")</f>
        <v/>
      </c>
      <c r="K185" s="142" t="str">
        <f>IF([1]Template!G214&gt;0,[1]Template!G214,"")</f>
        <v/>
      </c>
      <c r="L185" s="142" t="str">
        <f>IF([1]Template!H214&gt;0,[1]Template!H214,"")</f>
        <v/>
      </c>
      <c r="M185" s="91" t="str">
        <f>IF([1]Template!C214&lt;&gt;0,[1]Template!C214,"")</f>
        <v/>
      </c>
      <c r="N185" s="91" t="str">
        <f>IF(I185&lt;&gt;"",[1]Template!$D$14,"")</f>
        <v/>
      </c>
      <c r="O185" s="91" t="str">
        <f>IF(I185&lt;&gt;"",[1]Template!F214,"")</f>
        <v/>
      </c>
    </row>
    <row r="186" spans="9:15" x14ac:dyDescent="0.25">
      <c r="I186" s="91" t="str">
        <f>IF([1]Template!G215&gt;0,40,IF([1]Template!H215&gt;0,50,""))</f>
        <v/>
      </c>
      <c r="J186" s="91" t="str">
        <f>IF([1]Template!B215&lt;&gt;0,[1]Template!B215,"")</f>
        <v/>
      </c>
      <c r="K186" s="142" t="str">
        <f>IF([1]Template!G215&gt;0,[1]Template!G215,"")</f>
        <v/>
      </c>
      <c r="L186" s="142" t="str">
        <f>IF([1]Template!H215&gt;0,[1]Template!H215,"")</f>
        <v/>
      </c>
      <c r="M186" s="91" t="str">
        <f>IF([1]Template!C215&lt;&gt;0,[1]Template!C215,"")</f>
        <v/>
      </c>
      <c r="N186" s="91" t="str">
        <f>IF(I186&lt;&gt;"",[1]Template!$D$14,"")</f>
        <v/>
      </c>
      <c r="O186" s="91" t="str">
        <f>IF(I186&lt;&gt;"",[1]Template!F215,"")</f>
        <v/>
      </c>
    </row>
    <row r="187" spans="9:15" x14ac:dyDescent="0.25">
      <c r="I187" s="91" t="str">
        <f>IF([1]Template!G216&gt;0,40,IF([1]Template!H216&gt;0,50,""))</f>
        <v/>
      </c>
      <c r="J187" s="91" t="str">
        <f>IF([1]Template!B216&lt;&gt;0,[1]Template!B216,"")</f>
        <v/>
      </c>
      <c r="K187" s="142" t="str">
        <f>IF([1]Template!G216&gt;0,[1]Template!G216,"")</f>
        <v/>
      </c>
      <c r="L187" s="142" t="str">
        <f>IF([1]Template!H216&gt;0,[1]Template!H216,"")</f>
        <v/>
      </c>
      <c r="M187" s="91" t="str">
        <f>IF([1]Template!C216&lt;&gt;0,[1]Template!C216,"")</f>
        <v/>
      </c>
      <c r="N187" s="91" t="str">
        <f>IF(I187&lt;&gt;"",[1]Template!$D$14,"")</f>
        <v/>
      </c>
      <c r="O187" s="91" t="str">
        <f>IF(I187&lt;&gt;"",[1]Template!F216,"")</f>
        <v/>
      </c>
    </row>
    <row r="188" spans="9:15" x14ac:dyDescent="0.25">
      <c r="I188" s="91" t="str">
        <f>IF([1]Template!G217&gt;0,40,IF([1]Template!H217&gt;0,50,""))</f>
        <v/>
      </c>
      <c r="J188" s="91" t="str">
        <f>IF([1]Template!B217&lt;&gt;0,[1]Template!B217,"")</f>
        <v/>
      </c>
      <c r="K188" s="142" t="str">
        <f>IF([1]Template!G217&gt;0,[1]Template!G217,"")</f>
        <v/>
      </c>
      <c r="L188" s="142" t="str">
        <f>IF([1]Template!H217&gt;0,[1]Template!H217,"")</f>
        <v/>
      </c>
      <c r="M188" s="91" t="str">
        <f>IF([1]Template!C217&lt;&gt;0,[1]Template!C217,"")</f>
        <v/>
      </c>
      <c r="N188" s="91" t="str">
        <f>IF(I188&lt;&gt;"",[1]Template!$D$14,"")</f>
        <v/>
      </c>
      <c r="O188" s="91" t="str">
        <f>IF(I188&lt;&gt;"",[1]Template!F217,"")</f>
        <v/>
      </c>
    </row>
    <row r="189" spans="9:15" x14ac:dyDescent="0.25">
      <c r="I189" s="91" t="str">
        <f>IF([1]Template!G218&gt;0,40,IF([1]Template!H218&gt;0,50,""))</f>
        <v/>
      </c>
      <c r="J189" s="91" t="str">
        <f>IF([1]Template!B218&lt;&gt;0,[1]Template!B218,"")</f>
        <v/>
      </c>
      <c r="K189" s="142" t="str">
        <f>IF([1]Template!G218&gt;0,[1]Template!G218,"")</f>
        <v/>
      </c>
      <c r="L189" s="142" t="str">
        <f>IF([1]Template!H218&gt;0,[1]Template!H218,"")</f>
        <v/>
      </c>
      <c r="M189" s="91" t="str">
        <f>IF([1]Template!C218&lt;&gt;0,[1]Template!C218,"")</f>
        <v/>
      </c>
      <c r="N189" s="91" t="str">
        <f>IF(I189&lt;&gt;"",[1]Template!$D$14,"")</f>
        <v/>
      </c>
      <c r="O189" s="91" t="str">
        <f>IF(I189&lt;&gt;"",[1]Template!F218,"")</f>
        <v/>
      </c>
    </row>
    <row r="190" spans="9:15" x14ac:dyDescent="0.25">
      <c r="I190" s="91" t="str">
        <f>IF([1]Template!G255&gt;0,40,IF([1]Template!H258&gt;0,50,""))</f>
        <v/>
      </c>
      <c r="J190" s="91" t="str">
        <f>IF([1]Template!B258&lt;&gt;0,[1]Template!B258,"")</f>
        <v/>
      </c>
      <c r="K190" s="142" t="str">
        <f>IF([1]Template!G255&gt;0,[1]Template!G255,"")</f>
        <v/>
      </c>
      <c r="L190" s="142" t="str">
        <f>IF([1]Template!H258&gt;0,[1]Template!H258,"")</f>
        <v/>
      </c>
      <c r="M190" s="91" t="str">
        <f>IF([1]Template!C258&lt;&gt;0,[1]Template!C258,"")</f>
        <v/>
      </c>
      <c r="N190" s="91" t="str">
        <f>IF(I190&lt;&gt;"",[1]Template!$D$14,"")</f>
        <v/>
      </c>
      <c r="O190" s="91" t="str">
        <f>IF(I190&lt;&gt;"",[1]Template!F258,"")</f>
        <v/>
      </c>
    </row>
    <row r="191" spans="9:15" x14ac:dyDescent="0.25">
      <c r="I191" s="91" t="str">
        <f>IF([1]Template!G256&gt;0,40,IF([1]Template!H259&gt;0,50,""))</f>
        <v/>
      </c>
      <c r="J191" s="91" t="str">
        <f>IF([1]Template!B259&lt;&gt;0,[1]Template!B259,"")</f>
        <v/>
      </c>
      <c r="K191" s="142" t="str">
        <f>IF([1]Template!G256&gt;0,[1]Template!G256,"")</f>
        <v/>
      </c>
      <c r="L191" s="142" t="str">
        <f>IF([1]Template!H259&gt;0,[1]Template!H259,"")</f>
        <v/>
      </c>
      <c r="M191" s="91" t="str">
        <f>IF([1]Template!C259&lt;&gt;0,[1]Template!C259,"")</f>
        <v/>
      </c>
      <c r="N191" s="91" t="str">
        <f>IF(I191&lt;&gt;"",[1]Template!$D$14,"")</f>
        <v/>
      </c>
      <c r="O191" s="91" t="str">
        <f>IF(I191&lt;&gt;"",[1]Template!F259,"")</f>
        <v/>
      </c>
    </row>
    <row r="192" spans="9:15" x14ac:dyDescent="0.25">
      <c r="I192" s="91" t="str">
        <f>IF([1]Template!G257&gt;0,40,IF([1]Template!H260&gt;0,50,""))</f>
        <v/>
      </c>
      <c r="J192" s="91" t="str">
        <f>IF([1]Template!B260&lt;&gt;0,[1]Template!B260,"")</f>
        <v/>
      </c>
      <c r="K192" s="142" t="str">
        <f>IF([1]Template!G257&gt;0,[1]Template!G257,"")</f>
        <v/>
      </c>
      <c r="L192" s="142" t="str">
        <f>IF([1]Template!H260&gt;0,[1]Template!H260,"")</f>
        <v/>
      </c>
      <c r="M192" s="91" t="str">
        <f>IF([1]Template!C260&lt;&gt;0,[1]Template!C260,"")</f>
        <v/>
      </c>
      <c r="N192" s="91" t="str">
        <f>IF(I192&lt;&gt;"",[1]Template!$D$14,"")</f>
        <v/>
      </c>
      <c r="O192" s="91" t="str">
        <f>IF(I192&lt;&gt;"",[1]Template!F260,"")</f>
        <v/>
      </c>
    </row>
    <row r="193" spans="9:15" x14ac:dyDescent="0.25">
      <c r="I193" s="91" t="str">
        <f>IF([1]Template!G258&gt;0,40,IF([1]Template!H261&gt;0,50,""))</f>
        <v/>
      </c>
      <c r="J193" s="91" t="str">
        <f>IF([1]Template!B261&lt;&gt;0,[1]Template!B261,"")</f>
        <v/>
      </c>
      <c r="K193" s="142" t="str">
        <f>IF([1]Template!G258&gt;0,[1]Template!G258,"")</f>
        <v/>
      </c>
      <c r="L193" s="142" t="str">
        <f>IF([1]Template!H261&gt;0,[1]Template!H261,"")</f>
        <v/>
      </c>
      <c r="M193" s="91" t="str">
        <f>IF([1]Template!C261&lt;&gt;0,[1]Template!C261,"")</f>
        <v/>
      </c>
      <c r="N193" s="91" t="str">
        <f>IF(I193&lt;&gt;"",[1]Template!$D$14,"")</f>
        <v/>
      </c>
      <c r="O193" s="91" t="str">
        <f>IF(I193&lt;&gt;"",[1]Template!F261,"")</f>
        <v/>
      </c>
    </row>
    <row r="194" spans="9:15" x14ac:dyDescent="0.25">
      <c r="I194" s="91" t="str">
        <f>IF([1]Template!G259&gt;0,40,IF([1]Template!H262&gt;0,50,""))</f>
        <v/>
      </c>
      <c r="J194" s="91" t="str">
        <f>IF([1]Template!B262&lt;&gt;0,[1]Template!B262,"")</f>
        <v/>
      </c>
      <c r="K194" s="142" t="str">
        <f>IF([1]Template!G259&gt;0,[1]Template!G259,"")</f>
        <v/>
      </c>
      <c r="L194" s="142" t="str">
        <f>IF([1]Template!H262&gt;0,[1]Template!H262,"")</f>
        <v/>
      </c>
      <c r="M194" s="91" t="str">
        <f>IF([1]Template!C262&lt;&gt;0,[1]Template!C262,"")</f>
        <v/>
      </c>
      <c r="N194" s="91" t="str">
        <f>IF(I194&lt;&gt;"",[1]Template!$D$14,"")</f>
        <v/>
      </c>
      <c r="O194" s="91" t="str">
        <f>IF(I194&lt;&gt;"",[1]Template!F262,"")</f>
        <v/>
      </c>
    </row>
    <row r="195" spans="9:15" x14ac:dyDescent="0.25">
      <c r="I195" s="91" t="str">
        <f>IF([1]Template!G260&gt;0,40,IF([1]Template!H263&gt;0,50,""))</f>
        <v/>
      </c>
      <c r="J195" s="91" t="str">
        <f>IF([1]Template!B263&lt;&gt;0,[1]Template!B263,"")</f>
        <v/>
      </c>
      <c r="K195" s="142" t="str">
        <f>IF([1]Template!G260&gt;0,[1]Template!G260,"")</f>
        <v/>
      </c>
      <c r="L195" s="142" t="str">
        <f>IF([1]Template!H263&gt;0,[1]Template!H263,"")</f>
        <v/>
      </c>
      <c r="M195" s="91" t="str">
        <f>IF([1]Template!C263&lt;&gt;0,[1]Template!C263,"")</f>
        <v/>
      </c>
      <c r="N195" s="91" t="str">
        <f>IF(I195&lt;&gt;"",[1]Template!$D$14,"")</f>
        <v/>
      </c>
      <c r="O195" s="91" t="str">
        <f>IF(I195&lt;&gt;"",[1]Template!F263,"")</f>
        <v/>
      </c>
    </row>
    <row r="196" spans="9:15" x14ac:dyDescent="0.25">
      <c r="I196" s="91" t="str">
        <f>IF([1]Template!G261&gt;0,40,IF([1]Template!H264&gt;0,50,""))</f>
        <v/>
      </c>
      <c r="J196" s="91" t="str">
        <f>IF([1]Template!B264&lt;&gt;0,[1]Template!B264,"")</f>
        <v/>
      </c>
      <c r="K196" s="142" t="str">
        <f>IF([1]Template!G261&gt;0,[1]Template!G261,"")</f>
        <v/>
      </c>
      <c r="L196" s="142" t="str">
        <f>IF([1]Template!H264&gt;0,[1]Template!H264,"")</f>
        <v/>
      </c>
      <c r="M196" s="91" t="str">
        <f>IF([1]Template!C264&lt;&gt;0,[1]Template!C264,"")</f>
        <v/>
      </c>
      <c r="N196" s="91" t="str">
        <f>IF(I196&lt;&gt;"",[1]Template!$D$14,"")</f>
        <v/>
      </c>
      <c r="O196" s="91" t="str">
        <f>IF(I196&lt;&gt;"",[1]Template!F264,"")</f>
        <v/>
      </c>
    </row>
    <row r="197" spans="9:15" x14ac:dyDescent="0.25">
      <c r="I197" s="91" t="str">
        <f>IF([1]Template!G262&gt;0,40,IF([1]Template!H265&gt;0,50,""))</f>
        <v/>
      </c>
      <c r="J197" s="91" t="str">
        <f>IF([1]Template!B265&lt;&gt;0,[1]Template!B265,"")</f>
        <v/>
      </c>
      <c r="K197" s="142" t="str">
        <f>IF([1]Template!G262&gt;0,[1]Template!G262,"")</f>
        <v/>
      </c>
      <c r="L197" s="142" t="str">
        <f>IF([1]Template!H265&gt;0,[1]Template!H265,"")</f>
        <v/>
      </c>
      <c r="M197" s="91" t="str">
        <f>IF([1]Template!C265&lt;&gt;0,[1]Template!C265,"")</f>
        <v/>
      </c>
      <c r="N197" s="91" t="str">
        <f>IF(I197&lt;&gt;"",[1]Template!$D$14,"")</f>
        <v/>
      </c>
      <c r="O197" s="91" t="str">
        <f>IF(I197&lt;&gt;"",[1]Template!F265,"")</f>
        <v/>
      </c>
    </row>
    <row r="198" spans="9:15" x14ac:dyDescent="0.25">
      <c r="I198" s="91" t="str">
        <f>IF([1]Template!G263&gt;0,40,IF([1]Template!H266&gt;0,50,""))</f>
        <v/>
      </c>
      <c r="J198" s="91" t="str">
        <f>IF([1]Template!B266&lt;&gt;0,[1]Template!B266,"")</f>
        <v/>
      </c>
      <c r="K198" s="142" t="str">
        <f>IF([1]Template!G263&gt;0,[1]Template!G263,"")</f>
        <v/>
      </c>
      <c r="L198" s="142" t="str">
        <f>IF([1]Template!H266&gt;0,[1]Template!H266,"")</f>
        <v/>
      </c>
      <c r="M198" s="91" t="str">
        <f>IF([1]Template!C266&lt;&gt;0,[1]Template!C266,"")</f>
        <v/>
      </c>
      <c r="N198" s="91" t="str">
        <f>IF(I198&lt;&gt;"",[1]Template!$D$14,"")</f>
        <v/>
      </c>
      <c r="O198" s="91" t="str">
        <f>IF(I198&lt;&gt;"",[1]Template!F266,"")</f>
        <v/>
      </c>
    </row>
    <row r="199" spans="9:15" x14ac:dyDescent="0.25">
      <c r="I199" s="91" t="str">
        <f>IF([1]Template!G264&gt;0,40,IF([1]Template!H267&gt;0,50,""))</f>
        <v/>
      </c>
      <c r="J199" s="91" t="str">
        <f>IF([1]Template!B267&lt;&gt;0,[1]Template!B267,"")</f>
        <v/>
      </c>
      <c r="K199" s="142" t="str">
        <f>IF([1]Template!G264&gt;0,[1]Template!G264,"")</f>
        <v/>
      </c>
      <c r="L199" s="142" t="str">
        <f>IF([1]Template!H267&gt;0,[1]Template!H267,"")</f>
        <v/>
      </c>
      <c r="M199" s="91" t="str">
        <f>IF([1]Template!C267&lt;&gt;0,[1]Template!C267,"")</f>
        <v/>
      </c>
      <c r="N199" s="91" t="str">
        <f>IF(I199&lt;&gt;"",[1]Template!$D$14,"")</f>
        <v/>
      </c>
      <c r="O199" s="91" t="str">
        <f>IF(I199&lt;&gt;"",[1]Template!F267,"")</f>
        <v/>
      </c>
    </row>
    <row r="200" spans="9:15" x14ac:dyDescent="0.25">
      <c r="I200" s="91" t="str">
        <f>IF([1]Template!G265&gt;0,40,IF([1]Template!H268&gt;0,50,""))</f>
        <v/>
      </c>
      <c r="J200" s="91" t="str">
        <f>IF([1]Template!B268&lt;&gt;0,[1]Template!B268,"")</f>
        <v/>
      </c>
      <c r="K200" s="142" t="str">
        <f>IF([1]Template!G265&gt;0,[1]Template!G265,"")</f>
        <v/>
      </c>
      <c r="L200" s="142" t="str">
        <f>IF([1]Template!H268&gt;0,[1]Template!H268,"")</f>
        <v/>
      </c>
      <c r="M200" s="91" t="str">
        <f>IF([1]Template!C268&lt;&gt;0,[1]Template!C268,"")</f>
        <v/>
      </c>
      <c r="N200" s="91" t="str">
        <f>IF(I200&lt;&gt;"",[1]Template!$D$14,"")</f>
        <v/>
      </c>
      <c r="O200" s="91" t="str">
        <f>IF(I200&lt;&gt;"",[1]Template!F268,"")</f>
        <v/>
      </c>
    </row>
    <row r="201" spans="9:15" x14ac:dyDescent="0.25">
      <c r="I201" s="91" t="str">
        <f>IF([1]Template!G266&gt;0,40,IF([1]Template!H269&gt;0,50,""))</f>
        <v/>
      </c>
      <c r="J201" s="91" t="str">
        <f>IF([1]Template!B269&lt;&gt;0,[1]Template!B269,"")</f>
        <v/>
      </c>
      <c r="K201" s="142" t="str">
        <f>IF([1]Template!G266&gt;0,[1]Template!G266,"")</f>
        <v/>
      </c>
      <c r="L201" s="142" t="str">
        <f>IF([1]Template!H269&gt;0,[1]Template!H269,"")</f>
        <v/>
      </c>
      <c r="M201" s="91" t="str">
        <f>IF([1]Template!C269&lt;&gt;0,[1]Template!C269,"")</f>
        <v/>
      </c>
      <c r="N201" s="91" t="str">
        <f>IF(I201&lt;&gt;"",[1]Template!$D$14,"")</f>
        <v/>
      </c>
      <c r="O201" s="91" t="str">
        <f>IF(I201&lt;&gt;"",[1]Template!F269,"")</f>
        <v/>
      </c>
    </row>
    <row r="202" spans="9:15" x14ac:dyDescent="0.25">
      <c r="I202" s="91" t="str">
        <f>IF([1]Template!G267&gt;0,40,IF([1]Template!H270&gt;0,50,""))</f>
        <v/>
      </c>
      <c r="J202" s="91" t="str">
        <f>IF([1]Template!B270&lt;&gt;0,[1]Template!B270,"")</f>
        <v/>
      </c>
      <c r="K202" s="142" t="str">
        <f>IF([1]Template!G267&gt;0,[1]Template!G267,"")</f>
        <v/>
      </c>
      <c r="L202" s="142" t="str">
        <f>IF([1]Template!H270&gt;0,[1]Template!H270,"")</f>
        <v/>
      </c>
      <c r="M202" s="91" t="str">
        <f>IF([1]Template!C270&lt;&gt;0,[1]Template!C270,"")</f>
        <v/>
      </c>
      <c r="N202" s="91" t="str">
        <f>IF(I202&lt;&gt;"",[1]Template!$D$14,"")</f>
        <v/>
      </c>
      <c r="O202" s="91" t="str">
        <f>IF(I202&lt;&gt;"",[1]Template!F270,"")</f>
        <v/>
      </c>
    </row>
    <row r="203" spans="9:15" x14ac:dyDescent="0.25">
      <c r="I203" s="91" t="str">
        <f>IF([1]Template!G268&gt;0,40,IF([1]Template!H271&gt;0,50,""))</f>
        <v/>
      </c>
      <c r="J203" s="91" t="str">
        <f>IF([1]Template!B271&lt;&gt;0,[1]Template!B271,"")</f>
        <v/>
      </c>
      <c r="K203" s="142" t="str">
        <f>IF([1]Template!G268&gt;0,[1]Template!G268,"")</f>
        <v/>
      </c>
      <c r="L203" s="142" t="str">
        <f>IF([1]Template!H271&gt;0,[1]Template!H271,"")</f>
        <v/>
      </c>
      <c r="M203" s="91" t="str">
        <f>IF([1]Template!C271&lt;&gt;0,[1]Template!C271,"")</f>
        <v/>
      </c>
      <c r="N203" s="91" t="str">
        <f>IF(I203&lt;&gt;"",[1]Template!$D$14,"")</f>
        <v/>
      </c>
      <c r="O203" s="91" t="str">
        <f>IF(I203&lt;&gt;"",[1]Template!F271,"")</f>
        <v/>
      </c>
    </row>
    <row r="204" spans="9:15" x14ac:dyDescent="0.25">
      <c r="I204" s="91" t="str">
        <f>IF([1]Template!G269&gt;0,40,IF([1]Template!H272&gt;0,50,""))</f>
        <v/>
      </c>
      <c r="J204" s="91" t="str">
        <f>IF([1]Template!B272&lt;&gt;0,[1]Template!B272,"")</f>
        <v/>
      </c>
      <c r="K204" s="142" t="str">
        <f>IF([1]Template!G269&gt;0,[1]Template!G269,"")</f>
        <v/>
      </c>
      <c r="L204" s="142" t="str">
        <f>IF([1]Template!H272&gt;0,[1]Template!H272,"")</f>
        <v/>
      </c>
      <c r="M204" s="91" t="str">
        <f>IF([1]Template!C272&lt;&gt;0,[1]Template!C272,"")</f>
        <v/>
      </c>
      <c r="N204" s="91" t="str">
        <f>IF(I204&lt;&gt;"",[1]Template!$D$14,"")</f>
        <v/>
      </c>
      <c r="O204" s="91" t="str">
        <f>IF(I204&lt;&gt;"",[1]Template!F272,"")</f>
        <v/>
      </c>
    </row>
    <row r="205" spans="9:15" x14ac:dyDescent="0.25">
      <c r="I205" s="91" t="str">
        <f>IF([1]Template!G270&gt;0,40,IF([1]Template!H273&gt;0,50,""))</f>
        <v/>
      </c>
      <c r="J205" s="91" t="str">
        <f>IF([1]Template!B273&lt;&gt;0,[1]Template!B273,"")</f>
        <v/>
      </c>
      <c r="K205" s="142" t="str">
        <f>IF([1]Template!G270&gt;0,[1]Template!G270,"")</f>
        <v/>
      </c>
      <c r="L205" s="142" t="str">
        <f>IF([1]Template!H273&gt;0,[1]Template!H273,"")</f>
        <v/>
      </c>
      <c r="M205" s="91" t="str">
        <f>IF([1]Template!C273&lt;&gt;0,[1]Template!C273,"")</f>
        <v/>
      </c>
      <c r="N205" s="91" t="str">
        <f>IF(I205&lt;&gt;"",[1]Template!$D$14,"")</f>
        <v/>
      </c>
      <c r="O205" s="91" t="str">
        <f>IF(I205&lt;&gt;"",[1]Template!F273,"")</f>
        <v/>
      </c>
    </row>
    <row r="206" spans="9:15" x14ac:dyDescent="0.25">
      <c r="I206" s="91" t="str">
        <f>IF([1]Template!G271&gt;0,40,IF([1]Template!H274&gt;0,50,""))</f>
        <v/>
      </c>
      <c r="J206" s="91" t="str">
        <f>IF([1]Template!B274&lt;&gt;0,[1]Template!B274,"")</f>
        <v/>
      </c>
      <c r="K206" s="142" t="str">
        <f>IF([1]Template!G271&gt;0,[1]Template!G271,"")</f>
        <v/>
      </c>
      <c r="L206" s="142" t="str">
        <f>IF([1]Template!H274&gt;0,[1]Template!H274,"")</f>
        <v/>
      </c>
      <c r="M206" s="91" t="str">
        <f>IF([1]Template!C274&lt;&gt;0,[1]Template!C274,"")</f>
        <v/>
      </c>
      <c r="N206" s="91" t="str">
        <f>IF(I206&lt;&gt;"",[1]Template!$D$14,"")</f>
        <v/>
      </c>
      <c r="O206" s="91" t="str">
        <f>IF(I206&lt;&gt;"",[1]Template!F274,"")</f>
        <v/>
      </c>
    </row>
    <row r="207" spans="9:15" x14ac:dyDescent="0.25">
      <c r="I207" s="91" t="str">
        <f>IF([1]Template!G272&gt;0,40,IF([1]Template!H275&gt;0,50,""))</f>
        <v/>
      </c>
      <c r="J207" s="91" t="str">
        <f>IF([1]Template!B275&lt;&gt;0,[1]Template!B275,"")</f>
        <v/>
      </c>
      <c r="K207" s="142" t="str">
        <f>IF([1]Template!G272&gt;0,[1]Template!G272,"")</f>
        <v/>
      </c>
      <c r="L207" s="142" t="str">
        <f>IF([1]Template!H275&gt;0,[1]Template!H275,"")</f>
        <v/>
      </c>
      <c r="M207" s="91" t="str">
        <f>IF([1]Template!C275&lt;&gt;0,[1]Template!C275,"")</f>
        <v/>
      </c>
      <c r="N207" s="91" t="str">
        <f>IF(I207&lt;&gt;"",[1]Template!$D$14,"")</f>
        <v/>
      </c>
      <c r="O207" s="91" t="str">
        <f>IF(I207&lt;&gt;"",[1]Template!F275,"")</f>
        <v/>
      </c>
    </row>
    <row r="208" spans="9:15" x14ac:dyDescent="0.25">
      <c r="I208" s="91" t="str">
        <f>IF([1]Template!G273&gt;0,40,IF([1]Template!H276&gt;0,50,""))</f>
        <v/>
      </c>
      <c r="J208" s="91" t="str">
        <f>IF([1]Template!B276&lt;&gt;0,[1]Template!B276,"")</f>
        <v/>
      </c>
      <c r="K208" s="142" t="str">
        <f>IF([1]Template!G273&gt;0,[1]Template!G273,"")</f>
        <v/>
      </c>
      <c r="L208" s="142" t="str">
        <f>IF([1]Template!H276&gt;0,[1]Template!H276,"")</f>
        <v/>
      </c>
      <c r="M208" s="91" t="str">
        <f>IF([1]Template!C276&lt;&gt;0,[1]Template!C276,"")</f>
        <v/>
      </c>
      <c r="N208" s="91" t="str">
        <f>IF(I208&lt;&gt;"",[1]Template!$D$14,"")</f>
        <v/>
      </c>
      <c r="O208" s="91" t="str">
        <f>IF(I208&lt;&gt;"",[1]Template!F276,"")</f>
        <v/>
      </c>
    </row>
    <row r="209" spans="9:15" x14ac:dyDescent="0.25">
      <c r="I209" s="91" t="str">
        <f>IF([1]Template!G274&gt;0,40,IF([1]Template!H277&gt;0,50,""))</f>
        <v/>
      </c>
      <c r="J209" s="91" t="str">
        <f>IF([1]Template!B277&lt;&gt;0,[1]Template!B277,"")</f>
        <v/>
      </c>
      <c r="K209" s="142" t="str">
        <f>IF([1]Template!G274&gt;0,[1]Template!G274,"")</f>
        <v/>
      </c>
      <c r="L209" s="142" t="str">
        <f>IF([1]Template!H277&gt;0,[1]Template!H277,"")</f>
        <v/>
      </c>
      <c r="M209" s="91" t="str">
        <f>IF([1]Template!C277&lt;&gt;0,[1]Template!C277,"")</f>
        <v/>
      </c>
      <c r="N209" s="91" t="str">
        <f>IF(I209&lt;&gt;"",[1]Template!$D$14,"")</f>
        <v/>
      </c>
      <c r="O209" s="91" t="str">
        <f>IF(I209&lt;&gt;"",[1]Template!F277,"")</f>
        <v/>
      </c>
    </row>
    <row r="210" spans="9:15" x14ac:dyDescent="0.25">
      <c r="I210" s="91" t="str">
        <f>IF([1]Template!G275&gt;0,40,IF([1]Template!H278&gt;0,50,""))</f>
        <v/>
      </c>
      <c r="J210" s="91" t="str">
        <f>IF([1]Template!B278&lt;&gt;0,[1]Template!B278,"")</f>
        <v/>
      </c>
      <c r="K210" s="142" t="str">
        <f>IF([1]Template!G275&gt;0,[1]Template!G275,"")</f>
        <v/>
      </c>
      <c r="L210" s="142" t="str">
        <f>IF([1]Template!H278&gt;0,[1]Template!H278,"")</f>
        <v/>
      </c>
      <c r="M210" s="91" t="str">
        <f>IF([1]Template!C278&lt;&gt;0,[1]Template!C278,"")</f>
        <v/>
      </c>
      <c r="N210" s="91" t="str">
        <f>IF(I210&lt;&gt;"",[1]Template!$D$14,"")</f>
        <v/>
      </c>
      <c r="O210" s="91" t="str">
        <f>IF(I210&lt;&gt;"",[1]Template!F278,"")</f>
        <v/>
      </c>
    </row>
    <row r="211" spans="9:15" x14ac:dyDescent="0.25">
      <c r="I211" s="91" t="str">
        <f>IF([1]Template!G276&gt;0,40,IF([1]Template!H279&gt;0,50,""))</f>
        <v/>
      </c>
      <c r="J211" s="91" t="str">
        <f>IF([1]Template!B279&lt;&gt;0,[1]Template!B279,"")</f>
        <v/>
      </c>
      <c r="K211" s="142" t="str">
        <f>IF([1]Template!G276&gt;0,[1]Template!G276,"")</f>
        <v/>
      </c>
      <c r="L211" s="142" t="str">
        <f>IF([1]Template!H279&gt;0,[1]Template!H279,"")</f>
        <v/>
      </c>
      <c r="M211" s="91" t="str">
        <f>IF([1]Template!C279&lt;&gt;0,[1]Template!C279,"")</f>
        <v/>
      </c>
      <c r="N211" s="91" t="str">
        <f>IF(I211&lt;&gt;"",[1]Template!$D$14,"")</f>
        <v/>
      </c>
      <c r="O211" s="91" t="str">
        <f>IF(I211&lt;&gt;"",[1]Template!F279,"")</f>
        <v/>
      </c>
    </row>
    <row r="212" spans="9:15" x14ac:dyDescent="0.25">
      <c r="I212" s="91" t="str">
        <f>IF([1]Template!G277&gt;0,40,IF([1]Template!H280&gt;0,50,""))</f>
        <v/>
      </c>
      <c r="J212" s="91" t="str">
        <f>IF([1]Template!B280&lt;&gt;0,[1]Template!B280,"")</f>
        <v/>
      </c>
      <c r="K212" s="142" t="str">
        <f>IF([1]Template!G277&gt;0,[1]Template!G277,"")</f>
        <v/>
      </c>
      <c r="L212" s="142" t="str">
        <f>IF([1]Template!H280&gt;0,[1]Template!H280,"")</f>
        <v/>
      </c>
      <c r="M212" s="91" t="str">
        <f>IF([1]Template!C280&lt;&gt;0,[1]Template!C280,"")</f>
        <v/>
      </c>
      <c r="N212" s="91" t="str">
        <f>IF(I212&lt;&gt;"",[1]Template!$D$14,"")</f>
        <v/>
      </c>
      <c r="O212" s="91" t="str">
        <f>IF(I212&lt;&gt;"",[1]Template!F280,"")</f>
        <v/>
      </c>
    </row>
    <row r="213" spans="9:15" x14ac:dyDescent="0.25">
      <c r="I213" s="91" t="str">
        <f>IF([1]Template!G278&gt;0,40,IF([1]Template!H281&gt;0,50,""))</f>
        <v/>
      </c>
      <c r="J213" s="91" t="str">
        <f>IF([1]Template!B281&lt;&gt;0,[1]Template!B281,"")</f>
        <v/>
      </c>
      <c r="K213" s="142" t="str">
        <f>IF([1]Template!G278&gt;0,[1]Template!G278,"")</f>
        <v/>
      </c>
      <c r="L213" s="142" t="str">
        <f>IF([1]Template!H281&gt;0,[1]Template!H281,"")</f>
        <v/>
      </c>
      <c r="M213" s="91" t="str">
        <f>IF([1]Template!C281&lt;&gt;0,[1]Template!C281,"")</f>
        <v/>
      </c>
      <c r="N213" s="91" t="str">
        <f>IF(I213&lt;&gt;"",[1]Template!$D$14,"")</f>
        <v/>
      </c>
      <c r="O213" s="91" t="str">
        <f>IF(I213&lt;&gt;"",[1]Template!F281,"")</f>
        <v/>
      </c>
    </row>
    <row r="214" spans="9:15" x14ac:dyDescent="0.25">
      <c r="I214" s="91" t="str">
        <f>IF([1]Template!G279&gt;0,40,IF([1]Template!H282&gt;0,50,""))</f>
        <v/>
      </c>
      <c r="J214" s="91" t="str">
        <f>IF([1]Template!B282&lt;&gt;0,[1]Template!B282,"")</f>
        <v/>
      </c>
      <c r="K214" s="142" t="str">
        <f>IF([1]Template!G279&gt;0,[1]Template!G279,"")</f>
        <v/>
      </c>
      <c r="L214" s="142" t="str">
        <f>IF([1]Template!H282&gt;0,[1]Template!H282,"")</f>
        <v/>
      </c>
      <c r="M214" s="91" t="str">
        <f>IF([1]Template!C282&lt;&gt;0,[1]Template!C282,"")</f>
        <v/>
      </c>
      <c r="N214" s="91" t="str">
        <f>IF(I214&lt;&gt;"",[1]Template!$D$14,"")</f>
        <v/>
      </c>
      <c r="O214" s="91" t="str">
        <f>IF(I214&lt;&gt;"",[1]Template!F282,"")</f>
        <v/>
      </c>
    </row>
    <row r="215" spans="9:15" x14ac:dyDescent="0.25">
      <c r="I215" s="91" t="str">
        <f>IF([1]Template!G280&gt;0,40,IF([1]Template!H283&gt;0,50,""))</f>
        <v/>
      </c>
      <c r="J215" s="91" t="str">
        <f>IF([1]Template!B283&lt;&gt;0,[1]Template!B283,"")</f>
        <v/>
      </c>
      <c r="K215" s="142" t="str">
        <f>IF([1]Template!G280&gt;0,[1]Template!G280,"")</f>
        <v/>
      </c>
      <c r="L215" s="142" t="str">
        <f>IF([1]Template!H283&gt;0,[1]Template!H283,"")</f>
        <v/>
      </c>
      <c r="M215" s="91" t="str">
        <f>IF([1]Template!C283&lt;&gt;0,[1]Template!C283,"")</f>
        <v/>
      </c>
      <c r="N215" s="91" t="str">
        <f>IF(I215&lt;&gt;"",[1]Template!$D$14,"")</f>
        <v/>
      </c>
      <c r="O215" s="91" t="str">
        <f>IF(I215&lt;&gt;"",[1]Template!F283,"")</f>
        <v/>
      </c>
    </row>
    <row r="216" spans="9:15" x14ac:dyDescent="0.25">
      <c r="I216" s="91" t="str">
        <f>IF([1]Template!G281&gt;0,40,IF([1]Template!H284&gt;0,50,""))</f>
        <v/>
      </c>
      <c r="J216" s="91" t="str">
        <f>IF([1]Template!B284&lt;&gt;0,[1]Template!B284,"")</f>
        <v/>
      </c>
      <c r="K216" s="142" t="str">
        <f>IF([1]Template!G281&gt;0,[1]Template!G281,"")</f>
        <v/>
      </c>
      <c r="L216" s="142" t="str">
        <f>IF([1]Template!H284&gt;0,[1]Template!H284,"")</f>
        <v/>
      </c>
      <c r="M216" s="91" t="str">
        <f>IF([1]Template!C284&lt;&gt;0,[1]Template!C284,"")</f>
        <v/>
      </c>
      <c r="N216" s="91" t="str">
        <f>IF(I216&lt;&gt;"",[1]Template!$D$14,"")</f>
        <v/>
      </c>
      <c r="O216" s="91" t="str">
        <f>IF(I216&lt;&gt;"",[1]Template!F284,"")</f>
        <v/>
      </c>
    </row>
    <row r="217" spans="9:15" x14ac:dyDescent="0.25">
      <c r="I217" s="91" t="str">
        <f>IF([1]Template!G282&gt;0,40,IF([1]Template!H285&gt;0,50,""))</f>
        <v/>
      </c>
      <c r="J217" s="91" t="str">
        <f>IF([1]Template!B285&lt;&gt;0,[1]Template!B285,"")</f>
        <v/>
      </c>
      <c r="K217" s="142" t="str">
        <f>IF([1]Template!G282&gt;0,[1]Template!G282,"")</f>
        <v/>
      </c>
      <c r="L217" s="142" t="str">
        <f>IF([1]Template!H285&gt;0,[1]Template!H285,"")</f>
        <v/>
      </c>
      <c r="M217" s="91" t="str">
        <f>IF([1]Template!C285&lt;&gt;0,[1]Template!C285,"")</f>
        <v/>
      </c>
      <c r="N217" s="91" t="str">
        <f>IF(I217&lt;&gt;"",[1]Template!$D$14,"")</f>
        <v/>
      </c>
      <c r="O217" s="91" t="str">
        <f>IF(I217&lt;&gt;"",[1]Template!F285,"")</f>
        <v/>
      </c>
    </row>
    <row r="218" spans="9:15" x14ac:dyDescent="0.25">
      <c r="I218" s="91" t="str">
        <f>IF([1]Template!G283&gt;0,40,IF([1]Template!H286&gt;0,50,""))</f>
        <v/>
      </c>
      <c r="J218" s="91" t="str">
        <f>IF([1]Template!B286&lt;&gt;0,[1]Template!B286,"")</f>
        <v/>
      </c>
      <c r="K218" s="142" t="str">
        <f>IF([1]Template!G283&gt;0,[1]Template!G283,"")</f>
        <v/>
      </c>
      <c r="L218" s="142" t="str">
        <f>IF([1]Template!H286&gt;0,[1]Template!H286,"")</f>
        <v/>
      </c>
      <c r="M218" s="91" t="str">
        <f>IF([1]Template!C286&lt;&gt;0,[1]Template!C286,"")</f>
        <v/>
      </c>
      <c r="N218" s="91" t="str">
        <f>IF(I218&lt;&gt;"",[1]Template!$D$14,"")</f>
        <v/>
      </c>
      <c r="O218" s="91" t="str">
        <f>IF(I218&lt;&gt;"",[1]Template!F286,"")</f>
        <v/>
      </c>
    </row>
    <row r="219" spans="9:15" x14ac:dyDescent="0.25">
      <c r="I219" s="91" t="str">
        <f>IF([1]Template!G284&gt;0,40,IF([1]Template!H287&gt;0,50,""))</f>
        <v/>
      </c>
      <c r="J219" s="91" t="str">
        <f>IF([1]Template!B287&lt;&gt;0,[1]Template!B287,"")</f>
        <v/>
      </c>
      <c r="K219" s="142" t="str">
        <f>IF([1]Template!G284&gt;0,[1]Template!G284,"")</f>
        <v/>
      </c>
      <c r="L219" s="142" t="str">
        <f>IF([1]Template!H287&gt;0,[1]Template!H287,"")</f>
        <v/>
      </c>
      <c r="M219" s="91" t="str">
        <f>IF([1]Template!C287&lt;&gt;0,[1]Template!C287,"")</f>
        <v/>
      </c>
      <c r="N219" s="91" t="str">
        <f>IF(I219&lt;&gt;"",[1]Template!$D$14,"")</f>
        <v/>
      </c>
      <c r="O219" s="91" t="str">
        <f>IF(I219&lt;&gt;"",[1]Template!F287,"")</f>
        <v/>
      </c>
    </row>
    <row r="220" spans="9:15" x14ac:dyDescent="0.25">
      <c r="I220" s="91" t="str">
        <f>IF([1]Template!G285&gt;0,40,IF([1]Template!H288&gt;0,50,""))</f>
        <v/>
      </c>
      <c r="J220" s="91" t="str">
        <f>IF([1]Template!B288&lt;&gt;0,[1]Template!B288,"")</f>
        <v/>
      </c>
      <c r="K220" s="142" t="str">
        <f>IF([1]Template!G285&gt;0,[1]Template!G285,"")</f>
        <v/>
      </c>
      <c r="L220" s="142" t="str">
        <f>IF([1]Template!H288&gt;0,[1]Template!H288,"")</f>
        <v/>
      </c>
      <c r="M220" s="91" t="str">
        <f>IF([1]Template!C288&lt;&gt;0,[1]Template!C288,"")</f>
        <v/>
      </c>
      <c r="N220" s="91" t="str">
        <f>IF(I220&lt;&gt;"",[1]Template!$D$14,"")</f>
        <v/>
      </c>
      <c r="O220" s="91" t="str">
        <f>IF(I220&lt;&gt;"",[1]Template!F288,"")</f>
        <v/>
      </c>
    </row>
    <row r="221" spans="9:15" x14ac:dyDescent="0.25">
      <c r="I221" s="91" t="str">
        <f>IF([1]Template!G286&gt;0,40,IF([1]Template!H289&gt;0,50,""))</f>
        <v/>
      </c>
      <c r="J221" s="91" t="str">
        <f>IF([1]Template!B289&lt;&gt;0,[1]Template!B289,"")</f>
        <v/>
      </c>
      <c r="K221" s="142" t="str">
        <f>IF([1]Template!G286&gt;0,[1]Template!G286,"")</f>
        <v/>
      </c>
      <c r="L221" s="142" t="str">
        <f>IF([1]Template!H289&gt;0,[1]Template!H289,"")</f>
        <v/>
      </c>
      <c r="M221" s="91" t="str">
        <f>IF([1]Template!C289&lt;&gt;0,[1]Template!C289,"")</f>
        <v/>
      </c>
      <c r="N221" s="91" t="str">
        <f>IF(I221&lt;&gt;"",[1]Template!$D$14,"")</f>
        <v/>
      </c>
      <c r="O221" s="91" t="str">
        <f>IF(I221&lt;&gt;"",[1]Template!F289,"")</f>
        <v/>
      </c>
    </row>
    <row r="222" spans="9:15" x14ac:dyDescent="0.25">
      <c r="I222" s="91" t="str">
        <f>IF([1]Template!G287&gt;0,40,IF([1]Template!H290&gt;0,50,""))</f>
        <v/>
      </c>
      <c r="J222" s="91" t="str">
        <f>IF([1]Template!B290&lt;&gt;0,[1]Template!B290,"")</f>
        <v/>
      </c>
      <c r="K222" s="142" t="str">
        <f>IF([1]Template!G287&gt;0,[1]Template!G287,"")</f>
        <v/>
      </c>
      <c r="L222" s="142" t="str">
        <f>IF([1]Template!H290&gt;0,[1]Template!H290,"")</f>
        <v/>
      </c>
      <c r="M222" s="91" t="str">
        <f>IF([1]Template!C290&lt;&gt;0,[1]Template!C290,"")</f>
        <v/>
      </c>
      <c r="N222" s="91" t="str">
        <f>IF(I222&lt;&gt;"",[1]Template!$D$14,"")</f>
        <v/>
      </c>
      <c r="O222" s="91" t="str">
        <f>IF(I222&lt;&gt;"",[1]Template!F290,"")</f>
        <v/>
      </c>
    </row>
    <row r="223" spans="9:15" x14ac:dyDescent="0.25">
      <c r="I223" s="91" t="str">
        <f>IF([1]Template!G288&gt;0,40,IF([1]Template!H291&gt;0,50,""))</f>
        <v/>
      </c>
      <c r="J223" s="91" t="str">
        <f>IF([1]Template!B291&lt;&gt;0,[1]Template!B291,"")</f>
        <v/>
      </c>
      <c r="K223" s="142" t="str">
        <f>IF([1]Template!G288&gt;0,[1]Template!G288,"")</f>
        <v/>
      </c>
      <c r="L223" s="142" t="str">
        <f>IF([1]Template!H291&gt;0,[1]Template!H291,"")</f>
        <v/>
      </c>
      <c r="M223" s="91" t="str">
        <f>IF([1]Template!C291&lt;&gt;0,[1]Template!C291,"")</f>
        <v/>
      </c>
      <c r="N223" s="91" t="str">
        <f>IF(I223&lt;&gt;"",[1]Template!$D$14,"")</f>
        <v/>
      </c>
      <c r="O223" s="91" t="str">
        <f>IF(I223&lt;&gt;"",[1]Template!F291,"")</f>
        <v/>
      </c>
    </row>
    <row r="224" spans="9:15" x14ac:dyDescent="0.25">
      <c r="I224" s="91" t="str">
        <f>IF([1]Template!G289&gt;0,40,IF([1]Template!H292&gt;0,50,""))</f>
        <v/>
      </c>
      <c r="J224" s="91" t="str">
        <f>IF([1]Template!B292&lt;&gt;0,[1]Template!B292,"")</f>
        <v/>
      </c>
      <c r="K224" s="142" t="str">
        <f>IF([1]Template!G289&gt;0,[1]Template!G289,"")</f>
        <v/>
      </c>
      <c r="L224" s="142" t="str">
        <f>IF([1]Template!H292&gt;0,[1]Template!H292,"")</f>
        <v/>
      </c>
      <c r="M224" s="91" t="str">
        <f>IF([1]Template!C292&lt;&gt;0,[1]Template!C292,"")</f>
        <v/>
      </c>
      <c r="N224" s="91" t="str">
        <f>IF(I224&lt;&gt;"",[1]Template!$D$14,"")</f>
        <v/>
      </c>
      <c r="O224" s="91" t="str">
        <f>IF(I224&lt;&gt;"",[1]Template!F292,"")</f>
        <v/>
      </c>
    </row>
    <row r="225" spans="9:15" x14ac:dyDescent="0.25">
      <c r="I225" s="91" t="str">
        <f>IF([1]Template!G290&gt;0,40,IF([1]Template!H293&gt;0,50,""))</f>
        <v/>
      </c>
      <c r="J225" s="91" t="str">
        <f>IF([1]Template!B293&lt;&gt;0,[1]Template!B293,"")</f>
        <v/>
      </c>
      <c r="K225" s="142" t="str">
        <f>IF([1]Template!G290&gt;0,[1]Template!G290,"")</f>
        <v/>
      </c>
      <c r="L225" s="142" t="str">
        <f>IF([1]Template!H293&gt;0,[1]Template!H293,"")</f>
        <v/>
      </c>
      <c r="M225" s="91" t="str">
        <f>IF([1]Template!C293&lt;&gt;0,[1]Template!C293,"")</f>
        <v/>
      </c>
      <c r="N225" s="91" t="str">
        <f>IF(I225&lt;&gt;"",[1]Template!$D$14,"")</f>
        <v/>
      </c>
      <c r="O225" s="91" t="str">
        <f>IF(I225&lt;&gt;"",[1]Template!F293,"")</f>
        <v/>
      </c>
    </row>
    <row r="226" spans="9:15" x14ac:dyDescent="0.25">
      <c r="I226" s="91" t="str">
        <f>IF([1]Template!G291&gt;0,40,IF([1]Template!H294&gt;0,50,""))</f>
        <v/>
      </c>
      <c r="J226" s="91" t="str">
        <f>IF([1]Template!B294&lt;&gt;0,[1]Template!B294,"")</f>
        <v/>
      </c>
      <c r="K226" s="142" t="str">
        <f>IF([1]Template!G291&gt;0,[1]Template!G291,"")</f>
        <v/>
      </c>
      <c r="L226" s="142" t="str">
        <f>IF([1]Template!H294&gt;0,[1]Template!H294,"")</f>
        <v/>
      </c>
      <c r="M226" s="91" t="str">
        <f>IF([1]Template!C294&lt;&gt;0,[1]Template!C294,"")</f>
        <v/>
      </c>
      <c r="N226" s="91" t="str">
        <f>IF(I226&lt;&gt;"",[1]Template!$D$14,"")</f>
        <v/>
      </c>
      <c r="O226" s="91" t="str">
        <f>IF(I226&lt;&gt;"",[1]Template!F294,"")</f>
        <v/>
      </c>
    </row>
    <row r="227" spans="9:15" x14ac:dyDescent="0.25">
      <c r="I227" s="91" t="str">
        <f>IF([1]Template!G292&gt;0,40,IF([1]Template!H295&gt;0,50,""))</f>
        <v/>
      </c>
      <c r="J227" s="91" t="str">
        <f>IF([1]Template!B295&lt;&gt;0,[1]Template!B295,"")</f>
        <v/>
      </c>
      <c r="K227" s="142" t="str">
        <f>IF([1]Template!G292&gt;0,[1]Template!G292,"")</f>
        <v/>
      </c>
      <c r="L227" s="142" t="str">
        <f>IF([1]Template!H295&gt;0,[1]Template!H295,"")</f>
        <v/>
      </c>
      <c r="M227" s="91" t="str">
        <f>IF([1]Template!C295&lt;&gt;0,[1]Template!C295,"")</f>
        <v/>
      </c>
      <c r="N227" s="91" t="str">
        <f>IF(I227&lt;&gt;"",[1]Template!$D$14,"")</f>
        <v/>
      </c>
      <c r="O227" s="91" t="str">
        <f>IF(I227&lt;&gt;"",[1]Template!F295,"")</f>
        <v/>
      </c>
    </row>
    <row r="228" spans="9:15" x14ac:dyDescent="0.25">
      <c r="I228" s="91" t="str">
        <f>IF([1]Template!G293&gt;0,40,IF([1]Template!H296&gt;0,50,""))</f>
        <v/>
      </c>
      <c r="J228" s="91" t="str">
        <f>IF([1]Template!B296&lt;&gt;0,[1]Template!B296,"")</f>
        <v/>
      </c>
      <c r="K228" s="142" t="str">
        <f>IF([1]Template!G293&gt;0,[1]Template!G293,"")</f>
        <v/>
      </c>
      <c r="L228" s="142" t="str">
        <f>IF([1]Template!H296&gt;0,[1]Template!H296,"")</f>
        <v/>
      </c>
      <c r="M228" s="91" t="str">
        <f>IF([1]Template!C296&lt;&gt;0,[1]Template!C296,"")</f>
        <v/>
      </c>
      <c r="N228" s="91" t="str">
        <f>IF(I228&lt;&gt;"",[1]Template!$D$14,"")</f>
        <v/>
      </c>
      <c r="O228" s="91" t="str">
        <f>IF(I228&lt;&gt;"",[1]Template!F296,"")</f>
        <v/>
      </c>
    </row>
    <row r="229" spans="9:15" x14ac:dyDescent="0.25">
      <c r="I229" s="91" t="str">
        <f>IF([1]Template!G294&gt;0,40,IF([1]Template!H297&gt;0,50,""))</f>
        <v/>
      </c>
      <c r="J229" s="91" t="str">
        <f>IF([1]Template!B297&lt;&gt;0,[1]Template!B297,"")</f>
        <v/>
      </c>
      <c r="K229" s="142" t="str">
        <f>IF([1]Template!G294&gt;0,[1]Template!G294,"")</f>
        <v/>
      </c>
      <c r="L229" s="142" t="str">
        <f>IF([1]Template!H297&gt;0,[1]Template!H297,"")</f>
        <v/>
      </c>
      <c r="M229" s="91" t="str">
        <f>IF([1]Template!C297&lt;&gt;0,[1]Template!C297,"")</f>
        <v/>
      </c>
      <c r="N229" s="91" t="str">
        <f>IF(I229&lt;&gt;"",[1]Template!$D$14,"")</f>
        <v/>
      </c>
      <c r="O229" s="91" t="str">
        <f>IF(I229&lt;&gt;"",[1]Template!F297,"")</f>
        <v/>
      </c>
    </row>
    <row r="230" spans="9:15" x14ac:dyDescent="0.25">
      <c r="I230" s="91" t="str">
        <f>IF([1]Template!G295&gt;0,40,IF([1]Template!H298&gt;0,50,""))</f>
        <v/>
      </c>
      <c r="J230" s="91" t="str">
        <f>IF([1]Template!B298&lt;&gt;0,[1]Template!B298,"")</f>
        <v/>
      </c>
      <c r="K230" s="142" t="str">
        <f>IF([1]Template!G295&gt;0,[1]Template!G295,"")</f>
        <v/>
      </c>
      <c r="L230" s="142" t="str">
        <f>IF([1]Template!H298&gt;0,[1]Template!H298,"")</f>
        <v/>
      </c>
      <c r="M230" s="91" t="str">
        <f>IF([1]Template!C298&lt;&gt;0,[1]Template!C298,"")</f>
        <v/>
      </c>
      <c r="N230" s="91" t="str">
        <f>IF(I230&lt;&gt;"",[1]Template!$D$14,"")</f>
        <v/>
      </c>
      <c r="O230" s="91" t="str">
        <f>IF(I230&lt;&gt;"",[1]Template!F298,"")</f>
        <v/>
      </c>
    </row>
    <row r="231" spans="9:15" x14ac:dyDescent="0.25">
      <c r="I231" s="91" t="str">
        <f>IF([1]Template!G296&gt;0,40,IF([1]Template!H299&gt;0,50,""))</f>
        <v/>
      </c>
      <c r="J231" s="91" t="str">
        <f>IF([1]Template!B299&lt;&gt;0,[1]Template!B299,"")</f>
        <v/>
      </c>
      <c r="K231" s="142" t="str">
        <f>IF([1]Template!G296&gt;0,[1]Template!G296,"")</f>
        <v/>
      </c>
      <c r="L231" s="142" t="str">
        <f>IF([1]Template!H299&gt;0,[1]Template!H299,"")</f>
        <v/>
      </c>
      <c r="M231" s="91" t="str">
        <f>IF([1]Template!C299&lt;&gt;0,[1]Template!C299,"")</f>
        <v/>
      </c>
      <c r="N231" s="91" t="str">
        <f>IF(I231&lt;&gt;"",[1]Template!$D$14,"")</f>
        <v/>
      </c>
      <c r="O231" s="91" t="str">
        <f>IF(I231&lt;&gt;"",[1]Template!F299,"")</f>
        <v/>
      </c>
    </row>
    <row r="232" spans="9:15" x14ac:dyDescent="0.25">
      <c r="I232" s="91" t="str">
        <f>IF([1]Template!G297&gt;0,40,IF([1]Template!H300&gt;0,50,""))</f>
        <v/>
      </c>
      <c r="J232" s="91" t="str">
        <f>IF([1]Template!B300&lt;&gt;0,[1]Template!B300,"")</f>
        <v/>
      </c>
      <c r="K232" s="142" t="str">
        <f>IF([1]Template!G297&gt;0,[1]Template!G297,"")</f>
        <v/>
      </c>
      <c r="L232" s="142" t="str">
        <f>IF([1]Template!H300&gt;0,[1]Template!H300,"")</f>
        <v/>
      </c>
      <c r="M232" s="91" t="str">
        <f>IF([1]Template!C300&lt;&gt;0,[1]Template!C300,"")</f>
        <v/>
      </c>
      <c r="N232" s="91" t="str">
        <f>IF(I232&lt;&gt;"",[1]Template!$D$14,"")</f>
        <v/>
      </c>
      <c r="O232" s="91" t="str">
        <f>IF(I232&lt;&gt;"",[1]Template!F300,"")</f>
        <v/>
      </c>
    </row>
    <row r="233" spans="9:15" x14ac:dyDescent="0.25">
      <c r="I233" s="91" t="str">
        <f>IF([1]Template!G298&gt;0,40,IF([1]Template!H301&gt;0,50,""))</f>
        <v/>
      </c>
      <c r="J233" s="91" t="str">
        <f>IF([1]Template!B301&lt;&gt;0,[1]Template!B301,"")</f>
        <v/>
      </c>
      <c r="K233" s="142" t="str">
        <f>IF([1]Template!G298&gt;0,[1]Template!G298,"")</f>
        <v/>
      </c>
      <c r="L233" s="142" t="str">
        <f>IF([1]Template!H301&gt;0,[1]Template!H301,"")</f>
        <v/>
      </c>
      <c r="M233" s="91" t="str">
        <f>IF([1]Template!C301&lt;&gt;0,[1]Template!C301,"")</f>
        <v/>
      </c>
      <c r="N233" s="91" t="str">
        <f>IF(I233&lt;&gt;"",[1]Template!$D$14,"")</f>
        <v/>
      </c>
      <c r="O233" s="91" t="str">
        <f>IF(I233&lt;&gt;"",[1]Template!F301,"")</f>
        <v/>
      </c>
    </row>
    <row r="234" spans="9:15" x14ac:dyDescent="0.25">
      <c r="I234" s="91" t="str">
        <f>IF([1]Template!G299&gt;0,40,IF([1]Template!H302&gt;0,50,""))</f>
        <v/>
      </c>
      <c r="J234" s="91" t="str">
        <f>IF([1]Template!B302&lt;&gt;0,[1]Template!B302,"")</f>
        <v/>
      </c>
      <c r="K234" s="142" t="str">
        <f>IF([1]Template!G299&gt;0,[1]Template!G299,"")</f>
        <v/>
      </c>
      <c r="L234" s="142" t="str">
        <f>IF([1]Template!H302&gt;0,[1]Template!H302,"")</f>
        <v/>
      </c>
      <c r="M234" s="91" t="str">
        <f>IF([1]Template!C302&lt;&gt;0,[1]Template!C302,"")</f>
        <v/>
      </c>
      <c r="N234" s="91" t="str">
        <f>IF(I234&lt;&gt;"",[1]Template!$D$14,"")</f>
        <v/>
      </c>
      <c r="O234" s="91" t="str">
        <f>IF(I234&lt;&gt;"",[1]Template!F302,"")</f>
        <v/>
      </c>
    </row>
    <row r="235" spans="9:15" x14ac:dyDescent="0.25">
      <c r="I235" s="91" t="str">
        <f>IF([1]Template!G300&gt;0,40,IF([1]Template!H303&gt;0,50,""))</f>
        <v/>
      </c>
      <c r="J235" s="91" t="str">
        <f>IF([1]Template!B303&lt;&gt;0,[1]Template!B303,"")</f>
        <v/>
      </c>
      <c r="K235" s="142" t="str">
        <f>IF([1]Template!G300&gt;0,[1]Template!G300,"")</f>
        <v/>
      </c>
      <c r="L235" s="142" t="str">
        <f>IF([1]Template!H303&gt;0,[1]Template!H303,"")</f>
        <v/>
      </c>
      <c r="M235" s="91" t="str">
        <f>IF([1]Template!C303&lt;&gt;0,[1]Template!C303,"")</f>
        <v/>
      </c>
      <c r="N235" s="91" t="str">
        <f>IF(I235&lt;&gt;"",[1]Template!$D$14,"")</f>
        <v/>
      </c>
      <c r="O235" s="91" t="str">
        <f>IF(I235&lt;&gt;"",[1]Template!F303,"")</f>
        <v/>
      </c>
    </row>
    <row r="236" spans="9:15" x14ac:dyDescent="0.25">
      <c r="I236" s="91" t="str">
        <f>IF([1]Template!G301&gt;0,40,IF([1]Template!H304&gt;0,50,""))</f>
        <v/>
      </c>
      <c r="J236" s="91" t="str">
        <f>IF([1]Template!B304&lt;&gt;0,[1]Template!B304,"")</f>
        <v/>
      </c>
      <c r="K236" s="142" t="str">
        <f>IF([1]Template!G301&gt;0,[1]Template!G301,"")</f>
        <v/>
      </c>
      <c r="L236" s="142" t="str">
        <f>IF([1]Template!H304&gt;0,[1]Template!H304,"")</f>
        <v/>
      </c>
      <c r="M236" s="91" t="str">
        <f>IF([1]Template!C304&lt;&gt;0,[1]Template!C304,"")</f>
        <v/>
      </c>
      <c r="N236" s="91" t="str">
        <f>IF(I236&lt;&gt;"",[1]Template!$D$14,"")</f>
        <v/>
      </c>
      <c r="O236" s="91" t="str">
        <f>IF(I236&lt;&gt;"",[1]Template!F304,"")</f>
        <v/>
      </c>
    </row>
    <row r="237" spans="9:15" x14ac:dyDescent="0.25">
      <c r="I237" s="91" t="str">
        <f>IF([1]Template!G302&gt;0,40,IF([1]Template!H305&gt;0,50,""))</f>
        <v/>
      </c>
      <c r="J237" s="91" t="str">
        <f>IF([1]Template!B305&lt;&gt;0,[1]Template!B305,"")</f>
        <v/>
      </c>
      <c r="K237" s="142" t="str">
        <f>IF([1]Template!G302&gt;0,[1]Template!G302,"")</f>
        <v/>
      </c>
      <c r="L237" s="142" t="str">
        <f>IF([1]Template!H305&gt;0,[1]Template!H305,"")</f>
        <v/>
      </c>
      <c r="M237" s="91" t="str">
        <f>IF([1]Template!C305&lt;&gt;0,[1]Template!C305,"")</f>
        <v/>
      </c>
      <c r="N237" s="91" t="str">
        <f>IF(I237&lt;&gt;"",[1]Template!$D$14,"")</f>
        <v/>
      </c>
      <c r="O237" s="91" t="str">
        <f>IF(I237&lt;&gt;"",[1]Template!F305,"")</f>
        <v/>
      </c>
    </row>
    <row r="238" spans="9:15" x14ac:dyDescent="0.25">
      <c r="I238" s="91" t="str">
        <f>IF([1]Template!G303&gt;0,40,IF([1]Template!H306&gt;0,50,""))</f>
        <v/>
      </c>
      <c r="J238" s="91" t="str">
        <f>IF([1]Template!B306&lt;&gt;0,[1]Template!B306,"")</f>
        <v/>
      </c>
      <c r="K238" s="142" t="str">
        <f>IF([1]Template!G303&gt;0,[1]Template!G303,"")</f>
        <v/>
      </c>
      <c r="L238" s="142" t="str">
        <f>IF([1]Template!H306&gt;0,[1]Template!H306,"")</f>
        <v/>
      </c>
      <c r="M238" s="91" t="str">
        <f>IF([1]Template!C306&lt;&gt;0,[1]Template!C306,"")</f>
        <v/>
      </c>
      <c r="N238" s="91" t="str">
        <f>IF(I238&lt;&gt;"",[1]Template!$D$14,"")</f>
        <v/>
      </c>
      <c r="O238" s="91" t="str">
        <f>IF(I238&lt;&gt;"",[1]Template!F306,"")</f>
        <v/>
      </c>
    </row>
    <row r="239" spans="9:15" x14ac:dyDescent="0.25">
      <c r="I239" s="91" t="str">
        <f>IF([1]Template!G304&gt;0,40,IF([1]Template!H307&gt;0,50,""))</f>
        <v/>
      </c>
      <c r="J239" s="91" t="str">
        <f>IF([1]Template!B307&lt;&gt;0,[1]Template!B307,"")</f>
        <v/>
      </c>
      <c r="K239" s="142" t="str">
        <f>IF([1]Template!G304&gt;0,[1]Template!G304,"")</f>
        <v/>
      </c>
      <c r="L239" s="142" t="str">
        <f>IF([1]Template!H307&gt;0,[1]Template!H307,"")</f>
        <v/>
      </c>
      <c r="M239" s="91" t="str">
        <f>IF([1]Template!C307&lt;&gt;0,[1]Template!C307,"")</f>
        <v/>
      </c>
      <c r="N239" s="91" t="str">
        <f>IF(I239&lt;&gt;"",[1]Template!$D$14,"")</f>
        <v/>
      </c>
      <c r="O239" s="91" t="str">
        <f>IF(I239&lt;&gt;"",[1]Template!F307,"")</f>
        <v/>
      </c>
    </row>
    <row r="240" spans="9:15" x14ac:dyDescent="0.25">
      <c r="I240" s="91" t="str">
        <f>IF([1]Template!G305&gt;0,40,IF([1]Template!H308&gt;0,50,""))</f>
        <v/>
      </c>
      <c r="J240" s="91" t="str">
        <f>IF([1]Template!B308&lt;&gt;0,[1]Template!B308,"")</f>
        <v/>
      </c>
      <c r="K240" s="142" t="str">
        <f>IF([1]Template!G305&gt;0,[1]Template!G305,"")</f>
        <v/>
      </c>
      <c r="L240" s="142" t="str">
        <f>IF([1]Template!H308&gt;0,[1]Template!H308,"")</f>
        <v/>
      </c>
      <c r="M240" s="91" t="str">
        <f>IF([1]Template!C308&lt;&gt;0,[1]Template!C308,"")</f>
        <v/>
      </c>
      <c r="N240" s="91" t="str">
        <f>IF(I240&lt;&gt;"",[1]Template!$D$14,"")</f>
        <v/>
      </c>
      <c r="O240" s="91" t="str">
        <f>IF(I240&lt;&gt;"",[1]Template!F308,"")</f>
        <v/>
      </c>
    </row>
    <row r="241" spans="9:15" x14ac:dyDescent="0.25">
      <c r="I241" s="91" t="str">
        <f>IF([1]Template!G306&gt;0,40,IF([1]Template!H309&gt;0,50,""))</f>
        <v/>
      </c>
      <c r="J241" s="91" t="str">
        <f>IF([1]Template!B309&lt;&gt;0,[1]Template!B309,"")</f>
        <v/>
      </c>
      <c r="K241" s="142" t="str">
        <f>IF([1]Template!G306&gt;0,[1]Template!G306,"")</f>
        <v/>
      </c>
      <c r="L241" s="142" t="str">
        <f>IF([1]Template!H309&gt;0,[1]Template!H309,"")</f>
        <v/>
      </c>
      <c r="M241" s="91" t="str">
        <f>IF([1]Template!C309&lt;&gt;0,[1]Template!C309,"")</f>
        <v/>
      </c>
      <c r="N241" s="91" t="str">
        <f>IF(I241&lt;&gt;"",[1]Template!$D$14,"")</f>
        <v/>
      </c>
      <c r="O241" s="91" t="str">
        <f>IF(I241&lt;&gt;"",[1]Template!F309,"")</f>
        <v/>
      </c>
    </row>
    <row r="242" spans="9:15" x14ac:dyDescent="0.25">
      <c r="I242" s="91" t="str">
        <f>IF([1]Template!G307&gt;0,40,IF([1]Template!H310&gt;0,50,""))</f>
        <v/>
      </c>
      <c r="J242" s="91" t="str">
        <f>IF([1]Template!B310&lt;&gt;0,[1]Template!B310,"")</f>
        <v/>
      </c>
      <c r="K242" s="142" t="str">
        <f>IF([1]Template!G307&gt;0,[1]Template!G307,"")</f>
        <v/>
      </c>
      <c r="L242" s="142" t="str">
        <f>IF([1]Template!H310&gt;0,[1]Template!H310,"")</f>
        <v/>
      </c>
      <c r="M242" s="91" t="str">
        <f>IF([1]Template!C310&lt;&gt;0,[1]Template!C310,"")</f>
        <v/>
      </c>
      <c r="N242" s="91" t="str">
        <f>IF(I242&lt;&gt;"",[1]Template!$D$14,"")</f>
        <v/>
      </c>
      <c r="O242" s="91" t="str">
        <f>IF(I242&lt;&gt;"",[1]Template!F310,"")</f>
        <v/>
      </c>
    </row>
    <row r="243" spans="9:15" x14ac:dyDescent="0.25">
      <c r="I243" s="91" t="str">
        <f>IF([1]Template!G308&gt;0,40,IF([1]Template!H311&gt;0,50,""))</f>
        <v/>
      </c>
      <c r="J243" s="91" t="str">
        <f>IF([1]Template!B311&lt;&gt;0,[1]Template!B311,"")</f>
        <v/>
      </c>
      <c r="K243" s="142" t="str">
        <f>IF([1]Template!G308&gt;0,[1]Template!G308,"")</f>
        <v/>
      </c>
      <c r="L243" s="142" t="str">
        <f>IF([1]Template!H311&gt;0,[1]Template!H311,"")</f>
        <v/>
      </c>
      <c r="M243" s="91" t="str">
        <f>IF([1]Template!C311&lt;&gt;0,[1]Template!C311,"")</f>
        <v/>
      </c>
      <c r="N243" s="91" t="str">
        <f>IF(I243&lt;&gt;"",[1]Template!$D$14,"")</f>
        <v/>
      </c>
      <c r="O243" s="91" t="str">
        <f>IF(I243&lt;&gt;"",[1]Template!F311,"")</f>
        <v/>
      </c>
    </row>
    <row r="244" spans="9:15" x14ac:dyDescent="0.25">
      <c r="I244" s="91" t="str">
        <f>IF([1]Template!G309&gt;0,40,IF([1]Template!H312&gt;0,50,""))</f>
        <v/>
      </c>
      <c r="J244" s="91" t="str">
        <f>IF([1]Template!B312&lt;&gt;0,[1]Template!B312,"")</f>
        <v/>
      </c>
      <c r="K244" s="142" t="str">
        <f>IF([1]Template!G309&gt;0,[1]Template!G309,"")</f>
        <v/>
      </c>
      <c r="L244" s="142" t="str">
        <f>IF([1]Template!H312&gt;0,[1]Template!H312,"")</f>
        <v/>
      </c>
      <c r="M244" s="91" t="str">
        <f>IF([1]Template!C312&lt;&gt;0,[1]Template!C312,"")</f>
        <v/>
      </c>
      <c r="N244" s="91" t="str">
        <f>IF(I244&lt;&gt;"",[1]Template!$D$14,"")</f>
        <v/>
      </c>
      <c r="O244" s="91" t="str">
        <f>IF(I244&lt;&gt;"",[1]Template!F312,"")</f>
        <v/>
      </c>
    </row>
    <row r="245" spans="9:15" x14ac:dyDescent="0.25">
      <c r="I245" s="91" t="str">
        <f>IF([1]Template!G310&gt;0,40,IF([1]Template!H313&gt;0,50,""))</f>
        <v/>
      </c>
      <c r="J245" s="91" t="str">
        <f>IF([1]Template!B313&lt;&gt;0,[1]Template!B313,"")</f>
        <v/>
      </c>
      <c r="K245" s="142" t="str">
        <f>IF([1]Template!G310&gt;0,[1]Template!G310,"")</f>
        <v/>
      </c>
      <c r="L245" s="142" t="str">
        <f>IF([1]Template!H313&gt;0,[1]Template!H313,"")</f>
        <v/>
      </c>
      <c r="M245" s="91" t="str">
        <f>IF([1]Template!C313&lt;&gt;0,[1]Template!C313,"")</f>
        <v/>
      </c>
      <c r="N245" s="91" t="str">
        <f>IF(I245&lt;&gt;"",[1]Template!$D$14,"")</f>
        <v/>
      </c>
      <c r="O245" s="91" t="str">
        <f>IF(I245&lt;&gt;"",[1]Template!F313,"")</f>
        <v/>
      </c>
    </row>
    <row r="246" spans="9:15" x14ac:dyDescent="0.25">
      <c r="I246" s="91" t="str">
        <f>IF([1]Template!G311&gt;0,40,IF([1]Template!H314&gt;0,50,""))</f>
        <v/>
      </c>
      <c r="J246" s="91" t="str">
        <f>IF([1]Template!B314&lt;&gt;0,[1]Template!B314,"")</f>
        <v/>
      </c>
      <c r="K246" s="142" t="str">
        <f>IF([1]Template!G311&gt;0,[1]Template!G311,"")</f>
        <v/>
      </c>
      <c r="L246" s="142" t="str">
        <f>IF([1]Template!H314&gt;0,[1]Template!H314,"")</f>
        <v/>
      </c>
      <c r="M246" s="91" t="str">
        <f>IF([1]Template!C314&lt;&gt;0,[1]Template!C314,"")</f>
        <v/>
      </c>
      <c r="N246" s="91" t="str">
        <f>IF(I246&lt;&gt;"",[1]Template!$D$14,"")</f>
        <v/>
      </c>
      <c r="O246" s="91" t="str">
        <f>IF(I246&lt;&gt;"",[1]Template!F314,"")</f>
        <v/>
      </c>
    </row>
    <row r="247" spans="9:15" x14ac:dyDescent="0.25">
      <c r="I247" s="91" t="str">
        <f>IF([1]Template!G312&gt;0,40,IF([1]Template!H315&gt;0,50,""))</f>
        <v/>
      </c>
      <c r="J247" s="91" t="str">
        <f>IF([1]Template!B315&lt;&gt;0,[1]Template!B315,"")</f>
        <v/>
      </c>
      <c r="K247" s="142" t="str">
        <f>IF([1]Template!G312&gt;0,[1]Template!G312,"")</f>
        <v/>
      </c>
      <c r="L247" s="142" t="str">
        <f>IF([1]Template!H315&gt;0,[1]Template!H315,"")</f>
        <v/>
      </c>
      <c r="M247" s="91" t="str">
        <f>IF([1]Template!C315&lt;&gt;0,[1]Template!C315,"")</f>
        <v/>
      </c>
      <c r="N247" s="91" t="str">
        <f>IF(I247&lt;&gt;"",[1]Template!$D$14,"")</f>
        <v/>
      </c>
      <c r="O247" s="91" t="str">
        <f>IF(I247&lt;&gt;"",[1]Template!F315,"")</f>
        <v/>
      </c>
    </row>
    <row r="248" spans="9:15" x14ac:dyDescent="0.25">
      <c r="I248" s="91" t="str">
        <f>IF([1]Template!G313&gt;0,40,IF([1]Template!H316&gt;0,50,""))</f>
        <v/>
      </c>
      <c r="J248" s="91" t="str">
        <f>IF([1]Template!B316&lt;&gt;0,[1]Template!B316,"")</f>
        <v/>
      </c>
      <c r="K248" s="142" t="str">
        <f>IF([1]Template!G313&gt;0,[1]Template!G313,"")</f>
        <v/>
      </c>
      <c r="L248" s="142" t="str">
        <f>IF([1]Template!H316&gt;0,[1]Template!H316,"")</f>
        <v/>
      </c>
      <c r="M248" s="91" t="str">
        <f>IF([1]Template!C316&lt;&gt;0,[1]Template!C316,"")</f>
        <v/>
      </c>
      <c r="N248" s="91" t="str">
        <f>IF(I248&lt;&gt;"",[1]Template!$D$14,"")</f>
        <v/>
      </c>
      <c r="O248" s="91" t="str">
        <f>IF(I248&lt;&gt;"",[1]Template!F316,"")</f>
        <v/>
      </c>
    </row>
    <row r="249" spans="9:15" x14ac:dyDescent="0.25">
      <c r="I249" s="91" t="str">
        <f>IF([1]Template!G314&gt;0,40,IF([1]Template!H317&gt;0,50,""))</f>
        <v/>
      </c>
      <c r="J249" s="91" t="str">
        <f>IF([1]Template!B317&lt;&gt;0,[1]Template!B317,"")</f>
        <v/>
      </c>
      <c r="K249" s="142" t="str">
        <f>IF([1]Template!G314&gt;0,[1]Template!G314,"")</f>
        <v/>
      </c>
      <c r="L249" s="142" t="str">
        <f>IF([1]Template!H317&gt;0,[1]Template!H317,"")</f>
        <v/>
      </c>
      <c r="M249" s="91" t="str">
        <f>IF([1]Template!C317&lt;&gt;0,[1]Template!C317,"")</f>
        <v/>
      </c>
      <c r="N249" s="91" t="str">
        <f>IF(I249&lt;&gt;"",[1]Template!$D$14,"")</f>
        <v/>
      </c>
      <c r="O249" s="91" t="str">
        <f>IF(I249&lt;&gt;"",[1]Template!F317,"")</f>
        <v/>
      </c>
    </row>
    <row r="250" spans="9:15" x14ac:dyDescent="0.25">
      <c r="I250" s="91" t="str">
        <f>IF([1]Template!G315&gt;0,40,IF([1]Template!H318&gt;0,50,""))</f>
        <v/>
      </c>
      <c r="J250" s="91" t="str">
        <f>IF([1]Template!B318&lt;&gt;0,[1]Template!B318,"")</f>
        <v/>
      </c>
      <c r="K250" s="142" t="str">
        <f>IF([1]Template!G315&gt;0,[1]Template!G315,"")</f>
        <v/>
      </c>
      <c r="L250" s="142" t="str">
        <f>IF([1]Template!H318&gt;0,[1]Template!H318,"")</f>
        <v/>
      </c>
      <c r="M250" s="91" t="str">
        <f>IF([1]Template!C318&lt;&gt;0,[1]Template!C318,"")</f>
        <v/>
      </c>
      <c r="N250" s="91" t="str">
        <f>IF(I250&lt;&gt;"",[1]Template!$D$14,"")</f>
        <v/>
      </c>
      <c r="O250" s="91" t="str">
        <f>IF(I250&lt;&gt;"",[1]Template!F318,"")</f>
        <v/>
      </c>
    </row>
    <row r="251" spans="9:15" x14ac:dyDescent="0.25">
      <c r="I251" s="91" t="str">
        <f>IF([1]Template!G316&gt;0,40,IF([1]Template!H319&gt;0,50,""))</f>
        <v/>
      </c>
      <c r="J251" s="91" t="str">
        <f>IF([1]Template!B319&lt;&gt;0,[1]Template!B319,"")</f>
        <v/>
      </c>
      <c r="K251" s="142" t="str">
        <f>IF([1]Template!G316&gt;0,[1]Template!G316,"")</f>
        <v/>
      </c>
      <c r="L251" s="142" t="str">
        <f>IF([1]Template!H319&gt;0,[1]Template!H319,"")</f>
        <v/>
      </c>
      <c r="M251" s="91" t="str">
        <f>IF([1]Template!C319&lt;&gt;0,[1]Template!C319,"")</f>
        <v/>
      </c>
      <c r="N251" s="91" t="str">
        <f>IF(I251&lt;&gt;"",[1]Template!$D$14,"")</f>
        <v/>
      </c>
      <c r="O251" s="91" t="str">
        <f>IF(I251&lt;&gt;"",[1]Template!F319,"")</f>
        <v/>
      </c>
    </row>
    <row r="252" spans="9:15" x14ac:dyDescent="0.25">
      <c r="I252" s="91" t="str">
        <f>IF([1]Template!G317&gt;0,40,IF([1]Template!H320&gt;0,50,""))</f>
        <v/>
      </c>
      <c r="J252" s="91" t="str">
        <f>IF([1]Template!B320&lt;&gt;0,[1]Template!B320,"")</f>
        <v/>
      </c>
      <c r="K252" s="142" t="str">
        <f>IF([1]Template!G317&gt;0,[1]Template!G317,"")</f>
        <v/>
      </c>
      <c r="L252" s="142" t="str">
        <f>IF([1]Template!H320&gt;0,[1]Template!H320,"")</f>
        <v/>
      </c>
      <c r="M252" s="91" t="str">
        <f>IF([1]Template!C320&lt;&gt;0,[1]Template!C320,"")</f>
        <v/>
      </c>
      <c r="N252" s="91" t="str">
        <f>IF(I252&lt;&gt;"",[1]Template!$D$14,"")</f>
        <v/>
      </c>
      <c r="O252" s="91" t="str">
        <f>IF(I252&lt;&gt;"",[1]Template!F320,"")</f>
        <v/>
      </c>
    </row>
    <row r="253" spans="9:15" x14ac:dyDescent="0.25">
      <c r="I253" s="91" t="str">
        <f>IF([1]Template!G318&gt;0,40,IF([1]Template!H321&gt;0,50,""))</f>
        <v/>
      </c>
      <c r="J253" s="91" t="str">
        <f>IF([1]Template!B321&lt;&gt;0,[1]Template!B321,"")</f>
        <v/>
      </c>
      <c r="K253" s="142" t="str">
        <f>IF([1]Template!G318&gt;0,[1]Template!G318,"")</f>
        <v/>
      </c>
      <c r="L253" s="142" t="str">
        <f>IF([1]Template!H321&gt;0,[1]Template!H321,"")</f>
        <v/>
      </c>
      <c r="M253" s="91" t="str">
        <f>IF([1]Template!C321&lt;&gt;0,[1]Template!C321,"")</f>
        <v/>
      </c>
      <c r="N253" s="91" t="str">
        <f>IF(I253&lt;&gt;"",[1]Template!$D$14,"")</f>
        <v/>
      </c>
      <c r="O253" s="91" t="str">
        <f>IF(I253&lt;&gt;"",[1]Template!F321,"")</f>
        <v/>
      </c>
    </row>
    <row r="254" spans="9:15" x14ac:dyDescent="0.25">
      <c r="I254" s="91" t="str">
        <f>IF([1]Template!G319&gt;0,40,IF([1]Template!H322&gt;0,50,""))</f>
        <v/>
      </c>
      <c r="J254" s="91" t="str">
        <f>IF([1]Template!B322&lt;&gt;0,[1]Template!B322,"")</f>
        <v/>
      </c>
      <c r="K254" s="142" t="str">
        <f>IF([1]Template!G319&gt;0,[1]Template!G319,"")</f>
        <v/>
      </c>
      <c r="L254" s="142" t="str">
        <f>IF([1]Template!H322&gt;0,[1]Template!H322,"")</f>
        <v/>
      </c>
      <c r="M254" s="91" t="str">
        <f>IF([1]Template!C322&lt;&gt;0,[1]Template!C322,"")</f>
        <v/>
      </c>
      <c r="N254" s="91" t="str">
        <f>IF(I254&lt;&gt;"",[1]Template!$D$14,"")</f>
        <v/>
      </c>
      <c r="O254" s="91" t="str">
        <f>IF(I254&lt;&gt;"",[1]Template!F322,"")</f>
        <v/>
      </c>
    </row>
    <row r="255" spans="9:15" x14ac:dyDescent="0.25">
      <c r="I255" s="91" t="str">
        <f>IF([1]Template!G320&gt;0,40,IF([1]Template!H323&gt;0,50,""))</f>
        <v/>
      </c>
      <c r="J255" s="91" t="str">
        <f>IF([1]Template!B323&lt;&gt;0,[1]Template!B323,"")</f>
        <v/>
      </c>
      <c r="K255" s="142" t="str">
        <f>IF([1]Template!G320&gt;0,[1]Template!G320,"")</f>
        <v/>
      </c>
      <c r="L255" s="142" t="str">
        <f>IF([1]Template!H323&gt;0,[1]Template!H323,"")</f>
        <v/>
      </c>
      <c r="M255" s="91" t="str">
        <f>IF([1]Template!C323&lt;&gt;0,[1]Template!C323,"")</f>
        <v/>
      </c>
      <c r="N255" s="91" t="str">
        <f>IF(I255&lt;&gt;"",[1]Template!$D$14,"")</f>
        <v/>
      </c>
      <c r="O255" s="91" t="str">
        <f>IF(I255&lt;&gt;"",[1]Template!F323,"")</f>
        <v/>
      </c>
    </row>
    <row r="256" spans="9:15" x14ac:dyDescent="0.25">
      <c r="I256" s="91" t="str">
        <f>IF([1]Template!G321&gt;0,40,IF([1]Template!H324&gt;0,50,""))</f>
        <v/>
      </c>
      <c r="J256" s="91" t="str">
        <f>IF([1]Template!B324&lt;&gt;0,[1]Template!B324,"")</f>
        <v/>
      </c>
      <c r="K256" s="142" t="str">
        <f>IF([1]Template!G321&gt;0,[1]Template!G321,"")</f>
        <v/>
      </c>
      <c r="L256" s="142" t="str">
        <f>IF([1]Template!H324&gt;0,[1]Template!H324,"")</f>
        <v/>
      </c>
      <c r="M256" s="91" t="str">
        <f>IF([1]Template!C324&lt;&gt;0,[1]Template!C324,"")</f>
        <v/>
      </c>
      <c r="N256" s="91" t="str">
        <f>IF(I256&lt;&gt;"",[1]Template!$D$14,"")</f>
        <v/>
      </c>
      <c r="O256" s="91" t="str">
        <f>IF(I256&lt;&gt;"",[1]Template!F324,"")</f>
        <v/>
      </c>
    </row>
    <row r="257" spans="9:15" x14ac:dyDescent="0.25">
      <c r="I257" s="91" t="str">
        <f>IF([1]Template!G322&gt;0,40,IF([1]Template!H325&gt;0,50,""))</f>
        <v/>
      </c>
      <c r="J257" s="91" t="str">
        <f>IF([1]Template!B325&lt;&gt;0,[1]Template!B325,"")</f>
        <v/>
      </c>
      <c r="K257" s="142" t="str">
        <f>IF([1]Template!G322&gt;0,[1]Template!G322,"")</f>
        <v/>
      </c>
      <c r="L257" s="142" t="str">
        <f>IF([1]Template!H325&gt;0,[1]Template!H325,"")</f>
        <v/>
      </c>
      <c r="M257" s="91" t="str">
        <f>IF([1]Template!C325&lt;&gt;0,[1]Template!C325,"")</f>
        <v/>
      </c>
      <c r="N257" s="91" t="str">
        <f>IF(I257&lt;&gt;"",[1]Template!$D$14,"")</f>
        <v/>
      </c>
      <c r="O257" s="91" t="str">
        <f>IF(I257&lt;&gt;"",[1]Template!F325,"")</f>
        <v/>
      </c>
    </row>
    <row r="258" spans="9:15" x14ac:dyDescent="0.25">
      <c r="I258" s="91" t="str">
        <f>IF([1]Template!G323&gt;0,40,IF([1]Template!H326&gt;0,50,""))</f>
        <v/>
      </c>
      <c r="J258" s="91" t="str">
        <f>IF([1]Template!B326&lt;&gt;0,[1]Template!B326,"")</f>
        <v/>
      </c>
      <c r="K258" s="142" t="str">
        <f>IF([1]Template!G323&gt;0,[1]Template!G323,"")</f>
        <v/>
      </c>
      <c r="L258" s="142" t="str">
        <f>IF([1]Template!H326&gt;0,[1]Template!H326,"")</f>
        <v/>
      </c>
      <c r="M258" s="91" t="str">
        <f>IF([1]Template!C326&lt;&gt;0,[1]Template!C326,"")</f>
        <v/>
      </c>
      <c r="N258" s="91" t="str">
        <f>IF(I258&lt;&gt;"",[1]Template!$D$14,"")</f>
        <v/>
      </c>
      <c r="O258" s="91" t="str">
        <f>IF(I258&lt;&gt;"",[1]Template!F326,"")</f>
        <v/>
      </c>
    </row>
    <row r="259" spans="9:15" x14ac:dyDescent="0.25">
      <c r="I259" s="91" t="str">
        <f>IF([1]Template!G324&gt;0,40,IF([1]Template!H327&gt;0,50,""))</f>
        <v/>
      </c>
      <c r="J259" s="91" t="str">
        <f>IF([1]Template!B327&lt;&gt;0,[1]Template!B327,"")</f>
        <v/>
      </c>
      <c r="K259" s="142" t="str">
        <f>IF([1]Template!G324&gt;0,[1]Template!G324,"")</f>
        <v/>
      </c>
      <c r="L259" s="142" t="str">
        <f>IF([1]Template!H327&gt;0,[1]Template!H327,"")</f>
        <v/>
      </c>
      <c r="M259" s="91" t="str">
        <f>IF([1]Template!C327&lt;&gt;0,[1]Template!C327,"")</f>
        <v/>
      </c>
      <c r="N259" s="91" t="str">
        <f>IF(I259&lt;&gt;"",[1]Template!$D$14,"")</f>
        <v/>
      </c>
      <c r="O259" s="91" t="str">
        <f>IF(I259&lt;&gt;"",[1]Template!F327,"")</f>
        <v/>
      </c>
    </row>
    <row r="260" spans="9:15" x14ac:dyDescent="0.25">
      <c r="I260" s="91" t="str">
        <f>IF([1]Template!G325&gt;0,40,IF([1]Template!H328&gt;0,50,""))</f>
        <v/>
      </c>
      <c r="J260" s="91" t="str">
        <f>IF([1]Template!B328&lt;&gt;0,[1]Template!B328,"")</f>
        <v/>
      </c>
      <c r="K260" s="142" t="str">
        <f>IF([1]Template!G325&gt;0,[1]Template!G325,"")</f>
        <v/>
      </c>
      <c r="L260" s="142" t="str">
        <f>IF([1]Template!H328&gt;0,[1]Template!H328,"")</f>
        <v/>
      </c>
      <c r="M260" s="91" t="str">
        <f>IF([1]Template!C328&lt;&gt;0,[1]Template!C328,"")</f>
        <v/>
      </c>
      <c r="N260" s="91" t="str">
        <f>IF(I260&lt;&gt;"",[1]Template!$D$14,"")</f>
        <v/>
      </c>
      <c r="O260" s="91" t="str">
        <f>IF(I260&lt;&gt;"",[1]Template!F328,"")</f>
        <v/>
      </c>
    </row>
    <row r="261" spans="9:15" x14ac:dyDescent="0.25">
      <c r="I261" s="91" t="str">
        <f>IF([1]Template!G326&gt;0,40,IF([1]Template!H329&gt;0,50,""))</f>
        <v/>
      </c>
      <c r="J261" s="91" t="str">
        <f>IF([1]Template!B329&lt;&gt;0,[1]Template!B329,"")</f>
        <v/>
      </c>
      <c r="K261" s="142" t="str">
        <f>IF([1]Template!G326&gt;0,[1]Template!G326,"")</f>
        <v/>
      </c>
      <c r="L261" s="142" t="str">
        <f>IF([1]Template!H329&gt;0,[1]Template!H329,"")</f>
        <v/>
      </c>
      <c r="M261" s="91" t="str">
        <f>IF([1]Template!C329&lt;&gt;0,[1]Template!C329,"")</f>
        <v/>
      </c>
      <c r="N261" s="91" t="str">
        <f>IF(I261&lt;&gt;"",[1]Template!$D$14,"")</f>
        <v/>
      </c>
      <c r="O261" s="91" t="str">
        <f>IF(I261&lt;&gt;"",[1]Template!F329,"")</f>
        <v/>
      </c>
    </row>
    <row r="262" spans="9:15" x14ac:dyDescent="0.25">
      <c r="I262" s="91" t="str">
        <f>IF([1]Template!G327&gt;0,40,IF([1]Template!H330&gt;0,50,""))</f>
        <v/>
      </c>
      <c r="J262" s="91" t="str">
        <f>IF([1]Template!B330&lt;&gt;0,[1]Template!B330,"")</f>
        <v/>
      </c>
      <c r="K262" s="142" t="str">
        <f>IF([1]Template!G327&gt;0,[1]Template!G327,"")</f>
        <v/>
      </c>
      <c r="L262" s="142" t="str">
        <f>IF([1]Template!H330&gt;0,[1]Template!H330,"")</f>
        <v/>
      </c>
      <c r="M262" s="91" t="str">
        <f>IF([1]Template!C330&lt;&gt;0,[1]Template!C330,"")</f>
        <v/>
      </c>
      <c r="N262" s="91" t="str">
        <f>IF(I262&lt;&gt;"",[1]Template!$D$14,"")</f>
        <v/>
      </c>
      <c r="O262" s="91" t="str">
        <f>IF(I262&lt;&gt;"",[1]Template!F330,"")</f>
        <v/>
      </c>
    </row>
    <row r="263" spans="9:15" x14ac:dyDescent="0.25">
      <c r="I263" s="91" t="str">
        <f>IF([1]Template!G328&gt;0,40,IF([1]Template!H331&gt;0,50,""))</f>
        <v/>
      </c>
      <c r="J263" s="91" t="str">
        <f>IF([1]Template!B331&lt;&gt;0,[1]Template!B331,"")</f>
        <v/>
      </c>
      <c r="K263" s="142" t="str">
        <f>IF([1]Template!G328&gt;0,[1]Template!G328,"")</f>
        <v/>
      </c>
      <c r="L263" s="142" t="str">
        <f>IF([1]Template!H331&gt;0,[1]Template!H331,"")</f>
        <v/>
      </c>
      <c r="M263" s="91" t="str">
        <f>IF([1]Template!C331&lt;&gt;0,[1]Template!C331,"")</f>
        <v/>
      </c>
      <c r="N263" s="91" t="str">
        <f>IF(I263&lt;&gt;"",[1]Template!$D$14,"")</f>
        <v/>
      </c>
      <c r="O263" s="91" t="str">
        <f>IF(I263&lt;&gt;"",[1]Template!F331,"")</f>
        <v/>
      </c>
    </row>
    <row r="264" spans="9:15" x14ac:dyDescent="0.25">
      <c r="I264" s="91" t="str">
        <f>IF([1]Template!G329&gt;0,40,IF([1]Template!H332&gt;0,50,""))</f>
        <v/>
      </c>
      <c r="J264" s="91" t="str">
        <f>IF([1]Template!B332&lt;&gt;0,[1]Template!B332,"")</f>
        <v/>
      </c>
      <c r="K264" s="142" t="str">
        <f>IF([1]Template!G329&gt;0,[1]Template!G329,"")</f>
        <v/>
      </c>
      <c r="L264" s="142" t="str">
        <f>IF([1]Template!H332&gt;0,[1]Template!H332,"")</f>
        <v/>
      </c>
      <c r="M264" s="91" t="str">
        <f>IF([1]Template!C332&lt;&gt;0,[1]Template!C332,"")</f>
        <v/>
      </c>
      <c r="N264" s="91" t="str">
        <f>IF(I264&lt;&gt;"",[1]Template!$D$14,"")</f>
        <v/>
      </c>
      <c r="O264" s="91" t="str">
        <f>IF(I264&lt;&gt;"",[1]Template!F332,"")</f>
        <v/>
      </c>
    </row>
    <row r="265" spans="9:15" x14ac:dyDescent="0.25">
      <c r="I265" s="91" t="str">
        <f>IF([1]Template!G330&gt;0,40,IF([1]Template!H333&gt;0,50,""))</f>
        <v/>
      </c>
      <c r="J265" s="91" t="str">
        <f>IF([1]Template!B333&lt;&gt;0,[1]Template!B333,"")</f>
        <v/>
      </c>
      <c r="K265" s="142" t="str">
        <f>IF([1]Template!G330&gt;0,[1]Template!G330,"")</f>
        <v/>
      </c>
      <c r="L265" s="142" t="str">
        <f>IF([1]Template!H333&gt;0,[1]Template!H333,"")</f>
        <v/>
      </c>
      <c r="M265" s="91" t="str">
        <f>IF([1]Template!C333&lt;&gt;0,[1]Template!C333,"")</f>
        <v/>
      </c>
      <c r="N265" s="91" t="str">
        <f>IF(I265&lt;&gt;"",[1]Template!$D$14,"")</f>
        <v/>
      </c>
      <c r="O265" s="91" t="str">
        <f>IF(I265&lt;&gt;"",[1]Template!F333,"")</f>
        <v/>
      </c>
    </row>
    <row r="266" spans="9:15" x14ac:dyDescent="0.25">
      <c r="I266" s="91" t="str">
        <f>IF([1]Template!G331&gt;0,40,IF([1]Template!H334&gt;0,50,""))</f>
        <v/>
      </c>
      <c r="J266" s="91" t="str">
        <f>IF([1]Template!B334&lt;&gt;0,[1]Template!B334,"")</f>
        <v/>
      </c>
      <c r="K266" s="142" t="str">
        <f>IF([1]Template!G331&gt;0,[1]Template!G331,"")</f>
        <v/>
      </c>
      <c r="L266" s="142" t="str">
        <f>IF([1]Template!H334&gt;0,[1]Template!H334,"")</f>
        <v/>
      </c>
      <c r="M266" s="91" t="str">
        <f>IF([1]Template!C334&lt;&gt;0,[1]Template!C334,"")</f>
        <v/>
      </c>
      <c r="N266" s="91" t="str">
        <f>IF(I266&lt;&gt;"",[1]Template!$D$14,"")</f>
        <v/>
      </c>
      <c r="O266" s="91" t="str">
        <f>IF(I266&lt;&gt;"",[1]Template!F334,"")</f>
        <v/>
      </c>
    </row>
    <row r="267" spans="9:15" x14ac:dyDescent="0.25">
      <c r="I267" s="91" t="str">
        <f>IF([1]Template!G332&gt;0,40,IF([1]Template!H335&gt;0,50,""))</f>
        <v/>
      </c>
      <c r="J267" s="91" t="str">
        <f>IF([1]Template!B335&lt;&gt;0,[1]Template!B335,"")</f>
        <v/>
      </c>
      <c r="K267" s="142" t="str">
        <f>IF([1]Template!G332&gt;0,[1]Template!G332,"")</f>
        <v/>
      </c>
      <c r="L267" s="142" t="str">
        <f>IF([1]Template!H335&gt;0,[1]Template!H335,"")</f>
        <v/>
      </c>
      <c r="M267" s="91" t="str">
        <f>IF([1]Template!C335&lt;&gt;0,[1]Template!C335,"")</f>
        <v/>
      </c>
      <c r="N267" s="91" t="str">
        <f>IF(I267&lt;&gt;"",[1]Template!$D$14,"")</f>
        <v/>
      </c>
      <c r="O267" s="91" t="str">
        <f>IF(I267&lt;&gt;"",[1]Template!F335,"")</f>
        <v/>
      </c>
    </row>
    <row r="268" spans="9:15" x14ac:dyDescent="0.25">
      <c r="I268" s="91" t="str">
        <f>IF([1]Template!G333&gt;0,40,IF([1]Template!H336&gt;0,50,""))</f>
        <v/>
      </c>
      <c r="J268" s="91" t="str">
        <f>IF([1]Template!B336&lt;&gt;0,[1]Template!B336,"")</f>
        <v/>
      </c>
      <c r="K268" s="142" t="str">
        <f>IF([1]Template!G333&gt;0,[1]Template!G333,"")</f>
        <v/>
      </c>
      <c r="L268" s="142" t="str">
        <f>IF([1]Template!H336&gt;0,[1]Template!H336,"")</f>
        <v/>
      </c>
      <c r="M268" s="91" t="str">
        <f>IF([1]Template!C336&lt;&gt;0,[1]Template!C336,"")</f>
        <v/>
      </c>
      <c r="N268" s="91" t="str">
        <f>IF(I268&lt;&gt;"",[1]Template!$D$14,"")</f>
        <v/>
      </c>
      <c r="O268" s="91" t="str">
        <f>IF(I268&lt;&gt;"",[1]Template!F336,"")</f>
        <v/>
      </c>
    </row>
    <row r="269" spans="9:15" x14ac:dyDescent="0.25">
      <c r="I269" s="91" t="str">
        <f>IF([1]Template!G334&gt;0,40,IF([1]Template!H337&gt;0,50,""))</f>
        <v/>
      </c>
      <c r="J269" s="91" t="str">
        <f>IF([1]Template!B337&lt;&gt;0,[1]Template!B337,"")</f>
        <v/>
      </c>
      <c r="K269" s="142" t="str">
        <f>IF([1]Template!G334&gt;0,[1]Template!G334,"")</f>
        <v/>
      </c>
      <c r="L269" s="142" t="str">
        <f>IF([1]Template!H337&gt;0,[1]Template!H337,"")</f>
        <v/>
      </c>
      <c r="M269" s="91" t="str">
        <f>IF([1]Template!C337&lt;&gt;0,[1]Template!C337,"")</f>
        <v/>
      </c>
      <c r="N269" s="91" t="str">
        <f>IF(I269&lt;&gt;"",[1]Template!$D$14,"")</f>
        <v/>
      </c>
      <c r="O269" s="91" t="str">
        <f>IF(I269&lt;&gt;"",[1]Template!F337,"")</f>
        <v/>
      </c>
    </row>
    <row r="270" spans="9:15" x14ac:dyDescent="0.25">
      <c r="I270" s="91" t="str">
        <f>IF([1]Template!G335&gt;0,40,IF([1]Template!H338&gt;0,50,""))</f>
        <v/>
      </c>
      <c r="J270" s="91" t="str">
        <f>IF([1]Template!B338&lt;&gt;0,[1]Template!B338,"")</f>
        <v/>
      </c>
      <c r="K270" s="142" t="str">
        <f>IF([1]Template!G335&gt;0,[1]Template!G335,"")</f>
        <v/>
      </c>
      <c r="L270" s="142" t="str">
        <f>IF([1]Template!H338&gt;0,[1]Template!H338,"")</f>
        <v/>
      </c>
      <c r="M270" s="91" t="str">
        <f>IF([1]Template!C338&lt;&gt;0,[1]Template!C338,"")</f>
        <v/>
      </c>
      <c r="N270" s="91" t="str">
        <f>IF(I270&lt;&gt;"",[1]Template!$D$14,"")</f>
        <v/>
      </c>
      <c r="O270" s="91" t="str">
        <f>IF(I270&lt;&gt;"",[1]Template!F338,"")</f>
        <v/>
      </c>
    </row>
    <row r="271" spans="9:15" x14ac:dyDescent="0.25">
      <c r="I271" s="91" t="str">
        <f>IF([1]Template!G336&gt;0,40,IF([1]Template!H339&gt;0,50,""))</f>
        <v/>
      </c>
      <c r="J271" s="91" t="str">
        <f>IF([1]Template!B339&lt;&gt;0,[1]Template!B339,"")</f>
        <v/>
      </c>
      <c r="K271" s="142" t="str">
        <f>IF([1]Template!G336&gt;0,[1]Template!G336,"")</f>
        <v/>
      </c>
      <c r="L271" s="142" t="str">
        <f>IF([1]Template!H339&gt;0,[1]Template!H339,"")</f>
        <v/>
      </c>
      <c r="M271" s="91" t="str">
        <f>IF([1]Template!C339&lt;&gt;0,[1]Template!C339,"")</f>
        <v/>
      </c>
      <c r="N271" s="91" t="str">
        <f>IF(I271&lt;&gt;"",[1]Template!$D$14,"")</f>
        <v/>
      </c>
      <c r="O271" s="91" t="str">
        <f>IF(I271&lt;&gt;"",[1]Template!F339,"")</f>
        <v/>
      </c>
    </row>
    <row r="272" spans="9:15" x14ac:dyDescent="0.25">
      <c r="I272" s="91" t="str">
        <f>IF([1]Template!G337&gt;0,40,IF([1]Template!H340&gt;0,50,""))</f>
        <v/>
      </c>
      <c r="J272" s="91" t="str">
        <f>IF([1]Template!B340&lt;&gt;0,[1]Template!B340,"")</f>
        <v/>
      </c>
      <c r="K272" s="142" t="str">
        <f>IF([1]Template!G337&gt;0,[1]Template!G337,"")</f>
        <v/>
      </c>
      <c r="L272" s="142" t="str">
        <f>IF([1]Template!H340&gt;0,[1]Template!H340,"")</f>
        <v/>
      </c>
      <c r="M272" s="91" t="str">
        <f>IF([1]Template!C340&lt;&gt;0,[1]Template!C340,"")</f>
        <v/>
      </c>
      <c r="N272" s="91" t="str">
        <f>IF(I272&lt;&gt;"",[1]Template!$D$14,"")</f>
        <v/>
      </c>
      <c r="O272" s="91" t="str">
        <f>IF(I272&lt;&gt;"",[1]Template!F340,"")</f>
        <v/>
      </c>
    </row>
    <row r="273" spans="9:15" x14ac:dyDescent="0.25">
      <c r="I273" s="91" t="str">
        <f>IF([1]Template!G338&gt;0,40,IF([1]Template!H341&gt;0,50,""))</f>
        <v/>
      </c>
      <c r="J273" s="91" t="str">
        <f>IF([1]Template!B341&lt;&gt;0,[1]Template!B341,"")</f>
        <v/>
      </c>
      <c r="K273" s="142" t="str">
        <f>IF([1]Template!G338&gt;0,[1]Template!G338,"")</f>
        <v/>
      </c>
      <c r="L273" s="142" t="str">
        <f>IF([1]Template!H341&gt;0,[1]Template!H341,"")</f>
        <v/>
      </c>
      <c r="M273" s="91" t="str">
        <f>IF([1]Template!C341&lt;&gt;0,[1]Template!C341,"")</f>
        <v/>
      </c>
      <c r="N273" s="91" t="str">
        <f>IF(I273&lt;&gt;"",[1]Template!$D$14,"")</f>
        <v/>
      </c>
      <c r="O273" s="91" t="str">
        <f>IF(I273&lt;&gt;"",[1]Template!F341,"")</f>
        <v/>
      </c>
    </row>
    <row r="274" spans="9:15" x14ac:dyDescent="0.25">
      <c r="I274" s="91" t="str">
        <f>IF([1]Template!G339&gt;0,40,IF([1]Template!H342&gt;0,50,""))</f>
        <v/>
      </c>
      <c r="J274" s="91" t="str">
        <f>IF([1]Template!B342&lt;&gt;0,[1]Template!B342,"")</f>
        <v/>
      </c>
      <c r="K274" s="142" t="str">
        <f>IF([1]Template!G339&gt;0,[1]Template!G339,"")</f>
        <v/>
      </c>
      <c r="L274" s="142" t="str">
        <f>IF([1]Template!H342&gt;0,[1]Template!H342,"")</f>
        <v/>
      </c>
      <c r="M274" s="91" t="str">
        <f>IF([1]Template!C342&lt;&gt;0,[1]Template!C342,"")</f>
        <v/>
      </c>
      <c r="N274" s="91" t="str">
        <f>IF(I274&lt;&gt;"",[1]Template!$D$14,"")</f>
        <v/>
      </c>
      <c r="O274" s="91" t="str">
        <f>IF(I274&lt;&gt;"",[1]Template!F342,"")</f>
        <v/>
      </c>
    </row>
    <row r="275" spans="9:15" x14ac:dyDescent="0.25">
      <c r="I275" s="91" t="str">
        <f>IF([1]Template!G340&gt;0,40,IF([1]Template!H343&gt;0,50,""))</f>
        <v/>
      </c>
      <c r="J275" s="91" t="str">
        <f>IF([1]Template!B343&lt;&gt;0,[1]Template!B343,"")</f>
        <v/>
      </c>
      <c r="K275" s="142" t="str">
        <f>IF([1]Template!G340&gt;0,[1]Template!G340,"")</f>
        <v/>
      </c>
      <c r="L275" s="142" t="str">
        <f>IF([1]Template!H343&gt;0,[1]Template!H343,"")</f>
        <v/>
      </c>
      <c r="M275" s="91" t="str">
        <f>IF([1]Template!C343&lt;&gt;0,[1]Template!C343,"")</f>
        <v/>
      </c>
      <c r="N275" s="91" t="str">
        <f>IF(I275&lt;&gt;"",[1]Template!$D$14,"")</f>
        <v/>
      </c>
      <c r="O275" s="91" t="str">
        <f>IF(I275&lt;&gt;"",[1]Template!F343,"")</f>
        <v/>
      </c>
    </row>
    <row r="276" spans="9:15" x14ac:dyDescent="0.25">
      <c r="I276" s="91" t="str">
        <f>IF([1]Template!G341&gt;0,40,IF([1]Template!H344&gt;0,50,""))</f>
        <v/>
      </c>
      <c r="J276" s="91" t="str">
        <f>IF([1]Template!B344&lt;&gt;0,[1]Template!B344,"")</f>
        <v/>
      </c>
      <c r="K276" s="142" t="str">
        <f>IF([1]Template!G341&gt;0,[1]Template!G341,"")</f>
        <v/>
      </c>
      <c r="L276" s="142" t="str">
        <f>IF([1]Template!H344&gt;0,[1]Template!H344,"")</f>
        <v/>
      </c>
      <c r="M276" s="91" t="str">
        <f>IF([1]Template!C344&lt;&gt;0,[1]Template!C344,"")</f>
        <v/>
      </c>
      <c r="N276" s="91" t="str">
        <f>IF(I276&lt;&gt;"",[1]Template!$D$14,"")</f>
        <v/>
      </c>
      <c r="O276" s="91" t="str">
        <f>IF(I276&lt;&gt;"",[1]Template!F344,"")</f>
        <v/>
      </c>
    </row>
    <row r="277" spans="9:15" x14ac:dyDescent="0.25">
      <c r="I277" s="91" t="str">
        <f>IF([1]Template!G342&gt;0,40,IF([1]Template!H345&gt;0,50,""))</f>
        <v/>
      </c>
      <c r="J277" s="91" t="str">
        <f>IF([1]Template!B345&lt;&gt;0,[1]Template!B345,"")</f>
        <v/>
      </c>
      <c r="K277" s="142" t="str">
        <f>IF([1]Template!G342&gt;0,[1]Template!G342,"")</f>
        <v/>
      </c>
      <c r="L277" s="142" t="str">
        <f>IF([1]Template!H345&gt;0,[1]Template!H345,"")</f>
        <v/>
      </c>
      <c r="M277" s="91" t="str">
        <f>IF([1]Template!C345&lt;&gt;0,[1]Template!C345,"")</f>
        <v/>
      </c>
      <c r="N277" s="91" t="str">
        <f>IF(I277&lt;&gt;"",[1]Template!$D$14,"")</f>
        <v/>
      </c>
      <c r="O277" s="91" t="str">
        <f>IF(I277&lt;&gt;"",[1]Template!F345,"")</f>
        <v/>
      </c>
    </row>
    <row r="278" spans="9:15" x14ac:dyDescent="0.25">
      <c r="I278" s="91" t="str">
        <f>IF([1]Template!G343&gt;0,40,IF([1]Template!H346&gt;0,50,""))</f>
        <v/>
      </c>
      <c r="J278" s="91" t="str">
        <f>IF([1]Template!B346&lt;&gt;0,[1]Template!B346,"")</f>
        <v/>
      </c>
      <c r="K278" s="142" t="str">
        <f>IF([1]Template!G343&gt;0,[1]Template!G343,"")</f>
        <v/>
      </c>
      <c r="L278" s="142" t="str">
        <f>IF([1]Template!H346&gt;0,[1]Template!H346,"")</f>
        <v/>
      </c>
      <c r="M278" s="91" t="str">
        <f>IF([1]Template!C346&lt;&gt;0,[1]Template!C346,"")</f>
        <v/>
      </c>
      <c r="N278" s="91" t="str">
        <f>IF(I278&lt;&gt;"",[1]Template!$D$14,"")</f>
        <v/>
      </c>
      <c r="O278" s="91" t="str">
        <f>IF(I278&lt;&gt;"",[1]Template!F346,"")</f>
        <v/>
      </c>
    </row>
    <row r="279" spans="9:15" x14ac:dyDescent="0.25">
      <c r="I279" s="91" t="str">
        <f>IF([1]Template!G344&gt;0,40,IF([1]Template!H347&gt;0,50,""))</f>
        <v/>
      </c>
      <c r="J279" s="91" t="str">
        <f>IF([1]Template!B347&lt;&gt;0,[1]Template!B347,"")</f>
        <v/>
      </c>
      <c r="K279" s="142" t="str">
        <f>IF([1]Template!G344&gt;0,[1]Template!G344,"")</f>
        <v/>
      </c>
      <c r="L279" s="142" t="str">
        <f>IF([1]Template!H347&gt;0,[1]Template!H347,"")</f>
        <v/>
      </c>
      <c r="M279" s="91" t="str">
        <f>IF([1]Template!C347&lt;&gt;0,[1]Template!C347,"")</f>
        <v/>
      </c>
      <c r="N279" s="91" t="str">
        <f>IF(I279&lt;&gt;"",[1]Template!$D$14,"")</f>
        <v/>
      </c>
      <c r="O279" s="91" t="str">
        <f>IF(I279&lt;&gt;"",[1]Template!F347,"")</f>
        <v/>
      </c>
    </row>
    <row r="280" spans="9:15" x14ac:dyDescent="0.25">
      <c r="I280" s="91" t="str">
        <f>IF([1]Template!G345&gt;0,40,IF([1]Template!H348&gt;0,50,""))</f>
        <v/>
      </c>
      <c r="J280" s="91" t="str">
        <f>IF([1]Template!B348&lt;&gt;0,[1]Template!B348,"")</f>
        <v/>
      </c>
      <c r="K280" s="142" t="str">
        <f>IF([1]Template!G345&gt;0,[1]Template!G345,"")</f>
        <v/>
      </c>
      <c r="L280" s="142" t="str">
        <f>IF([1]Template!H348&gt;0,[1]Template!H348,"")</f>
        <v/>
      </c>
      <c r="M280" s="91" t="str">
        <f>IF([1]Template!C348&lt;&gt;0,[1]Template!C348,"")</f>
        <v/>
      </c>
      <c r="N280" s="91" t="str">
        <f>IF(I280&lt;&gt;"",[1]Template!$D$14,"")</f>
        <v/>
      </c>
      <c r="O280" s="91" t="str">
        <f>IF(I280&lt;&gt;"",[1]Template!F348,"")</f>
        <v/>
      </c>
    </row>
    <row r="281" spans="9:15" x14ac:dyDescent="0.25">
      <c r="I281" s="91" t="str">
        <f>IF([1]Template!G346&gt;0,40,IF([1]Template!H349&gt;0,50,""))</f>
        <v/>
      </c>
      <c r="J281" s="91" t="str">
        <f>IF([1]Template!B349&lt;&gt;0,[1]Template!B349,"")</f>
        <v/>
      </c>
      <c r="K281" s="142" t="str">
        <f>IF([1]Template!G346&gt;0,[1]Template!G346,"")</f>
        <v/>
      </c>
      <c r="L281" s="142" t="str">
        <f>IF([1]Template!H349&gt;0,[1]Template!H349,"")</f>
        <v/>
      </c>
      <c r="M281" s="91" t="str">
        <f>IF([1]Template!C349&lt;&gt;0,[1]Template!C349,"")</f>
        <v/>
      </c>
      <c r="N281" s="91" t="str">
        <f>IF(I281&lt;&gt;"",[1]Template!$D$14,"")</f>
        <v/>
      </c>
      <c r="O281" s="91" t="str">
        <f>IF(I281&lt;&gt;"",[1]Template!F349,"")</f>
        <v/>
      </c>
    </row>
    <row r="282" spans="9:15" x14ac:dyDescent="0.25">
      <c r="I282" s="91" t="str">
        <f>IF([1]Template!G347&gt;0,40,IF([1]Template!H350&gt;0,50,""))</f>
        <v/>
      </c>
      <c r="J282" s="91" t="str">
        <f>IF([1]Template!B350&lt;&gt;0,[1]Template!B350,"")</f>
        <v/>
      </c>
      <c r="K282" s="142" t="str">
        <f>IF([1]Template!G347&gt;0,[1]Template!G347,"")</f>
        <v/>
      </c>
      <c r="L282" s="142" t="str">
        <f>IF([1]Template!H350&gt;0,[1]Template!H350,"")</f>
        <v/>
      </c>
      <c r="M282" s="91" t="str">
        <f>IF([1]Template!C350&lt;&gt;0,[1]Template!C350,"")</f>
        <v/>
      </c>
      <c r="N282" s="91" t="str">
        <f>IF(I282&lt;&gt;"",[1]Template!$D$14,"")</f>
        <v/>
      </c>
      <c r="O282" s="91" t="str">
        <f>IF(I282&lt;&gt;"",[1]Template!F350,"")</f>
        <v/>
      </c>
    </row>
    <row r="283" spans="9:15" x14ac:dyDescent="0.25">
      <c r="I283" s="91" t="str">
        <f>IF([1]Template!G348&gt;0,40,IF([1]Template!H351&gt;0,50,""))</f>
        <v/>
      </c>
      <c r="J283" s="91" t="str">
        <f>IF([1]Template!B351&lt;&gt;0,[1]Template!B351,"")</f>
        <v/>
      </c>
      <c r="K283" s="142" t="str">
        <f>IF([1]Template!G348&gt;0,[1]Template!G348,"")</f>
        <v/>
      </c>
      <c r="L283" s="142" t="str">
        <f>IF([1]Template!H351&gt;0,[1]Template!H351,"")</f>
        <v/>
      </c>
      <c r="M283" s="91" t="str">
        <f>IF([1]Template!C351&lt;&gt;0,[1]Template!C351,"")</f>
        <v/>
      </c>
      <c r="N283" s="91" t="str">
        <f>IF(I283&lt;&gt;"",[1]Template!$D$14,"")</f>
        <v/>
      </c>
      <c r="O283" s="91" t="str">
        <f>IF(I283&lt;&gt;"",[1]Template!F351,"")</f>
        <v/>
      </c>
    </row>
    <row r="284" spans="9:15" x14ac:dyDescent="0.25">
      <c r="I284" s="91" t="str">
        <f>IF([1]Template!G349&gt;0,40,IF([1]Template!H352&gt;0,50,""))</f>
        <v/>
      </c>
      <c r="J284" s="91" t="str">
        <f>IF([1]Template!B352&lt;&gt;0,[1]Template!B352,"")</f>
        <v/>
      </c>
      <c r="K284" s="142" t="str">
        <f>IF([1]Template!G349&gt;0,[1]Template!G349,"")</f>
        <v/>
      </c>
      <c r="L284" s="142" t="str">
        <f>IF([1]Template!H352&gt;0,[1]Template!H352,"")</f>
        <v/>
      </c>
      <c r="M284" s="91" t="str">
        <f>IF([1]Template!C352&lt;&gt;0,[1]Template!C352,"")</f>
        <v/>
      </c>
      <c r="N284" s="91" t="str">
        <f>IF(I284&lt;&gt;"",[1]Template!$D$14,"")</f>
        <v/>
      </c>
      <c r="O284" s="91" t="str">
        <f>IF(I284&lt;&gt;"",[1]Template!F352,"")</f>
        <v/>
      </c>
    </row>
    <row r="285" spans="9:15" x14ac:dyDescent="0.25">
      <c r="I285" s="91" t="str">
        <f>IF([1]Template!G350&gt;0,40,IF([1]Template!H353&gt;0,50,""))</f>
        <v/>
      </c>
      <c r="J285" s="91" t="str">
        <f>IF([1]Template!B353&lt;&gt;0,[1]Template!B353,"")</f>
        <v/>
      </c>
      <c r="K285" s="142" t="str">
        <f>IF([1]Template!G350&gt;0,[1]Template!G350,"")</f>
        <v/>
      </c>
      <c r="L285" s="142" t="str">
        <f>IF([1]Template!H353&gt;0,[1]Template!H353,"")</f>
        <v/>
      </c>
      <c r="M285" s="91" t="str">
        <f>IF([1]Template!C353&lt;&gt;0,[1]Template!C353,"")</f>
        <v/>
      </c>
      <c r="N285" s="91" t="str">
        <f>IF(I285&lt;&gt;"",[1]Template!$D$14,"")</f>
        <v/>
      </c>
      <c r="O285" s="91" t="str">
        <f>IF(I285&lt;&gt;"",[1]Template!F353,"")</f>
        <v/>
      </c>
    </row>
    <row r="286" spans="9:15" x14ac:dyDescent="0.25">
      <c r="I286" s="91" t="str">
        <f>IF([1]Template!G351&gt;0,40,IF([1]Template!H354&gt;0,50,""))</f>
        <v/>
      </c>
      <c r="J286" s="91" t="str">
        <f>IF([1]Template!B354&lt;&gt;0,[1]Template!B354,"")</f>
        <v/>
      </c>
      <c r="K286" s="142" t="str">
        <f>IF([1]Template!G351&gt;0,[1]Template!G351,"")</f>
        <v/>
      </c>
      <c r="L286" s="142" t="str">
        <f>IF([1]Template!H354&gt;0,[1]Template!H354,"")</f>
        <v/>
      </c>
      <c r="M286" s="91" t="str">
        <f>IF([1]Template!C354&lt;&gt;0,[1]Template!C354,"")</f>
        <v/>
      </c>
      <c r="N286" s="91" t="str">
        <f>IF(I286&lt;&gt;"",[1]Template!$D$14,"")</f>
        <v/>
      </c>
      <c r="O286" s="91" t="str">
        <f>IF(I286&lt;&gt;"",[1]Template!F354,"")</f>
        <v/>
      </c>
    </row>
    <row r="287" spans="9:15" x14ac:dyDescent="0.25">
      <c r="I287" s="91" t="str">
        <f>IF([1]Template!G352&gt;0,40,IF([1]Template!H355&gt;0,50,""))</f>
        <v/>
      </c>
      <c r="J287" s="91" t="str">
        <f>IF([1]Template!B355&lt;&gt;0,[1]Template!B355,"")</f>
        <v/>
      </c>
      <c r="K287" s="142" t="str">
        <f>IF([1]Template!G352&gt;0,[1]Template!G352,"")</f>
        <v/>
      </c>
      <c r="L287" s="142" t="str">
        <f>IF([1]Template!H355&gt;0,[1]Template!H355,"")</f>
        <v/>
      </c>
      <c r="M287" s="91" t="str">
        <f>IF([1]Template!C355&lt;&gt;0,[1]Template!C355,"")</f>
        <v/>
      </c>
      <c r="N287" s="91" t="str">
        <f>IF(I287&lt;&gt;"",[1]Template!$D$14,"")</f>
        <v/>
      </c>
      <c r="O287" s="91" t="str">
        <f>IF(I287&lt;&gt;"",[1]Template!F355,"")</f>
        <v/>
      </c>
    </row>
    <row r="288" spans="9:15" x14ac:dyDescent="0.25">
      <c r="I288" s="91" t="str">
        <f>IF([1]Template!G353&gt;0,40,IF([1]Template!H356&gt;0,50,""))</f>
        <v/>
      </c>
      <c r="J288" s="91" t="str">
        <f>IF([1]Template!B356&lt;&gt;0,[1]Template!B356,"")</f>
        <v/>
      </c>
      <c r="K288" s="142" t="str">
        <f>IF([1]Template!G353&gt;0,[1]Template!G353,"")</f>
        <v/>
      </c>
      <c r="L288" s="142" t="str">
        <f>IF([1]Template!H356&gt;0,[1]Template!H356,"")</f>
        <v/>
      </c>
      <c r="M288" s="91" t="str">
        <f>IF([1]Template!C356&lt;&gt;0,[1]Template!C356,"")</f>
        <v/>
      </c>
      <c r="N288" s="91" t="str">
        <f>IF(I288&lt;&gt;"",[1]Template!$D$14,"")</f>
        <v/>
      </c>
      <c r="O288" s="91" t="str">
        <f>IF(I288&lt;&gt;"",[1]Template!F356,"")</f>
        <v/>
      </c>
    </row>
    <row r="289" spans="9:15" x14ac:dyDescent="0.25">
      <c r="I289" s="91" t="str">
        <f>IF([1]Template!G354&gt;0,40,IF([1]Template!H357&gt;0,50,""))</f>
        <v/>
      </c>
      <c r="J289" s="91" t="str">
        <f>IF([1]Template!B357&lt;&gt;0,[1]Template!B357,"")</f>
        <v/>
      </c>
      <c r="K289" s="142" t="str">
        <f>IF([1]Template!G354&gt;0,[1]Template!G354,"")</f>
        <v/>
      </c>
      <c r="L289" s="142" t="str">
        <f>IF([1]Template!H357&gt;0,[1]Template!H357,"")</f>
        <v/>
      </c>
      <c r="M289" s="91" t="str">
        <f>IF([1]Template!C357&lt;&gt;0,[1]Template!C357,"")</f>
        <v/>
      </c>
      <c r="N289" s="91" t="str">
        <f>IF(I289&lt;&gt;"",[1]Template!$D$14,"")</f>
        <v/>
      </c>
      <c r="O289" s="91" t="str">
        <f>IF(I289&lt;&gt;"",[1]Template!F357,"")</f>
        <v/>
      </c>
    </row>
    <row r="290" spans="9:15" x14ac:dyDescent="0.25">
      <c r="I290" s="91" t="str">
        <f>IF([1]Template!G355&gt;0,40,IF([1]Template!H358&gt;0,50,""))</f>
        <v/>
      </c>
      <c r="J290" s="91" t="str">
        <f>IF([1]Template!B358&lt;&gt;0,[1]Template!B358,"")</f>
        <v/>
      </c>
      <c r="K290" s="142" t="str">
        <f>IF([1]Template!G355&gt;0,[1]Template!G355,"")</f>
        <v/>
      </c>
      <c r="L290" s="142" t="str">
        <f>IF([1]Template!H358&gt;0,[1]Template!H358,"")</f>
        <v/>
      </c>
      <c r="M290" s="91" t="str">
        <f>IF([1]Template!C358&lt;&gt;0,[1]Template!C358,"")</f>
        <v/>
      </c>
      <c r="N290" s="91" t="str">
        <f>IF(I290&lt;&gt;"",[1]Template!$D$14,"")</f>
        <v/>
      </c>
      <c r="O290" s="91" t="str">
        <f>IF(I290&lt;&gt;"",[1]Template!F358,"")</f>
        <v/>
      </c>
    </row>
    <row r="291" spans="9:15" x14ac:dyDescent="0.25">
      <c r="I291" s="91" t="str">
        <f>IF([1]Template!G356&gt;0,40,IF([1]Template!H359&gt;0,50,""))</f>
        <v/>
      </c>
      <c r="J291" s="91" t="str">
        <f>IF([1]Template!B359&lt;&gt;0,[1]Template!B359,"")</f>
        <v/>
      </c>
      <c r="K291" s="142" t="str">
        <f>IF([1]Template!G356&gt;0,[1]Template!G356,"")</f>
        <v/>
      </c>
      <c r="L291" s="142" t="str">
        <f>IF([1]Template!H359&gt;0,[1]Template!H359,"")</f>
        <v/>
      </c>
      <c r="M291" s="91" t="str">
        <f>IF([1]Template!C359&lt;&gt;0,[1]Template!C359,"")</f>
        <v/>
      </c>
      <c r="N291" s="91" t="str">
        <f>IF(I291&lt;&gt;"",[1]Template!$D$14,"")</f>
        <v/>
      </c>
      <c r="O291" s="91" t="str">
        <f>IF(I291&lt;&gt;"",[1]Template!F359,"")</f>
        <v/>
      </c>
    </row>
    <row r="292" spans="9:15" x14ac:dyDescent="0.25">
      <c r="I292" s="91" t="str">
        <f>IF([1]Template!G357&gt;0,40,IF([1]Template!H360&gt;0,50,""))</f>
        <v/>
      </c>
      <c r="J292" s="91" t="str">
        <f>IF([1]Template!B360&lt;&gt;0,[1]Template!B360,"")</f>
        <v/>
      </c>
      <c r="K292" s="142" t="str">
        <f>IF([1]Template!G357&gt;0,[1]Template!G357,"")</f>
        <v/>
      </c>
      <c r="L292" s="142" t="str">
        <f>IF([1]Template!H360&gt;0,[1]Template!H360,"")</f>
        <v/>
      </c>
      <c r="M292" s="91" t="str">
        <f>IF([1]Template!C360&lt;&gt;0,[1]Template!C360,"")</f>
        <v/>
      </c>
      <c r="N292" s="91" t="str">
        <f>IF(I292&lt;&gt;"",[1]Template!$D$14,"")</f>
        <v/>
      </c>
      <c r="O292" s="91" t="str">
        <f>IF(I292&lt;&gt;"",[1]Template!F360,"")</f>
        <v/>
      </c>
    </row>
    <row r="293" spans="9:15" x14ac:dyDescent="0.25">
      <c r="I293" s="91" t="str">
        <f>IF([1]Template!G358&gt;0,40,IF([1]Template!H361&gt;0,50,""))</f>
        <v/>
      </c>
      <c r="J293" s="91" t="str">
        <f>IF([1]Template!B361&lt;&gt;0,[1]Template!B361,"")</f>
        <v/>
      </c>
      <c r="K293" s="142" t="str">
        <f>IF([1]Template!G358&gt;0,[1]Template!G358,"")</f>
        <v/>
      </c>
      <c r="L293" s="142" t="str">
        <f>IF([1]Template!H361&gt;0,[1]Template!H361,"")</f>
        <v/>
      </c>
      <c r="M293" s="91" t="str">
        <f>IF([1]Template!C361&lt;&gt;0,[1]Template!C361,"")</f>
        <v/>
      </c>
      <c r="N293" s="91" t="str">
        <f>IF(I293&lt;&gt;"",[1]Template!$D$14,"")</f>
        <v/>
      </c>
      <c r="O293" s="91" t="str">
        <f>IF(I293&lt;&gt;"",[1]Template!F361,"")</f>
        <v/>
      </c>
    </row>
    <row r="294" spans="9:15" x14ac:dyDescent="0.25">
      <c r="I294" s="91" t="str">
        <f>IF([1]Template!G359&gt;0,40,IF([1]Template!H362&gt;0,50,""))</f>
        <v/>
      </c>
      <c r="J294" s="91" t="str">
        <f>IF([1]Template!B362&lt;&gt;0,[1]Template!B362,"")</f>
        <v/>
      </c>
      <c r="K294" s="142" t="str">
        <f>IF([1]Template!G359&gt;0,[1]Template!G359,"")</f>
        <v/>
      </c>
      <c r="L294" s="142" t="str">
        <f>IF([1]Template!H362&gt;0,[1]Template!H362,"")</f>
        <v/>
      </c>
      <c r="M294" s="91" t="str">
        <f>IF([1]Template!C362&lt;&gt;0,[1]Template!C362,"")</f>
        <v/>
      </c>
      <c r="N294" s="91" t="str">
        <f>IF(I294&lt;&gt;"",[1]Template!$D$14,"")</f>
        <v/>
      </c>
      <c r="O294" s="91" t="str">
        <f>IF(I294&lt;&gt;"",[1]Template!F362,"")</f>
        <v/>
      </c>
    </row>
    <row r="295" spans="9:15" x14ac:dyDescent="0.25">
      <c r="I295" s="91" t="str">
        <f>IF([1]Template!G360&gt;0,40,IF([1]Template!H363&gt;0,50,""))</f>
        <v/>
      </c>
      <c r="J295" s="91" t="str">
        <f>IF([1]Template!B363&lt;&gt;0,[1]Template!B363,"")</f>
        <v/>
      </c>
      <c r="K295" s="142" t="str">
        <f>IF([1]Template!G360&gt;0,[1]Template!G360,"")</f>
        <v/>
      </c>
      <c r="L295" s="142" t="str">
        <f>IF([1]Template!H363&gt;0,[1]Template!H363,"")</f>
        <v/>
      </c>
      <c r="M295" s="91" t="str">
        <f>IF([1]Template!C363&lt;&gt;0,[1]Template!C363,"")</f>
        <v/>
      </c>
      <c r="N295" s="91" t="str">
        <f>IF(I295&lt;&gt;"",[1]Template!$D$14,"")</f>
        <v/>
      </c>
      <c r="O295" s="91" t="str">
        <f>IF(I295&lt;&gt;"",[1]Template!F363,"")</f>
        <v/>
      </c>
    </row>
    <row r="296" spans="9:15" x14ac:dyDescent="0.25">
      <c r="I296" s="91" t="str">
        <f>IF([1]Template!G361&gt;0,40,IF([1]Template!H364&gt;0,50,""))</f>
        <v/>
      </c>
      <c r="J296" s="91" t="str">
        <f>IF([1]Template!B364&lt;&gt;0,[1]Template!B364,"")</f>
        <v/>
      </c>
      <c r="K296" s="142" t="str">
        <f>IF([1]Template!G361&gt;0,[1]Template!G361,"")</f>
        <v/>
      </c>
      <c r="L296" s="142" t="str">
        <f>IF([1]Template!H364&gt;0,[1]Template!H364,"")</f>
        <v/>
      </c>
      <c r="M296" s="91" t="str">
        <f>IF([1]Template!C364&lt;&gt;0,[1]Template!C364,"")</f>
        <v/>
      </c>
      <c r="N296" s="91" t="str">
        <f>IF(I296&lt;&gt;"",[1]Template!$D$14,"")</f>
        <v/>
      </c>
      <c r="O296" s="91" t="str">
        <f>IF(I296&lt;&gt;"",[1]Template!F364,"")</f>
        <v/>
      </c>
    </row>
    <row r="297" spans="9:15" x14ac:dyDescent="0.25">
      <c r="I297" s="91" t="str">
        <f>IF([1]Template!G362&gt;0,40,IF([1]Template!H365&gt;0,50,""))</f>
        <v/>
      </c>
      <c r="J297" s="91" t="str">
        <f>IF([1]Template!B365&lt;&gt;0,[1]Template!B365,"")</f>
        <v/>
      </c>
      <c r="K297" s="142" t="str">
        <f>IF([1]Template!G362&gt;0,[1]Template!G362,"")</f>
        <v/>
      </c>
      <c r="L297" s="142" t="str">
        <f>IF([1]Template!H365&gt;0,[1]Template!H365,"")</f>
        <v/>
      </c>
      <c r="M297" s="91" t="str">
        <f>IF([1]Template!C365&lt;&gt;0,[1]Template!C365,"")</f>
        <v/>
      </c>
      <c r="N297" s="91" t="str">
        <f>IF(I297&lt;&gt;"",[1]Template!$D$14,"")</f>
        <v/>
      </c>
      <c r="O297" s="91" t="str">
        <f>IF(I297&lt;&gt;"",[1]Template!F365,"")</f>
        <v/>
      </c>
    </row>
    <row r="298" spans="9:15" x14ac:dyDescent="0.25">
      <c r="I298" s="91" t="str">
        <f>IF([1]Template!G363&gt;0,40,IF([1]Template!H366&gt;0,50,""))</f>
        <v/>
      </c>
      <c r="J298" s="91" t="str">
        <f>IF([1]Template!B366&lt;&gt;0,[1]Template!B366,"")</f>
        <v/>
      </c>
      <c r="K298" s="142" t="str">
        <f>IF([1]Template!G363&gt;0,[1]Template!G363,"")</f>
        <v/>
      </c>
      <c r="L298" s="142" t="str">
        <f>IF([1]Template!H366&gt;0,[1]Template!H366,"")</f>
        <v/>
      </c>
      <c r="M298" s="91" t="str">
        <f>IF([1]Template!C366&lt;&gt;0,[1]Template!C366,"")</f>
        <v/>
      </c>
      <c r="N298" s="91" t="str">
        <f>IF(I298&lt;&gt;"",[1]Template!$D$14,"")</f>
        <v/>
      </c>
      <c r="O298" s="91" t="str">
        <f>IF(I298&lt;&gt;"",[1]Template!F366,"")</f>
        <v/>
      </c>
    </row>
    <row r="299" spans="9:15" x14ac:dyDescent="0.25">
      <c r="I299" s="91" t="str">
        <f>IF([1]Template!G364&gt;0,40,IF([1]Template!H367&gt;0,50,""))</f>
        <v/>
      </c>
      <c r="J299" s="91" t="str">
        <f>IF([1]Template!B367&lt;&gt;0,[1]Template!B367,"")</f>
        <v/>
      </c>
      <c r="K299" s="142" t="str">
        <f>IF([1]Template!G364&gt;0,[1]Template!G364,"")</f>
        <v/>
      </c>
      <c r="L299" s="142" t="str">
        <f>IF([1]Template!H367&gt;0,[1]Template!H367,"")</f>
        <v/>
      </c>
      <c r="M299" s="91" t="str">
        <f>IF([1]Template!C367&lt;&gt;0,[1]Template!C367,"")</f>
        <v/>
      </c>
      <c r="N299" s="91" t="str">
        <f>IF(I299&lt;&gt;"",[1]Template!$D$14,"")</f>
        <v/>
      </c>
      <c r="O299" s="91" t="str">
        <f>IF(I299&lt;&gt;"",[1]Template!F367,"")</f>
        <v/>
      </c>
    </row>
    <row r="300" spans="9:15" x14ac:dyDescent="0.25">
      <c r="I300" s="91" t="str">
        <f>IF([1]Template!G365&gt;0,40,IF([1]Template!H368&gt;0,50,""))</f>
        <v/>
      </c>
      <c r="J300" s="91" t="str">
        <f>IF([1]Template!B368&lt;&gt;0,[1]Template!B368,"")</f>
        <v/>
      </c>
      <c r="K300" s="142" t="str">
        <f>IF([1]Template!G365&gt;0,[1]Template!G365,"")</f>
        <v/>
      </c>
      <c r="L300" s="142" t="str">
        <f>IF([1]Template!H368&gt;0,[1]Template!H368,"")</f>
        <v/>
      </c>
      <c r="M300" s="91" t="str">
        <f>IF([1]Template!C368&lt;&gt;0,[1]Template!C368,"")</f>
        <v/>
      </c>
      <c r="N300" s="91" t="str">
        <f>IF(I300&lt;&gt;"",[1]Template!$D$14,"")</f>
        <v/>
      </c>
      <c r="O300" s="91" t="str">
        <f>IF(I300&lt;&gt;"",[1]Template!F368,"")</f>
        <v/>
      </c>
    </row>
    <row r="301" spans="9:15" x14ac:dyDescent="0.25">
      <c r="I301" s="91" t="str">
        <f>IF([1]Template!G366&gt;0,40,IF([1]Template!H369&gt;0,50,""))</f>
        <v/>
      </c>
      <c r="J301" s="91" t="str">
        <f>IF([1]Template!B369&lt;&gt;0,[1]Template!B369,"")</f>
        <v/>
      </c>
      <c r="K301" s="142" t="str">
        <f>IF([1]Template!G366&gt;0,[1]Template!G366,"")</f>
        <v/>
      </c>
      <c r="L301" s="142" t="str">
        <f>IF([1]Template!H369&gt;0,[1]Template!H369,"")</f>
        <v/>
      </c>
      <c r="M301" s="91" t="str">
        <f>IF([1]Template!C369&lt;&gt;0,[1]Template!C369,"")</f>
        <v/>
      </c>
      <c r="N301" s="91" t="str">
        <f>IF(I301&lt;&gt;"",[1]Template!$D$14,"")</f>
        <v/>
      </c>
      <c r="O301" s="91" t="str">
        <f>IF(I301&lt;&gt;"",[1]Template!F369,"")</f>
        <v/>
      </c>
    </row>
    <row r="302" spans="9:15" x14ac:dyDescent="0.25">
      <c r="I302" s="91" t="str">
        <f>IF([1]Template!G367&gt;0,40,IF([1]Template!H370&gt;0,50,""))</f>
        <v/>
      </c>
      <c r="J302" s="91" t="str">
        <f>IF([1]Template!B370&lt;&gt;0,[1]Template!B370,"")</f>
        <v/>
      </c>
      <c r="K302" s="142" t="str">
        <f>IF([1]Template!G367&gt;0,[1]Template!G367,"")</f>
        <v/>
      </c>
      <c r="L302" s="142" t="str">
        <f>IF([1]Template!H370&gt;0,[1]Template!H370,"")</f>
        <v/>
      </c>
      <c r="M302" s="91" t="str">
        <f>IF([1]Template!C370&lt;&gt;0,[1]Template!C370,"")</f>
        <v/>
      </c>
      <c r="N302" s="91" t="str">
        <f>IF(I302&lt;&gt;"",[1]Template!$D$14,"")</f>
        <v/>
      </c>
      <c r="O302" s="91" t="str">
        <f>IF(I302&lt;&gt;"",[1]Template!F370,"")</f>
        <v/>
      </c>
    </row>
    <row r="303" spans="9:15" x14ac:dyDescent="0.25">
      <c r="I303" s="91" t="str">
        <f>IF([1]Template!G368&gt;0,40,IF([1]Template!H371&gt;0,50,""))</f>
        <v/>
      </c>
      <c r="J303" s="91" t="str">
        <f>IF([1]Template!B371&lt;&gt;0,[1]Template!B371,"")</f>
        <v/>
      </c>
      <c r="K303" s="142" t="str">
        <f>IF([1]Template!G368&gt;0,[1]Template!G368,"")</f>
        <v/>
      </c>
      <c r="L303" s="142" t="str">
        <f>IF([1]Template!H371&gt;0,[1]Template!H371,"")</f>
        <v/>
      </c>
      <c r="M303" s="91" t="str">
        <f>IF([1]Template!C371&lt;&gt;0,[1]Template!C371,"")</f>
        <v/>
      </c>
      <c r="N303" s="91" t="str">
        <f>IF(I303&lt;&gt;"",[1]Template!$D$14,"")</f>
        <v/>
      </c>
      <c r="O303" s="91" t="str">
        <f>IF(I303&lt;&gt;"",[1]Template!F371,"")</f>
        <v/>
      </c>
    </row>
    <row r="304" spans="9:15" x14ac:dyDescent="0.25">
      <c r="I304" s="91" t="str">
        <f>IF([1]Template!G369&gt;0,40,IF([1]Template!H372&gt;0,50,""))</f>
        <v/>
      </c>
      <c r="J304" s="91" t="str">
        <f>IF([1]Template!B372&lt;&gt;0,[1]Template!B372,"")</f>
        <v/>
      </c>
      <c r="K304" s="142" t="str">
        <f>IF([1]Template!G369&gt;0,[1]Template!G369,"")</f>
        <v/>
      </c>
      <c r="L304" s="142" t="str">
        <f>IF([1]Template!H372&gt;0,[1]Template!H372,"")</f>
        <v/>
      </c>
      <c r="M304" s="91" t="str">
        <f>IF([1]Template!C372&lt;&gt;0,[1]Template!C372,"")</f>
        <v/>
      </c>
      <c r="N304" s="91" t="str">
        <f>IF(I304&lt;&gt;"",[1]Template!$D$14,"")</f>
        <v/>
      </c>
      <c r="O304" s="91" t="str">
        <f>IF(I304&lt;&gt;"",[1]Template!F372,"")</f>
        <v/>
      </c>
    </row>
    <row r="305" spans="9:15" x14ac:dyDescent="0.25">
      <c r="I305" s="91" t="str">
        <f>IF([1]Template!G370&gt;0,40,IF([1]Template!H373&gt;0,50,""))</f>
        <v/>
      </c>
      <c r="J305" s="91" t="str">
        <f>IF([1]Template!B373&lt;&gt;0,[1]Template!B373,"")</f>
        <v/>
      </c>
      <c r="K305" s="142" t="str">
        <f>IF([1]Template!G370&gt;0,[1]Template!G370,"")</f>
        <v/>
      </c>
      <c r="L305" s="142" t="str">
        <f>IF([1]Template!H373&gt;0,[1]Template!H373,"")</f>
        <v/>
      </c>
      <c r="M305" s="91" t="str">
        <f>IF([1]Template!C373&lt;&gt;0,[1]Template!C373,"")</f>
        <v/>
      </c>
      <c r="N305" s="91" t="str">
        <f>IF(I305&lt;&gt;"",[1]Template!$D$14,"")</f>
        <v/>
      </c>
      <c r="O305" s="91" t="str">
        <f>IF(I305&lt;&gt;"",[1]Template!F373,"")</f>
        <v/>
      </c>
    </row>
    <row r="306" spans="9:15" x14ac:dyDescent="0.25">
      <c r="I306" s="91" t="str">
        <f>IF([1]Template!G371&gt;0,40,IF([1]Template!H374&gt;0,50,""))</f>
        <v/>
      </c>
      <c r="J306" s="91" t="str">
        <f>IF([1]Template!B374&lt;&gt;0,[1]Template!B374,"")</f>
        <v/>
      </c>
      <c r="K306" s="142" t="str">
        <f>IF([1]Template!G371&gt;0,[1]Template!G371,"")</f>
        <v/>
      </c>
      <c r="L306" s="142" t="str">
        <f>IF([1]Template!H374&gt;0,[1]Template!H374,"")</f>
        <v/>
      </c>
      <c r="M306" s="91" t="str">
        <f>IF([1]Template!C374&lt;&gt;0,[1]Template!C374,"")</f>
        <v/>
      </c>
      <c r="N306" s="91" t="str">
        <f>IF(I306&lt;&gt;"",[1]Template!$D$14,"")</f>
        <v/>
      </c>
      <c r="O306" s="91" t="str">
        <f>IF(I306&lt;&gt;"",[1]Template!F374,"")</f>
        <v/>
      </c>
    </row>
    <row r="307" spans="9:15" x14ac:dyDescent="0.25">
      <c r="I307" s="91" t="str">
        <f>IF([1]Template!G372&gt;0,40,IF([1]Template!H375&gt;0,50,""))</f>
        <v/>
      </c>
      <c r="J307" s="91" t="str">
        <f>IF([1]Template!B375&lt;&gt;0,[1]Template!B375,"")</f>
        <v/>
      </c>
      <c r="K307" s="142" t="str">
        <f>IF([1]Template!G372&gt;0,[1]Template!G372,"")</f>
        <v/>
      </c>
      <c r="L307" s="142" t="str">
        <f>IF([1]Template!H375&gt;0,[1]Template!H375,"")</f>
        <v/>
      </c>
      <c r="M307" s="91" t="str">
        <f>IF([1]Template!C375&lt;&gt;0,[1]Template!C375,"")</f>
        <v/>
      </c>
      <c r="N307" s="91" t="str">
        <f>IF(I307&lt;&gt;"",[1]Template!$D$14,"")</f>
        <v/>
      </c>
      <c r="O307" s="91" t="str">
        <f>IF(I307&lt;&gt;"",[1]Template!F375,"")</f>
        <v/>
      </c>
    </row>
    <row r="308" spans="9:15" x14ac:dyDescent="0.25">
      <c r="I308" s="91" t="str">
        <f>IF([1]Template!G373&gt;0,40,IF([1]Template!H376&gt;0,50,""))</f>
        <v/>
      </c>
      <c r="J308" s="91" t="str">
        <f>IF([1]Template!B376&lt;&gt;0,[1]Template!B376,"")</f>
        <v/>
      </c>
      <c r="K308" s="142" t="str">
        <f>IF([1]Template!G373&gt;0,[1]Template!G373,"")</f>
        <v/>
      </c>
      <c r="L308" s="142" t="str">
        <f>IF([1]Template!H376&gt;0,[1]Template!H376,"")</f>
        <v/>
      </c>
      <c r="M308" s="91" t="str">
        <f>IF([1]Template!C376&lt;&gt;0,[1]Template!C376,"")</f>
        <v/>
      </c>
      <c r="N308" s="91" t="str">
        <f>IF(I308&lt;&gt;"",[1]Template!$D$14,"")</f>
        <v/>
      </c>
      <c r="O308" s="91" t="str">
        <f>IF(I308&lt;&gt;"",[1]Template!F376,"")</f>
        <v/>
      </c>
    </row>
    <row r="309" spans="9:15" x14ac:dyDescent="0.25">
      <c r="I309" s="91" t="str">
        <f>IF([1]Template!G374&gt;0,40,IF([1]Template!H377&gt;0,50,""))</f>
        <v/>
      </c>
      <c r="J309" s="91" t="str">
        <f>IF([1]Template!B377&lt;&gt;0,[1]Template!B377,"")</f>
        <v/>
      </c>
      <c r="K309" s="142" t="str">
        <f>IF([1]Template!G374&gt;0,[1]Template!G374,"")</f>
        <v/>
      </c>
      <c r="L309" s="142" t="str">
        <f>IF([1]Template!H377&gt;0,[1]Template!H377,"")</f>
        <v/>
      </c>
      <c r="M309" s="91" t="str">
        <f>IF([1]Template!C377&lt;&gt;0,[1]Template!C377,"")</f>
        <v/>
      </c>
      <c r="N309" s="91" t="str">
        <f>IF(I309&lt;&gt;"",[1]Template!$D$14,"")</f>
        <v/>
      </c>
      <c r="O309" s="91" t="str">
        <f>IF(I309&lt;&gt;"",[1]Template!F377,"")</f>
        <v/>
      </c>
    </row>
    <row r="310" spans="9:15" x14ac:dyDescent="0.25">
      <c r="I310" s="91" t="str">
        <f>IF([1]Template!G375&gt;0,40,IF([1]Template!H378&gt;0,50,""))</f>
        <v/>
      </c>
      <c r="J310" s="91" t="str">
        <f>IF([1]Template!B378&lt;&gt;0,[1]Template!B378,"")</f>
        <v/>
      </c>
      <c r="K310" s="142" t="str">
        <f>IF([1]Template!G375&gt;0,[1]Template!G375,"")</f>
        <v/>
      </c>
      <c r="L310" s="142" t="str">
        <f>IF([1]Template!H378&gt;0,[1]Template!H378,"")</f>
        <v/>
      </c>
      <c r="M310" s="91" t="str">
        <f>IF([1]Template!C378&lt;&gt;0,[1]Template!C378,"")</f>
        <v/>
      </c>
      <c r="N310" s="91" t="str">
        <f>IF(I310&lt;&gt;"",[1]Template!$D$14,"")</f>
        <v/>
      </c>
      <c r="O310" s="91" t="str">
        <f>IF(I310&lt;&gt;"",[1]Template!F378,"")</f>
        <v/>
      </c>
    </row>
    <row r="311" spans="9:15" x14ac:dyDescent="0.25">
      <c r="I311" s="91" t="str">
        <f>IF([1]Template!G376&gt;0,40,IF([1]Template!H379&gt;0,50,""))</f>
        <v/>
      </c>
      <c r="J311" s="91" t="str">
        <f>IF([1]Template!B379&lt;&gt;0,[1]Template!B379,"")</f>
        <v/>
      </c>
      <c r="K311" s="142" t="str">
        <f>IF([1]Template!G376&gt;0,[1]Template!G376,"")</f>
        <v/>
      </c>
      <c r="L311" s="142" t="str">
        <f>IF([1]Template!H379&gt;0,[1]Template!H379,"")</f>
        <v/>
      </c>
      <c r="M311" s="91" t="str">
        <f>IF([1]Template!C379&lt;&gt;0,[1]Template!C379,"")</f>
        <v/>
      </c>
      <c r="N311" s="91" t="str">
        <f>IF(I311&lt;&gt;"",[1]Template!$D$14,"")</f>
        <v/>
      </c>
      <c r="O311" s="91" t="str">
        <f>IF(I311&lt;&gt;"",[1]Template!F379,"")</f>
        <v/>
      </c>
    </row>
    <row r="312" spans="9:15" x14ac:dyDescent="0.25">
      <c r="I312" s="91" t="str">
        <f>IF([1]Template!G377&gt;0,40,IF([1]Template!H380&gt;0,50,""))</f>
        <v/>
      </c>
      <c r="J312" s="91" t="str">
        <f>IF([1]Template!B380&lt;&gt;0,[1]Template!B380,"")</f>
        <v/>
      </c>
      <c r="K312" s="142" t="str">
        <f>IF([1]Template!G377&gt;0,[1]Template!G377,"")</f>
        <v/>
      </c>
      <c r="L312" s="142" t="str">
        <f>IF([1]Template!H380&gt;0,[1]Template!H380,"")</f>
        <v/>
      </c>
      <c r="M312" s="91" t="str">
        <f>IF([1]Template!C380&lt;&gt;0,[1]Template!C380,"")</f>
        <v/>
      </c>
      <c r="N312" s="91" t="str">
        <f>IF(I312&lt;&gt;"",[1]Template!$D$14,"")</f>
        <v/>
      </c>
      <c r="O312" s="91" t="str">
        <f>IF(I312&lt;&gt;"",[1]Template!F380,"")</f>
        <v/>
      </c>
    </row>
    <row r="313" spans="9:15" x14ac:dyDescent="0.25">
      <c r="I313" s="91" t="str">
        <f>IF([1]Template!G378&gt;0,40,IF([1]Template!H381&gt;0,50,""))</f>
        <v/>
      </c>
      <c r="J313" s="91" t="str">
        <f>IF([1]Template!B381&lt;&gt;0,[1]Template!B381,"")</f>
        <v/>
      </c>
      <c r="K313" s="142" t="str">
        <f>IF([1]Template!G378&gt;0,[1]Template!G378,"")</f>
        <v/>
      </c>
      <c r="L313" s="142" t="str">
        <f>IF([1]Template!H381&gt;0,[1]Template!H381,"")</f>
        <v/>
      </c>
      <c r="M313" s="91" t="str">
        <f>IF([1]Template!C381&lt;&gt;0,[1]Template!C381,"")</f>
        <v/>
      </c>
      <c r="N313" s="91" t="str">
        <f>IF(I313&lt;&gt;"",[1]Template!$D$14,"")</f>
        <v/>
      </c>
      <c r="O313" s="91" t="str">
        <f>IF(I313&lt;&gt;"",[1]Template!F381,"")</f>
        <v/>
      </c>
    </row>
    <row r="314" spans="9:15" x14ac:dyDescent="0.25">
      <c r="I314" s="91" t="str">
        <f>IF([1]Template!G379&gt;0,40,IF([1]Template!H382&gt;0,50,""))</f>
        <v/>
      </c>
      <c r="J314" s="91" t="str">
        <f>IF([1]Template!B382&lt;&gt;0,[1]Template!B382,"")</f>
        <v/>
      </c>
      <c r="K314" s="142" t="str">
        <f>IF([1]Template!G379&gt;0,[1]Template!G379,"")</f>
        <v/>
      </c>
      <c r="L314" s="142" t="str">
        <f>IF([1]Template!H382&gt;0,[1]Template!H382,"")</f>
        <v/>
      </c>
      <c r="M314" s="91" t="str">
        <f>IF([1]Template!C382&lt;&gt;0,[1]Template!C382,"")</f>
        <v/>
      </c>
      <c r="N314" s="91" t="str">
        <f>IF(I314&lt;&gt;"",[1]Template!$D$14,"")</f>
        <v/>
      </c>
      <c r="O314" s="91" t="str">
        <f>IF(I314&lt;&gt;"",[1]Template!F382,"")</f>
        <v/>
      </c>
    </row>
    <row r="315" spans="9:15" x14ac:dyDescent="0.25">
      <c r="I315" s="91" t="str">
        <f>IF([1]Template!G380&gt;0,40,IF([1]Template!H383&gt;0,50,""))</f>
        <v/>
      </c>
      <c r="J315" s="91" t="str">
        <f>IF([1]Template!B383&lt;&gt;0,[1]Template!B383,"")</f>
        <v/>
      </c>
      <c r="K315" s="142" t="str">
        <f>IF([1]Template!G380&gt;0,[1]Template!G380,"")</f>
        <v/>
      </c>
      <c r="L315" s="142" t="str">
        <f>IF([1]Template!H383&gt;0,[1]Template!H383,"")</f>
        <v/>
      </c>
      <c r="M315" s="91" t="str">
        <f>IF([1]Template!C383&lt;&gt;0,[1]Template!C383,"")</f>
        <v/>
      </c>
      <c r="N315" s="91" t="str">
        <f>IF(I315&lt;&gt;"",[1]Template!$D$14,"")</f>
        <v/>
      </c>
      <c r="O315" s="91" t="str">
        <f>IF(I315&lt;&gt;"",[1]Template!F383,"")</f>
        <v/>
      </c>
    </row>
    <row r="316" spans="9:15" x14ac:dyDescent="0.25">
      <c r="I316" s="91" t="str">
        <f>IF([1]Template!G381&gt;0,40,IF([1]Template!H384&gt;0,50,""))</f>
        <v/>
      </c>
      <c r="J316" s="91" t="str">
        <f>IF([1]Template!B384&lt;&gt;0,[1]Template!B384,"")</f>
        <v/>
      </c>
      <c r="K316" s="142" t="str">
        <f>IF([1]Template!G381&gt;0,[1]Template!G381,"")</f>
        <v/>
      </c>
      <c r="L316" s="142" t="str">
        <f>IF([1]Template!H384&gt;0,[1]Template!H384,"")</f>
        <v/>
      </c>
      <c r="M316" s="91" t="str">
        <f>IF([1]Template!C384&lt;&gt;0,[1]Template!C384,"")</f>
        <v/>
      </c>
      <c r="N316" s="91" t="str">
        <f>IF(I316&lt;&gt;"",[1]Template!$D$14,"")</f>
        <v/>
      </c>
      <c r="O316" s="91" t="str">
        <f>IF(I316&lt;&gt;"",[1]Template!F384,"")</f>
        <v/>
      </c>
    </row>
    <row r="317" spans="9:15" x14ac:dyDescent="0.25">
      <c r="I317" s="91" t="str">
        <f>IF([1]Template!G382&gt;0,40,IF([1]Template!H385&gt;0,50,""))</f>
        <v/>
      </c>
      <c r="J317" s="91" t="str">
        <f>IF([1]Template!B385&lt;&gt;0,[1]Template!B385,"")</f>
        <v/>
      </c>
      <c r="K317" s="142" t="str">
        <f>IF([1]Template!G382&gt;0,[1]Template!G382,"")</f>
        <v/>
      </c>
      <c r="L317" s="142" t="str">
        <f>IF([1]Template!H385&gt;0,[1]Template!H385,"")</f>
        <v/>
      </c>
      <c r="M317" s="91" t="str">
        <f>IF([1]Template!C385&lt;&gt;0,[1]Template!C385,"")</f>
        <v/>
      </c>
      <c r="N317" s="91" t="str">
        <f>IF(I317&lt;&gt;"",[1]Template!$D$14,"")</f>
        <v/>
      </c>
      <c r="O317" s="91" t="str">
        <f>IF(I317&lt;&gt;"",[1]Template!F385,"")</f>
        <v/>
      </c>
    </row>
    <row r="318" spans="9:15" x14ac:dyDescent="0.25">
      <c r="I318" s="91" t="str">
        <f>IF([1]Template!G383&gt;0,40,IF([1]Template!H386&gt;0,50,""))</f>
        <v/>
      </c>
      <c r="J318" s="91" t="str">
        <f>IF([1]Template!B386&lt;&gt;0,[1]Template!B386,"")</f>
        <v/>
      </c>
      <c r="K318" s="142" t="str">
        <f>IF([1]Template!G383&gt;0,[1]Template!G383,"")</f>
        <v/>
      </c>
      <c r="L318" s="142" t="str">
        <f>IF([1]Template!H386&gt;0,[1]Template!H386,"")</f>
        <v/>
      </c>
      <c r="M318" s="91" t="str">
        <f>IF([1]Template!C386&lt;&gt;0,[1]Template!C386,"")</f>
        <v/>
      </c>
      <c r="N318" s="91" t="str">
        <f>IF(I318&lt;&gt;"",[1]Template!$D$14,"")</f>
        <v/>
      </c>
      <c r="O318" s="91" t="str">
        <f>IF(I318&lt;&gt;"",[1]Template!F386,"")</f>
        <v/>
      </c>
    </row>
    <row r="319" spans="9:15" x14ac:dyDescent="0.25">
      <c r="I319" s="91" t="str">
        <f>IF([1]Template!G384&gt;0,40,IF([1]Template!H387&gt;0,50,""))</f>
        <v/>
      </c>
      <c r="J319" s="91" t="str">
        <f>IF([1]Template!B387&lt;&gt;0,[1]Template!B387,"")</f>
        <v/>
      </c>
      <c r="K319" s="142" t="str">
        <f>IF([1]Template!G384&gt;0,[1]Template!G384,"")</f>
        <v/>
      </c>
      <c r="L319" s="142" t="str">
        <f>IF([1]Template!H387&gt;0,[1]Template!H387,"")</f>
        <v/>
      </c>
      <c r="M319" s="91" t="str">
        <f>IF([1]Template!C387&lt;&gt;0,[1]Template!C387,"")</f>
        <v/>
      </c>
      <c r="N319" s="91" t="str">
        <f>IF(I319&lt;&gt;"",[1]Template!$D$14,"")</f>
        <v/>
      </c>
      <c r="O319" s="91" t="str">
        <f>IF(I319&lt;&gt;"",[1]Template!F387,"")</f>
        <v/>
      </c>
    </row>
    <row r="320" spans="9:15" x14ac:dyDescent="0.25">
      <c r="I320" s="91" t="str">
        <f>IF([1]Template!G385&gt;0,40,IF([1]Template!H388&gt;0,50,""))</f>
        <v/>
      </c>
      <c r="J320" s="91" t="str">
        <f>IF([1]Template!B388&lt;&gt;0,[1]Template!B388,"")</f>
        <v/>
      </c>
      <c r="K320" s="142" t="str">
        <f>IF([1]Template!G385&gt;0,[1]Template!G385,"")</f>
        <v/>
      </c>
      <c r="L320" s="142" t="str">
        <f>IF([1]Template!H388&gt;0,[1]Template!H388,"")</f>
        <v/>
      </c>
      <c r="M320" s="91" t="str">
        <f>IF([1]Template!C388&lt;&gt;0,[1]Template!C388,"")</f>
        <v/>
      </c>
      <c r="N320" s="91" t="str">
        <f>IF(I320&lt;&gt;"",[1]Template!$D$14,"")</f>
        <v/>
      </c>
      <c r="O320" s="91" t="str">
        <f>IF(I320&lt;&gt;"",[1]Template!F388,"")</f>
        <v/>
      </c>
    </row>
    <row r="321" spans="9:15" x14ac:dyDescent="0.25">
      <c r="I321" s="91" t="str">
        <f>IF([1]Template!G386&gt;0,40,IF([1]Template!H389&gt;0,50,""))</f>
        <v/>
      </c>
      <c r="J321" s="91" t="str">
        <f>IF([1]Template!B389&lt;&gt;0,[1]Template!B389,"")</f>
        <v/>
      </c>
      <c r="K321" s="142" t="str">
        <f>IF([1]Template!G386&gt;0,[1]Template!G386,"")</f>
        <v/>
      </c>
      <c r="L321" s="142" t="str">
        <f>IF([1]Template!H389&gt;0,[1]Template!H389,"")</f>
        <v/>
      </c>
      <c r="M321" s="91" t="str">
        <f>IF([1]Template!C389&lt;&gt;0,[1]Template!C389,"")</f>
        <v/>
      </c>
      <c r="N321" s="91" t="str">
        <f>IF(I321&lt;&gt;"",[1]Template!$D$14,"")</f>
        <v/>
      </c>
      <c r="O321" s="91" t="str">
        <f>IF(I321&lt;&gt;"",[1]Template!F389,"")</f>
        <v/>
      </c>
    </row>
    <row r="322" spans="9:15" x14ac:dyDescent="0.25">
      <c r="I322" s="91" t="str">
        <f>IF([1]Template!G387&gt;0,40,IF([1]Template!H390&gt;0,50,""))</f>
        <v/>
      </c>
      <c r="J322" s="91" t="str">
        <f>IF([1]Template!B390&lt;&gt;0,[1]Template!B390,"")</f>
        <v/>
      </c>
      <c r="K322" s="142" t="str">
        <f>IF([1]Template!G387&gt;0,[1]Template!G387,"")</f>
        <v/>
      </c>
      <c r="L322" s="142" t="str">
        <f>IF([1]Template!H390&gt;0,[1]Template!H390,"")</f>
        <v/>
      </c>
      <c r="M322" s="91" t="str">
        <f>IF([1]Template!C390&lt;&gt;0,[1]Template!C390,"")</f>
        <v/>
      </c>
      <c r="N322" s="91" t="str">
        <f>IF(I322&lt;&gt;"",[1]Template!$D$14,"")</f>
        <v/>
      </c>
      <c r="O322" s="91" t="str">
        <f>IF(I322&lt;&gt;"",[1]Template!F390,"")</f>
        <v/>
      </c>
    </row>
    <row r="323" spans="9:15" x14ac:dyDescent="0.25">
      <c r="I323" s="91" t="str">
        <f>IF([1]Template!G388&gt;0,40,IF([1]Template!H391&gt;0,50,""))</f>
        <v/>
      </c>
      <c r="J323" s="91" t="str">
        <f>IF([1]Template!B391&lt;&gt;0,[1]Template!B391,"")</f>
        <v/>
      </c>
      <c r="K323" s="142" t="str">
        <f>IF([1]Template!G388&gt;0,[1]Template!G388,"")</f>
        <v/>
      </c>
      <c r="L323" s="142" t="str">
        <f>IF([1]Template!H391&gt;0,[1]Template!H391,"")</f>
        <v/>
      </c>
      <c r="M323" s="91" t="str">
        <f>IF([1]Template!C391&lt;&gt;0,[1]Template!C391,"")</f>
        <v/>
      </c>
      <c r="N323" s="91" t="str">
        <f>IF(I323&lt;&gt;"",[1]Template!$D$14,"")</f>
        <v/>
      </c>
      <c r="O323" s="91" t="str">
        <f>IF(I323&lt;&gt;"",[1]Template!F391,"")</f>
        <v/>
      </c>
    </row>
    <row r="324" spans="9:15" x14ac:dyDescent="0.25">
      <c r="I324" s="91" t="str">
        <f>IF([1]Template!G389&gt;0,40,IF([1]Template!H392&gt;0,50,""))</f>
        <v/>
      </c>
      <c r="J324" s="91" t="str">
        <f>IF([1]Template!B392&lt;&gt;0,[1]Template!B392,"")</f>
        <v/>
      </c>
      <c r="K324" s="142" t="str">
        <f>IF([1]Template!G389&gt;0,[1]Template!G389,"")</f>
        <v/>
      </c>
      <c r="L324" s="142" t="str">
        <f>IF([1]Template!H392&gt;0,[1]Template!H392,"")</f>
        <v/>
      </c>
      <c r="M324" s="91" t="str">
        <f>IF([1]Template!C392&lt;&gt;0,[1]Template!C392,"")</f>
        <v/>
      </c>
      <c r="N324" s="91" t="str">
        <f>IF(I324&lt;&gt;"",[1]Template!$D$14,"")</f>
        <v/>
      </c>
      <c r="O324" s="91" t="str">
        <f>IF(I324&lt;&gt;"",[1]Template!F392,"")</f>
        <v/>
      </c>
    </row>
    <row r="325" spans="9:15" x14ac:dyDescent="0.25">
      <c r="I325" s="91" t="str">
        <f>IF([1]Template!G390&gt;0,40,IF([1]Template!H393&gt;0,50,""))</f>
        <v/>
      </c>
      <c r="J325" s="91" t="str">
        <f>IF([1]Template!B393&lt;&gt;0,[1]Template!B393,"")</f>
        <v/>
      </c>
      <c r="K325" s="142" t="str">
        <f>IF([1]Template!G390&gt;0,[1]Template!G390,"")</f>
        <v/>
      </c>
      <c r="L325" s="142" t="str">
        <f>IF([1]Template!H393&gt;0,[1]Template!H393,"")</f>
        <v/>
      </c>
      <c r="M325" s="91" t="str">
        <f>IF([1]Template!C393&lt;&gt;0,[1]Template!C393,"")</f>
        <v/>
      </c>
      <c r="N325" s="91" t="str">
        <f>IF(I325&lt;&gt;"",[1]Template!$D$14,"")</f>
        <v/>
      </c>
      <c r="O325" s="91" t="str">
        <f>IF(I325&lt;&gt;"",[1]Template!F393,"")</f>
        <v/>
      </c>
    </row>
    <row r="326" spans="9:15" x14ac:dyDescent="0.25">
      <c r="I326" s="91" t="str">
        <f>IF([1]Template!G391&gt;0,40,IF([1]Template!H394&gt;0,50,""))</f>
        <v/>
      </c>
      <c r="J326" s="91" t="str">
        <f>IF([1]Template!B394&lt;&gt;0,[1]Template!B394,"")</f>
        <v/>
      </c>
      <c r="K326" s="142" t="str">
        <f>IF([1]Template!G391&gt;0,[1]Template!G391,"")</f>
        <v/>
      </c>
      <c r="L326" s="142" t="str">
        <f>IF([1]Template!H394&gt;0,[1]Template!H394,"")</f>
        <v/>
      </c>
      <c r="M326" s="91" t="str">
        <f>IF([1]Template!C394&lt;&gt;0,[1]Template!C394,"")</f>
        <v/>
      </c>
      <c r="N326" s="91" t="str">
        <f>IF(I326&lt;&gt;"",[1]Template!$D$14,"")</f>
        <v/>
      </c>
      <c r="O326" s="91" t="str">
        <f>IF(I326&lt;&gt;"",[1]Template!F394,"")</f>
        <v/>
      </c>
    </row>
    <row r="327" spans="9:15" x14ac:dyDescent="0.25">
      <c r="I327" s="91" t="str">
        <f>IF([1]Template!G392&gt;0,40,IF([1]Template!H395&gt;0,50,""))</f>
        <v/>
      </c>
      <c r="J327" s="91" t="str">
        <f>IF([1]Template!B395&lt;&gt;0,[1]Template!B395,"")</f>
        <v/>
      </c>
      <c r="K327" s="142" t="str">
        <f>IF([1]Template!G392&gt;0,[1]Template!G392,"")</f>
        <v/>
      </c>
      <c r="L327" s="142" t="str">
        <f>IF([1]Template!H395&gt;0,[1]Template!H395,"")</f>
        <v/>
      </c>
      <c r="M327" s="91" t="str">
        <f>IF([1]Template!C395&lt;&gt;0,[1]Template!C395,"")</f>
        <v/>
      </c>
      <c r="N327" s="91" t="str">
        <f>IF(I327&lt;&gt;"",[1]Template!$D$14,"")</f>
        <v/>
      </c>
      <c r="O327" s="91" t="str">
        <f>IF(I327&lt;&gt;"",[1]Template!F395,"")</f>
        <v/>
      </c>
    </row>
    <row r="328" spans="9:15" x14ac:dyDescent="0.25">
      <c r="I328" s="91" t="str">
        <f>IF([1]Template!G393&gt;0,40,IF([1]Template!H396&gt;0,50,""))</f>
        <v/>
      </c>
      <c r="J328" s="91" t="str">
        <f>IF([1]Template!B396&lt;&gt;0,[1]Template!B396,"")</f>
        <v/>
      </c>
      <c r="K328" s="142" t="str">
        <f>IF([1]Template!G393&gt;0,[1]Template!G393,"")</f>
        <v/>
      </c>
      <c r="L328" s="142" t="str">
        <f>IF([1]Template!H396&gt;0,[1]Template!H396,"")</f>
        <v/>
      </c>
      <c r="M328" s="91" t="str">
        <f>IF([1]Template!C396&lt;&gt;0,[1]Template!C396,"")</f>
        <v/>
      </c>
      <c r="N328" s="91" t="str">
        <f>IF(I328&lt;&gt;"",[1]Template!$D$14,"")</f>
        <v/>
      </c>
      <c r="O328" s="91" t="str">
        <f>IF(I328&lt;&gt;"",[1]Template!F396,"")</f>
        <v/>
      </c>
    </row>
    <row r="329" spans="9:15" x14ac:dyDescent="0.25">
      <c r="I329" s="91" t="str">
        <f>IF([1]Template!G394&gt;0,40,IF([1]Template!H397&gt;0,50,""))</f>
        <v/>
      </c>
      <c r="J329" s="91" t="str">
        <f>IF([1]Template!B397&lt;&gt;0,[1]Template!B397,"")</f>
        <v/>
      </c>
      <c r="K329" s="142" t="str">
        <f>IF([1]Template!G394&gt;0,[1]Template!G394,"")</f>
        <v/>
      </c>
      <c r="L329" s="142" t="str">
        <f>IF([1]Template!H397&gt;0,[1]Template!H397,"")</f>
        <v/>
      </c>
      <c r="M329" s="91" t="str">
        <f>IF([1]Template!C397&lt;&gt;0,[1]Template!C397,"")</f>
        <v/>
      </c>
      <c r="N329" s="91" t="str">
        <f>IF(I329&lt;&gt;"",[1]Template!$D$14,"")</f>
        <v/>
      </c>
      <c r="O329" s="91" t="str">
        <f>IF(I329&lt;&gt;"",[1]Template!F397,"")</f>
        <v/>
      </c>
    </row>
    <row r="330" spans="9:15" x14ac:dyDescent="0.25">
      <c r="I330" s="91" t="str">
        <f>IF([1]Template!G395&gt;0,40,IF([1]Template!H398&gt;0,50,""))</f>
        <v/>
      </c>
      <c r="J330" s="91" t="str">
        <f>IF([1]Template!B398&lt;&gt;0,[1]Template!B398,"")</f>
        <v/>
      </c>
      <c r="K330" s="142" t="str">
        <f>IF([1]Template!G395&gt;0,[1]Template!G395,"")</f>
        <v/>
      </c>
      <c r="L330" s="142" t="str">
        <f>IF([1]Template!H398&gt;0,[1]Template!H398,"")</f>
        <v/>
      </c>
      <c r="M330" s="91" t="str">
        <f>IF([1]Template!C398&lt;&gt;0,[1]Template!C398,"")</f>
        <v/>
      </c>
      <c r="N330" s="91" t="str">
        <f>IF(I330&lt;&gt;"",[1]Template!$D$14,"")</f>
        <v/>
      </c>
      <c r="O330" s="91" t="str">
        <f>IF(I330&lt;&gt;"",[1]Template!F398,"")</f>
        <v/>
      </c>
    </row>
    <row r="331" spans="9:15" x14ac:dyDescent="0.25">
      <c r="I331" s="91" t="str">
        <f>IF([1]Template!G396&gt;0,40,IF([1]Template!H399&gt;0,50,""))</f>
        <v/>
      </c>
      <c r="J331" s="91" t="str">
        <f>IF([1]Template!B399&lt;&gt;0,[1]Template!B399,"")</f>
        <v/>
      </c>
      <c r="K331" s="142" t="str">
        <f>IF([1]Template!G396&gt;0,[1]Template!G396,"")</f>
        <v/>
      </c>
      <c r="L331" s="142" t="str">
        <f>IF([1]Template!H399&gt;0,[1]Template!H399,"")</f>
        <v/>
      </c>
      <c r="M331" s="91" t="str">
        <f>IF([1]Template!C399&lt;&gt;0,[1]Template!C399,"")</f>
        <v/>
      </c>
      <c r="N331" s="91" t="str">
        <f>IF(I331&lt;&gt;"",[1]Template!$D$14,"")</f>
        <v/>
      </c>
      <c r="O331" s="91" t="str">
        <f>IF(I331&lt;&gt;"",[1]Template!F399,"")</f>
        <v/>
      </c>
    </row>
    <row r="332" spans="9:15" x14ac:dyDescent="0.25">
      <c r="I332" s="91" t="str">
        <f>IF([1]Template!G397&gt;0,40,IF([1]Template!H400&gt;0,50,""))</f>
        <v/>
      </c>
      <c r="J332" s="91" t="str">
        <f>IF([1]Template!B400&lt;&gt;0,[1]Template!B400,"")</f>
        <v/>
      </c>
      <c r="K332" s="142" t="str">
        <f>IF([1]Template!G397&gt;0,[1]Template!G397,"")</f>
        <v/>
      </c>
      <c r="L332" s="142" t="str">
        <f>IF([1]Template!H400&gt;0,[1]Template!H400,"")</f>
        <v/>
      </c>
      <c r="M332" s="91" t="str">
        <f>IF([1]Template!C400&lt;&gt;0,[1]Template!C400,"")</f>
        <v/>
      </c>
      <c r="N332" s="91" t="str">
        <f>IF(I332&lt;&gt;"",[1]Template!$D$14,"")</f>
        <v/>
      </c>
      <c r="O332" s="91" t="str">
        <f>IF(I332&lt;&gt;"",[1]Template!F400,"")</f>
        <v/>
      </c>
    </row>
    <row r="333" spans="9:15" x14ac:dyDescent="0.25">
      <c r="I333" s="91" t="str">
        <f>IF([1]Template!G398&gt;0,40,IF([1]Template!H401&gt;0,50,""))</f>
        <v/>
      </c>
      <c r="J333" s="91" t="str">
        <f>IF([1]Template!B401&lt;&gt;0,[1]Template!B401,"")</f>
        <v/>
      </c>
      <c r="K333" s="142" t="str">
        <f>IF([1]Template!G398&gt;0,[1]Template!G398,"")</f>
        <v/>
      </c>
      <c r="L333" s="142" t="str">
        <f>IF([1]Template!H401&gt;0,[1]Template!H401,"")</f>
        <v/>
      </c>
      <c r="M333" s="91" t="str">
        <f>IF([1]Template!C401&lt;&gt;0,[1]Template!C401,"")</f>
        <v/>
      </c>
      <c r="N333" s="91" t="str">
        <f>IF(I333&lt;&gt;"",[1]Template!$D$14,"")</f>
        <v/>
      </c>
      <c r="O333" s="91" t="str">
        <f>IF(I333&lt;&gt;"",[1]Template!F401,"")</f>
        <v/>
      </c>
    </row>
    <row r="334" spans="9:15" x14ac:dyDescent="0.25">
      <c r="I334" s="91" t="str">
        <f>IF([1]Template!G399&gt;0,40,IF([1]Template!H402&gt;0,50,""))</f>
        <v/>
      </c>
      <c r="J334" s="91" t="str">
        <f>IF([1]Template!B402&lt;&gt;0,[1]Template!B402,"")</f>
        <v/>
      </c>
      <c r="K334" s="142" t="str">
        <f>IF([1]Template!G399&gt;0,[1]Template!G399,"")</f>
        <v/>
      </c>
      <c r="L334" s="142" t="str">
        <f>IF([1]Template!H402&gt;0,[1]Template!H402,"")</f>
        <v/>
      </c>
      <c r="M334" s="91" t="str">
        <f>IF([1]Template!C402&lt;&gt;0,[1]Template!C402,"")</f>
        <v/>
      </c>
      <c r="N334" s="91" t="str">
        <f>IF(I334&lt;&gt;"",[1]Template!$D$14,"")</f>
        <v/>
      </c>
      <c r="O334" s="91" t="str">
        <f>IF(I334&lt;&gt;"",[1]Template!F402,"")</f>
        <v/>
      </c>
    </row>
    <row r="335" spans="9:15" x14ac:dyDescent="0.25">
      <c r="I335" s="91" t="str">
        <f>IF([1]Template!G400&gt;0,40,IF([1]Template!H403&gt;0,50,""))</f>
        <v/>
      </c>
      <c r="J335" s="91" t="str">
        <f>IF([1]Template!B403&lt;&gt;0,[1]Template!B403,"")</f>
        <v/>
      </c>
      <c r="K335" s="142" t="str">
        <f>IF([1]Template!G400&gt;0,[1]Template!G400,"")</f>
        <v/>
      </c>
      <c r="L335" s="142" t="str">
        <f>IF([1]Template!H403&gt;0,[1]Template!H403,"")</f>
        <v/>
      </c>
      <c r="M335" s="91" t="str">
        <f>IF([1]Template!C403&lt;&gt;0,[1]Template!C403,"")</f>
        <v/>
      </c>
      <c r="N335" s="91" t="str">
        <f>IF(I335&lt;&gt;"",[1]Template!$D$14,"")</f>
        <v/>
      </c>
      <c r="O335" s="91" t="str">
        <f>IF(I335&lt;&gt;"",[1]Template!F403,"")</f>
        <v/>
      </c>
    </row>
    <row r="336" spans="9:15" x14ac:dyDescent="0.25">
      <c r="I336" s="91" t="str">
        <f>IF([1]Template!G401&gt;0,40,IF([1]Template!H404&gt;0,50,""))</f>
        <v/>
      </c>
      <c r="J336" s="91" t="str">
        <f>IF([1]Template!B404&lt;&gt;0,[1]Template!B404,"")</f>
        <v/>
      </c>
      <c r="K336" s="142" t="str">
        <f>IF([1]Template!G401&gt;0,[1]Template!G401,"")</f>
        <v/>
      </c>
      <c r="L336" s="142" t="str">
        <f>IF([1]Template!H404&gt;0,[1]Template!H404,"")</f>
        <v/>
      </c>
      <c r="M336" s="91" t="str">
        <f>IF([1]Template!C404&lt;&gt;0,[1]Template!C404,"")</f>
        <v/>
      </c>
      <c r="N336" s="91" t="str">
        <f>IF(I336&lt;&gt;"",[1]Template!$D$14,"")</f>
        <v/>
      </c>
      <c r="O336" s="91" t="str">
        <f>IF(I336&lt;&gt;"",[1]Template!F404,"")</f>
        <v/>
      </c>
    </row>
    <row r="337" spans="9:15" x14ac:dyDescent="0.25">
      <c r="I337" s="91" t="str">
        <f>IF([1]Template!G402&gt;0,40,IF([1]Template!H405&gt;0,50,""))</f>
        <v/>
      </c>
      <c r="J337" s="91" t="str">
        <f>IF([1]Template!B405&lt;&gt;0,[1]Template!B405,"")</f>
        <v/>
      </c>
      <c r="K337" s="142" t="str">
        <f>IF([1]Template!G402&gt;0,[1]Template!G402,"")</f>
        <v/>
      </c>
      <c r="L337" s="142" t="str">
        <f>IF([1]Template!H405&gt;0,[1]Template!H405,"")</f>
        <v/>
      </c>
      <c r="M337" s="91" t="str">
        <f>IF([1]Template!C405&lt;&gt;0,[1]Template!C405,"")</f>
        <v/>
      </c>
      <c r="N337" s="91" t="str">
        <f>IF(I337&lt;&gt;"",[1]Template!$D$14,"")</f>
        <v/>
      </c>
      <c r="O337" s="91" t="str">
        <f>IF(I337&lt;&gt;"",[1]Template!F405,"")</f>
        <v/>
      </c>
    </row>
    <row r="338" spans="9:15" x14ac:dyDescent="0.25">
      <c r="I338" s="91" t="str">
        <f>IF([1]Template!G403&gt;0,40,IF([1]Template!H406&gt;0,50,""))</f>
        <v/>
      </c>
      <c r="J338" s="91" t="str">
        <f>IF([1]Template!B406&lt;&gt;0,[1]Template!B406,"")</f>
        <v/>
      </c>
      <c r="K338" s="142" t="str">
        <f>IF([1]Template!G403&gt;0,[1]Template!G403,"")</f>
        <v/>
      </c>
      <c r="L338" s="142" t="str">
        <f>IF([1]Template!H406&gt;0,[1]Template!H406,"")</f>
        <v/>
      </c>
      <c r="M338" s="91" t="str">
        <f>IF([1]Template!C406&lt;&gt;0,[1]Template!C406,"")</f>
        <v/>
      </c>
      <c r="N338" s="91" t="str">
        <f>IF(I338&lt;&gt;"",[1]Template!$D$14,"")</f>
        <v/>
      </c>
      <c r="O338" s="91" t="str">
        <f>IF(I338&lt;&gt;"",[1]Template!F406,"")</f>
        <v/>
      </c>
    </row>
    <row r="339" spans="9:15" x14ac:dyDescent="0.25">
      <c r="I339" s="91" t="str">
        <f>IF([1]Template!G404&gt;0,40,IF([1]Template!H407&gt;0,50,""))</f>
        <v/>
      </c>
      <c r="J339" s="91" t="str">
        <f>IF([1]Template!B407&lt;&gt;0,[1]Template!B407,"")</f>
        <v/>
      </c>
      <c r="K339" s="142" t="str">
        <f>IF([1]Template!G404&gt;0,[1]Template!G404,"")</f>
        <v/>
      </c>
      <c r="L339" s="142" t="str">
        <f>IF([1]Template!H407&gt;0,[1]Template!H407,"")</f>
        <v/>
      </c>
      <c r="M339" s="91" t="str">
        <f>IF([1]Template!C407&lt;&gt;0,[1]Template!C407,"")</f>
        <v/>
      </c>
      <c r="N339" s="91" t="str">
        <f>IF(I339&lt;&gt;"",[1]Template!$D$14,"")</f>
        <v/>
      </c>
      <c r="O339" s="91" t="str">
        <f>IF(I339&lt;&gt;"",[1]Template!F407,"")</f>
        <v/>
      </c>
    </row>
    <row r="340" spans="9:15" x14ac:dyDescent="0.25">
      <c r="I340" s="91" t="str">
        <f>IF([1]Template!G405&gt;0,40,IF([1]Template!H408&gt;0,50,""))</f>
        <v/>
      </c>
      <c r="J340" s="91" t="str">
        <f>IF([1]Template!B408&lt;&gt;0,[1]Template!B408,"")</f>
        <v/>
      </c>
      <c r="K340" s="142" t="str">
        <f>IF([1]Template!G405&gt;0,[1]Template!G405,"")</f>
        <v/>
      </c>
      <c r="L340" s="142" t="str">
        <f>IF([1]Template!H408&gt;0,[1]Template!H408,"")</f>
        <v/>
      </c>
      <c r="M340" s="91" t="str">
        <f>IF([1]Template!C408&lt;&gt;0,[1]Template!C408,"")</f>
        <v/>
      </c>
      <c r="N340" s="91" t="str">
        <f>IF(I340&lt;&gt;"",[1]Template!$D$14,"")</f>
        <v/>
      </c>
      <c r="O340" s="91" t="str">
        <f>IF(I340&lt;&gt;"",[1]Template!F408,"")</f>
        <v/>
      </c>
    </row>
    <row r="341" spans="9:15" x14ac:dyDescent="0.25">
      <c r="I341" s="91" t="str">
        <f>IF([1]Template!G406&gt;0,40,IF([1]Template!H409&gt;0,50,""))</f>
        <v/>
      </c>
      <c r="J341" s="91" t="str">
        <f>IF([1]Template!B409&lt;&gt;0,[1]Template!B409,"")</f>
        <v/>
      </c>
      <c r="K341" s="142" t="str">
        <f>IF([1]Template!G406&gt;0,[1]Template!G406,"")</f>
        <v/>
      </c>
      <c r="L341" s="142" t="str">
        <f>IF([1]Template!H409&gt;0,[1]Template!H409,"")</f>
        <v/>
      </c>
      <c r="M341" s="91" t="str">
        <f>IF([1]Template!C409&lt;&gt;0,[1]Template!C409,"")</f>
        <v/>
      </c>
      <c r="N341" s="91" t="str">
        <f>IF(I341&lt;&gt;"",[1]Template!$D$14,"")</f>
        <v/>
      </c>
      <c r="O341" s="91" t="str">
        <f>IF(I341&lt;&gt;"",[1]Template!F409,"")</f>
        <v/>
      </c>
    </row>
    <row r="342" spans="9:15" x14ac:dyDescent="0.25">
      <c r="I342" s="91" t="str">
        <f>IF([1]Template!G407&gt;0,40,IF([1]Template!H410&gt;0,50,""))</f>
        <v/>
      </c>
      <c r="J342" s="91" t="str">
        <f>IF([1]Template!B410&lt;&gt;0,[1]Template!B410,"")</f>
        <v/>
      </c>
      <c r="K342" s="142" t="str">
        <f>IF([1]Template!G407&gt;0,[1]Template!G407,"")</f>
        <v/>
      </c>
      <c r="L342" s="142" t="str">
        <f>IF([1]Template!H410&gt;0,[1]Template!H410,"")</f>
        <v/>
      </c>
      <c r="M342" s="91" t="str">
        <f>IF([1]Template!C410&lt;&gt;0,[1]Template!C410,"")</f>
        <v/>
      </c>
      <c r="N342" s="91" t="str">
        <f>IF(I342&lt;&gt;"",[1]Template!$D$14,"")</f>
        <v/>
      </c>
      <c r="O342" s="91" t="str">
        <f>IF(I342&lt;&gt;"",[1]Template!F410,"")</f>
        <v/>
      </c>
    </row>
    <row r="343" spans="9:15" x14ac:dyDescent="0.25">
      <c r="I343" s="91" t="str">
        <f>IF([1]Template!G408&gt;0,40,IF([1]Template!H411&gt;0,50,""))</f>
        <v/>
      </c>
      <c r="J343" s="91" t="str">
        <f>IF([1]Template!B411&lt;&gt;0,[1]Template!B411,"")</f>
        <v/>
      </c>
      <c r="K343" s="142" t="str">
        <f>IF([1]Template!G408&gt;0,[1]Template!G408,"")</f>
        <v/>
      </c>
      <c r="L343" s="142" t="str">
        <f>IF([1]Template!H411&gt;0,[1]Template!H411,"")</f>
        <v/>
      </c>
      <c r="M343" s="91" t="str">
        <f>IF([1]Template!C411&lt;&gt;0,[1]Template!C411,"")</f>
        <v/>
      </c>
      <c r="N343" s="91" t="str">
        <f>IF(I343&lt;&gt;"",[1]Template!$D$14,"")</f>
        <v/>
      </c>
      <c r="O343" s="91" t="str">
        <f>IF(I343&lt;&gt;"",[1]Template!F411,"")</f>
        <v/>
      </c>
    </row>
    <row r="344" spans="9:15" x14ac:dyDescent="0.25">
      <c r="I344" s="91" t="str">
        <f>IF([1]Template!G409&gt;0,40,IF([1]Template!H412&gt;0,50,""))</f>
        <v/>
      </c>
      <c r="J344" s="91" t="str">
        <f>IF([1]Template!B412&lt;&gt;0,[1]Template!B412,"")</f>
        <v/>
      </c>
      <c r="K344" s="142" t="str">
        <f>IF([1]Template!G409&gt;0,[1]Template!G409,"")</f>
        <v/>
      </c>
      <c r="L344" s="142" t="str">
        <f>IF([1]Template!H412&gt;0,[1]Template!H412,"")</f>
        <v/>
      </c>
      <c r="M344" s="91" t="str">
        <f>IF([1]Template!C412&lt;&gt;0,[1]Template!C412,"")</f>
        <v/>
      </c>
      <c r="N344" s="91" t="str">
        <f>IF(I344&lt;&gt;"",[1]Template!$D$14,"")</f>
        <v/>
      </c>
      <c r="O344" s="91" t="str">
        <f>IF(I344&lt;&gt;"",[1]Template!F412,"")</f>
        <v/>
      </c>
    </row>
    <row r="345" spans="9:15" x14ac:dyDescent="0.25">
      <c r="I345" s="91" t="str">
        <f>IF([1]Template!G410&gt;0,40,IF([1]Template!H413&gt;0,50,""))</f>
        <v/>
      </c>
      <c r="J345" s="91" t="str">
        <f>IF([1]Template!B413&lt;&gt;0,[1]Template!B413,"")</f>
        <v/>
      </c>
      <c r="K345" s="142" t="str">
        <f>IF([1]Template!G410&gt;0,[1]Template!G410,"")</f>
        <v/>
      </c>
      <c r="L345" s="142" t="str">
        <f>IF([1]Template!H413&gt;0,[1]Template!H413,"")</f>
        <v/>
      </c>
      <c r="M345" s="91" t="str">
        <f>IF([1]Template!C413&lt;&gt;0,[1]Template!C413,"")</f>
        <v/>
      </c>
      <c r="N345" s="91" t="str">
        <f>IF(I345&lt;&gt;"",[1]Template!$D$14,"")</f>
        <v/>
      </c>
      <c r="O345" s="91" t="str">
        <f>IF(I345&lt;&gt;"",[1]Template!F413,"")</f>
        <v/>
      </c>
    </row>
    <row r="346" spans="9:15" x14ac:dyDescent="0.25">
      <c r="I346" s="91" t="str">
        <f>IF([1]Template!G411&gt;0,40,IF([1]Template!H414&gt;0,50,""))</f>
        <v/>
      </c>
      <c r="J346" s="91" t="str">
        <f>IF([1]Template!B414&lt;&gt;0,[1]Template!B414,"")</f>
        <v/>
      </c>
      <c r="K346" s="142" t="str">
        <f>IF([1]Template!G411&gt;0,[1]Template!G411,"")</f>
        <v/>
      </c>
      <c r="L346" s="142" t="str">
        <f>IF([1]Template!H414&gt;0,[1]Template!H414,"")</f>
        <v/>
      </c>
      <c r="M346" s="91" t="str">
        <f>IF([1]Template!C414&lt;&gt;0,[1]Template!C414,"")</f>
        <v/>
      </c>
      <c r="N346" s="91" t="str">
        <f>IF(I346&lt;&gt;"",[1]Template!$D$14,"")</f>
        <v/>
      </c>
      <c r="O346" s="91" t="str">
        <f>IF(I346&lt;&gt;"",[1]Template!F414,"")</f>
        <v/>
      </c>
    </row>
    <row r="347" spans="9:15" x14ac:dyDescent="0.25">
      <c r="I347" s="91" t="str">
        <f>IF([1]Template!G412&gt;0,40,IF([1]Template!H415&gt;0,50,""))</f>
        <v/>
      </c>
      <c r="J347" s="91" t="str">
        <f>IF([1]Template!B415&lt;&gt;0,[1]Template!B415,"")</f>
        <v/>
      </c>
      <c r="K347" s="142" t="str">
        <f>IF([1]Template!G412&gt;0,[1]Template!G412,"")</f>
        <v/>
      </c>
      <c r="L347" s="142" t="str">
        <f>IF([1]Template!H415&gt;0,[1]Template!H415,"")</f>
        <v/>
      </c>
      <c r="M347" s="91" t="str">
        <f>IF([1]Template!C415&lt;&gt;0,[1]Template!C415,"")</f>
        <v/>
      </c>
      <c r="N347" s="91" t="str">
        <f>IF(I347&lt;&gt;"",[1]Template!$D$14,"")</f>
        <v/>
      </c>
      <c r="O347" s="91" t="str">
        <f>IF(I347&lt;&gt;"",[1]Template!F415,"")</f>
        <v/>
      </c>
    </row>
    <row r="348" spans="9:15" x14ac:dyDescent="0.25">
      <c r="I348" s="91" t="str">
        <f>IF([1]Template!G413&gt;0,40,IF([1]Template!H416&gt;0,50,""))</f>
        <v/>
      </c>
      <c r="J348" s="91" t="str">
        <f>IF([1]Template!B416&lt;&gt;0,[1]Template!B416,"")</f>
        <v/>
      </c>
      <c r="K348" s="142" t="str">
        <f>IF([1]Template!G413&gt;0,[1]Template!G413,"")</f>
        <v/>
      </c>
      <c r="L348" s="142" t="str">
        <f>IF([1]Template!H416&gt;0,[1]Template!H416,"")</f>
        <v/>
      </c>
      <c r="M348" s="91" t="str">
        <f>IF([1]Template!C416&lt;&gt;0,[1]Template!C416,"")</f>
        <v/>
      </c>
      <c r="N348" s="91" t="str">
        <f>IF(I348&lt;&gt;"",[1]Template!$D$14,"")</f>
        <v/>
      </c>
      <c r="O348" s="91" t="str">
        <f>IF(I348&lt;&gt;"",[1]Template!F416,"")</f>
        <v/>
      </c>
    </row>
    <row r="349" spans="9:15" x14ac:dyDescent="0.25">
      <c r="I349" s="91" t="str">
        <f>IF([1]Template!G414&gt;0,40,IF([1]Template!H417&gt;0,50,""))</f>
        <v/>
      </c>
      <c r="J349" s="91" t="str">
        <f>IF([1]Template!B417&lt;&gt;0,[1]Template!B417,"")</f>
        <v/>
      </c>
      <c r="K349" s="142" t="str">
        <f>IF([1]Template!G414&gt;0,[1]Template!G414,"")</f>
        <v/>
      </c>
      <c r="L349" s="142" t="str">
        <f>IF([1]Template!H417&gt;0,[1]Template!H417,"")</f>
        <v/>
      </c>
      <c r="M349" s="91" t="str">
        <f>IF([1]Template!C417&lt;&gt;0,[1]Template!C417,"")</f>
        <v/>
      </c>
      <c r="N349" s="91" t="str">
        <f>IF(I349&lt;&gt;"",[1]Template!$D$14,"")</f>
        <v/>
      </c>
      <c r="O349" s="91" t="str">
        <f>IF(I349&lt;&gt;"",[1]Template!F417,"")</f>
        <v/>
      </c>
    </row>
    <row r="350" spans="9:15" x14ac:dyDescent="0.25">
      <c r="I350" s="91" t="str">
        <f>IF([1]Template!G415&gt;0,40,IF([1]Template!H418&gt;0,50,""))</f>
        <v/>
      </c>
      <c r="J350" s="91" t="str">
        <f>IF([1]Template!B418&lt;&gt;0,[1]Template!B418,"")</f>
        <v/>
      </c>
      <c r="K350" s="142" t="str">
        <f>IF([1]Template!G415&gt;0,[1]Template!G415,"")</f>
        <v/>
      </c>
      <c r="L350" s="142" t="str">
        <f>IF([1]Template!H418&gt;0,[1]Template!H418,"")</f>
        <v/>
      </c>
      <c r="M350" s="91" t="str">
        <f>IF([1]Template!C418&lt;&gt;0,[1]Template!C418,"")</f>
        <v/>
      </c>
      <c r="N350" s="91" t="str">
        <f>IF(I350&lt;&gt;"",[1]Template!$D$14,"")</f>
        <v/>
      </c>
      <c r="O350" s="91" t="str">
        <f>IF(I350&lt;&gt;"",[1]Template!F418,"")</f>
        <v/>
      </c>
    </row>
    <row r="351" spans="9:15" x14ac:dyDescent="0.25">
      <c r="I351" s="91" t="str">
        <f>IF([1]Template!G416&gt;0,40,IF([1]Template!H419&gt;0,50,""))</f>
        <v/>
      </c>
      <c r="J351" s="91" t="str">
        <f>IF([1]Template!B419&lt;&gt;0,[1]Template!B419,"")</f>
        <v/>
      </c>
      <c r="K351" s="142" t="str">
        <f>IF([1]Template!G416&gt;0,[1]Template!G416,"")</f>
        <v/>
      </c>
      <c r="L351" s="142" t="str">
        <f>IF([1]Template!H419&gt;0,[1]Template!H419,"")</f>
        <v/>
      </c>
      <c r="M351" s="91" t="str">
        <f>IF([1]Template!C419&lt;&gt;0,[1]Template!C419,"")</f>
        <v/>
      </c>
      <c r="N351" s="91" t="str">
        <f>IF(I351&lt;&gt;"",[1]Template!$D$14,"")</f>
        <v/>
      </c>
      <c r="O351" s="91" t="str">
        <f>IF(I351&lt;&gt;"",[1]Template!F419,"")</f>
        <v/>
      </c>
    </row>
    <row r="352" spans="9:15" x14ac:dyDescent="0.25">
      <c r="I352" s="91" t="str">
        <f>IF([1]Template!G417&gt;0,40,IF([1]Template!H420&gt;0,50,""))</f>
        <v/>
      </c>
      <c r="J352" s="91" t="str">
        <f>IF([1]Template!B420&lt;&gt;0,[1]Template!B420,"")</f>
        <v/>
      </c>
      <c r="K352" s="142" t="str">
        <f>IF([1]Template!G417&gt;0,[1]Template!G417,"")</f>
        <v/>
      </c>
      <c r="L352" s="142" t="str">
        <f>IF([1]Template!H420&gt;0,[1]Template!H420,"")</f>
        <v/>
      </c>
      <c r="M352" s="91" t="str">
        <f>IF([1]Template!C420&lt;&gt;0,[1]Template!C420,"")</f>
        <v/>
      </c>
      <c r="N352" s="91" t="str">
        <f>IF(I352&lt;&gt;"",[1]Template!$D$14,"")</f>
        <v/>
      </c>
      <c r="O352" s="91" t="str">
        <f>IF(I352&lt;&gt;"",[1]Template!F420,"")</f>
        <v/>
      </c>
    </row>
    <row r="353" spans="9:15" x14ac:dyDescent="0.25">
      <c r="I353" s="91" t="str">
        <f>IF([1]Template!G418&gt;0,40,IF([1]Template!H421&gt;0,50,""))</f>
        <v/>
      </c>
      <c r="J353" s="91" t="str">
        <f>IF([1]Template!B421&lt;&gt;0,[1]Template!B421,"")</f>
        <v/>
      </c>
      <c r="K353" s="142" t="str">
        <f>IF([1]Template!G418&gt;0,[1]Template!G418,"")</f>
        <v/>
      </c>
      <c r="L353" s="142" t="str">
        <f>IF([1]Template!H421&gt;0,[1]Template!H421,"")</f>
        <v/>
      </c>
      <c r="M353" s="91" t="str">
        <f>IF([1]Template!C421&lt;&gt;0,[1]Template!C421,"")</f>
        <v/>
      </c>
      <c r="N353" s="91" t="str">
        <f>IF(I353&lt;&gt;"",[1]Template!$D$14,"")</f>
        <v/>
      </c>
      <c r="O353" s="91" t="str">
        <f>IF(I353&lt;&gt;"",[1]Template!F421,"")</f>
        <v/>
      </c>
    </row>
    <row r="354" spans="9:15" x14ac:dyDescent="0.25">
      <c r="I354" s="91" t="str">
        <f>IF([1]Template!G419&gt;0,40,IF([1]Template!H422&gt;0,50,""))</f>
        <v/>
      </c>
      <c r="J354" s="91" t="str">
        <f>IF([1]Template!B422&lt;&gt;0,[1]Template!B422,"")</f>
        <v/>
      </c>
      <c r="K354" s="142" t="str">
        <f>IF([1]Template!G419&gt;0,[1]Template!G419,"")</f>
        <v/>
      </c>
      <c r="L354" s="142" t="str">
        <f>IF([1]Template!H422&gt;0,[1]Template!H422,"")</f>
        <v/>
      </c>
      <c r="M354" s="91" t="str">
        <f>IF([1]Template!C422&lt;&gt;0,[1]Template!C422,"")</f>
        <v/>
      </c>
      <c r="N354" s="91" t="str">
        <f>IF(I354&lt;&gt;"",[1]Template!$D$14,"")</f>
        <v/>
      </c>
      <c r="O354" s="91" t="str">
        <f>IF(I354&lt;&gt;"",[1]Template!F422,"")</f>
        <v/>
      </c>
    </row>
    <row r="355" spans="9:15" x14ac:dyDescent="0.25">
      <c r="I355" s="91" t="str">
        <f>IF([1]Template!G420&gt;0,40,IF([1]Template!H423&gt;0,50,""))</f>
        <v/>
      </c>
      <c r="J355" s="91" t="str">
        <f>IF([1]Template!B423&lt;&gt;0,[1]Template!B423,"")</f>
        <v/>
      </c>
      <c r="K355" s="142" t="str">
        <f>IF([1]Template!G420&gt;0,[1]Template!G420,"")</f>
        <v/>
      </c>
      <c r="L355" s="142" t="str">
        <f>IF([1]Template!H423&gt;0,[1]Template!H423,"")</f>
        <v/>
      </c>
      <c r="M355" s="91" t="str">
        <f>IF([1]Template!C423&lt;&gt;0,[1]Template!C423,"")</f>
        <v/>
      </c>
      <c r="N355" s="91" t="str">
        <f>IF(I355&lt;&gt;"",[1]Template!$D$14,"")</f>
        <v/>
      </c>
      <c r="O355" s="91" t="str">
        <f>IF(I355&lt;&gt;"",[1]Template!F423,"")</f>
        <v/>
      </c>
    </row>
    <row r="356" spans="9:15" x14ac:dyDescent="0.25">
      <c r="I356" s="91" t="str">
        <f>IF([1]Template!G421&gt;0,40,IF([1]Template!H424&gt;0,50,""))</f>
        <v/>
      </c>
      <c r="J356" s="91" t="str">
        <f>IF([1]Template!B424&lt;&gt;0,[1]Template!B424,"")</f>
        <v/>
      </c>
      <c r="K356" s="142" t="str">
        <f>IF([1]Template!G421&gt;0,[1]Template!G421,"")</f>
        <v/>
      </c>
      <c r="L356" s="142" t="str">
        <f>IF([1]Template!H424&gt;0,[1]Template!H424,"")</f>
        <v/>
      </c>
      <c r="M356" s="91" t="str">
        <f>IF([1]Template!C424&lt;&gt;0,[1]Template!C424,"")</f>
        <v/>
      </c>
      <c r="N356" s="91" t="str">
        <f>IF(I356&lt;&gt;"",[1]Template!$D$14,"")</f>
        <v/>
      </c>
      <c r="O356" s="91" t="str">
        <f>IF(I356&lt;&gt;"",[1]Template!F424,"")</f>
        <v/>
      </c>
    </row>
    <row r="357" spans="9:15" x14ac:dyDescent="0.25">
      <c r="I357" s="91" t="str">
        <f>IF([1]Template!G422&gt;0,40,IF([1]Template!H425&gt;0,50,""))</f>
        <v/>
      </c>
      <c r="J357" s="91" t="str">
        <f>IF([1]Template!B425&lt;&gt;0,[1]Template!B425,"")</f>
        <v/>
      </c>
      <c r="K357" s="142" t="str">
        <f>IF([1]Template!G422&gt;0,[1]Template!G422,"")</f>
        <v/>
      </c>
      <c r="L357" s="142" t="str">
        <f>IF([1]Template!H425&gt;0,[1]Template!H425,"")</f>
        <v/>
      </c>
      <c r="M357" s="91" t="str">
        <f>IF([1]Template!C425&lt;&gt;0,[1]Template!C425,"")</f>
        <v/>
      </c>
      <c r="N357" s="91" t="str">
        <f>IF(I357&lt;&gt;"",[1]Template!$D$14,"")</f>
        <v/>
      </c>
      <c r="O357" s="91" t="str">
        <f>IF(I357&lt;&gt;"",[1]Template!F425,"")</f>
        <v/>
      </c>
    </row>
    <row r="358" spans="9:15" x14ac:dyDescent="0.25">
      <c r="I358" s="91" t="str">
        <f>IF([1]Template!G423&gt;0,40,IF([1]Template!H426&gt;0,50,""))</f>
        <v/>
      </c>
      <c r="J358" s="91" t="str">
        <f>IF([1]Template!B426&lt;&gt;0,[1]Template!B426,"")</f>
        <v/>
      </c>
      <c r="K358" s="142" t="str">
        <f>IF([1]Template!G423&gt;0,[1]Template!G423,"")</f>
        <v/>
      </c>
      <c r="L358" s="142" t="str">
        <f>IF([1]Template!H426&gt;0,[1]Template!H426,"")</f>
        <v/>
      </c>
      <c r="M358" s="91" t="str">
        <f>IF([1]Template!C426&lt;&gt;0,[1]Template!C426,"")</f>
        <v/>
      </c>
      <c r="N358" s="91" t="str">
        <f>IF(I358&lt;&gt;"",[1]Template!$D$14,"")</f>
        <v/>
      </c>
      <c r="O358" s="91" t="str">
        <f>IF(I358&lt;&gt;"",[1]Template!F426,"")</f>
        <v/>
      </c>
    </row>
    <row r="359" spans="9:15" x14ac:dyDescent="0.25">
      <c r="I359" s="91" t="str">
        <f>IF([1]Template!G424&gt;0,40,IF([1]Template!H427&gt;0,50,""))</f>
        <v/>
      </c>
      <c r="J359" s="91" t="str">
        <f>IF([1]Template!B427&lt;&gt;0,[1]Template!B427,"")</f>
        <v/>
      </c>
      <c r="K359" s="142" t="str">
        <f>IF([1]Template!G424&gt;0,[1]Template!G424,"")</f>
        <v/>
      </c>
      <c r="L359" s="142" t="str">
        <f>IF([1]Template!H427&gt;0,[1]Template!H427,"")</f>
        <v/>
      </c>
      <c r="M359" s="91" t="str">
        <f>IF([1]Template!C427&lt;&gt;0,[1]Template!C427,"")</f>
        <v/>
      </c>
      <c r="N359" s="91" t="str">
        <f>IF(I359&lt;&gt;"",[1]Template!$D$14,"")</f>
        <v/>
      </c>
      <c r="O359" s="91" t="str">
        <f>IF(I359&lt;&gt;"",[1]Template!F427,"")</f>
        <v/>
      </c>
    </row>
    <row r="360" spans="9:15" x14ac:dyDescent="0.25">
      <c r="I360" s="91" t="str">
        <f>IF([1]Template!G425&gt;0,40,IF([1]Template!H428&gt;0,50,""))</f>
        <v/>
      </c>
      <c r="J360" s="91" t="str">
        <f>IF([1]Template!B428&lt;&gt;0,[1]Template!B428,"")</f>
        <v/>
      </c>
      <c r="K360" s="142" t="str">
        <f>IF([1]Template!G425&gt;0,[1]Template!G425,"")</f>
        <v/>
      </c>
      <c r="L360" s="142" t="str">
        <f>IF([1]Template!H428&gt;0,[1]Template!H428,"")</f>
        <v/>
      </c>
      <c r="M360" s="91" t="str">
        <f>IF([1]Template!C428&lt;&gt;0,[1]Template!C428,"")</f>
        <v/>
      </c>
      <c r="N360" s="91" t="str">
        <f>IF(I360&lt;&gt;"",[1]Template!$D$14,"")</f>
        <v/>
      </c>
      <c r="O360" s="91" t="str">
        <f>IF(I360&lt;&gt;"",[1]Template!F428,"")</f>
        <v/>
      </c>
    </row>
    <row r="361" spans="9:15" x14ac:dyDescent="0.25">
      <c r="I361" s="91" t="str">
        <f>IF([1]Template!G426&gt;0,40,IF([1]Template!H429&gt;0,50,""))</f>
        <v/>
      </c>
      <c r="J361" s="91" t="str">
        <f>IF([1]Template!B429&lt;&gt;0,[1]Template!B429,"")</f>
        <v/>
      </c>
      <c r="K361" s="142" t="str">
        <f>IF([1]Template!G426&gt;0,[1]Template!G426,"")</f>
        <v/>
      </c>
      <c r="L361" s="142" t="str">
        <f>IF([1]Template!H429&gt;0,[1]Template!H429,"")</f>
        <v/>
      </c>
      <c r="M361" s="91" t="str">
        <f>IF([1]Template!C429&lt;&gt;0,[1]Template!C429,"")</f>
        <v/>
      </c>
      <c r="N361" s="91" t="str">
        <f>IF(I361&lt;&gt;"",[1]Template!$D$14,"")</f>
        <v/>
      </c>
      <c r="O361" s="91" t="str">
        <f>IF(I361&lt;&gt;"",[1]Template!F429,"")</f>
        <v/>
      </c>
    </row>
    <row r="362" spans="9:15" x14ac:dyDescent="0.25">
      <c r="I362" s="91" t="str">
        <f>IF([1]Template!G427&gt;0,40,IF([1]Template!H430&gt;0,50,""))</f>
        <v/>
      </c>
      <c r="J362" s="91" t="str">
        <f>IF([1]Template!B430&lt;&gt;0,[1]Template!B430,"")</f>
        <v/>
      </c>
      <c r="K362" s="142" t="str">
        <f>IF([1]Template!G427&gt;0,[1]Template!G427,"")</f>
        <v/>
      </c>
      <c r="L362" s="142" t="str">
        <f>IF([1]Template!H430&gt;0,[1]Template!H430,"")</f>
        <v/>
      </c>
      <c r="M362" s="91" t="str">
        <f>IF([1]Template!C430&lt;&gt;0,[1]Template!C430,"")</f>
        <v/>
      </c>
      <c r="N362" s="91" t="str">
        <f>IF(I362&lt;&gt;"",[1]Template!$D$14,"")</f>
        <v/>
      </c>
      <c r="O362" s="91" t="str">
        <f>IF(I362&lt;&gt;"",[1]Template!F430,"")</f>
        <v/>
      </c>
    </row>
    <row r="363" spans="9:15" x14ac:dyDescent="0.25">
      <c r="I363" s="91" t="str">
        <f>IF([1]Template!G428&gt;0,40,IF([1]Template!H431&gt;0,50,""))</f>
        <v/>
      </c>
      <c r="J363" s="91" t="str">
        <f>IF([1]Template!B431&lt;&gt;0,[1]Template!B431,"")</f>
        <v/>
      </c>
      <c r="K363" s="142" t="str">
        <f>IF([1]Template!G428&gt;0,[1]Template!G428,"")</f>
        <v/>
      </c>
      <c r="L363" s="142" t="str">
        <f>IF([1]Template!H431&gt;0,[1]Template!H431,"")</f>
        <v/>
      </c>
      <c r="M363" s="91" t="str">
        <f>IF([1]Template!C431&lt;&gt;0,[1]Template!C431,"")</f>
        <v/>
      </c>
      <c r="N363" s="91" t="str">
        <f>IF(I363&lt;&gt;"",[1]Template!$D$14,"")</f>
        <v/>
      </c>
      <c r="O363" s="91" t="str">
        <f>IF(I363&lt;&gt;"",[1]Template!F431,"")</f>
        <v/>
      </c>
    </row>
    <row r="364" spans="9:15" x14ac:dyDescent="0.25">
      <c r="I364" s="91" t="str">
        <f>IF([1]Template!G429&gt;0,40,IF([1]Template!H432&gt;0,50,""))</f>
        <v/>
      </c>
      <c r="J364" s="91" t="str">
        <f>IF([1]Template!B432&lt;&gt;0,[1]Template!B432,"")</f>
        <v/>
      </c>
      <c r="K364" s="142" t="str">
        <f>IF([1]Template!G429&gt;0,[1]Template!G429,"")</f>
        <v/>
      </c>
      <c r="L364" s="142" t="str">
        <f>IF([1]Template!H432&gt;0,[1]Template!H432,"")</f>
        <v/>
      </c>
      <c r="M364" s="91" t="str">
        <f>IF([1]Template!C432&lt;&gt;0,[1]Template!C432,"")</f>
        <v/>
      </c>
      <c r="N364" s="91" t="str">
        <f>IF(I364&lt;&gt;"",[1]Template!$D$14,"")</f>
        <v/>
      </c>
      <c r="O364" s="91" t="str">
        <f>IF(I364&lt;&gt;"",[1]Template!F432,"")</f>
        <v/>
      </c>
    </row>
    <row r="365" spans="9:15" x14ac:dyDescent="0.25">
      <c r="I365" s="91" t="str">
        <f>IF([1]Template!G430&gt;0,40,IF([1]Template!H433&gt;0,50,""))</f>
        <v/>
      </c>
      <c r="J365" s="91" t="str">
        <f>IF([1]Template!B433&lt;&gt;0,[1]Template!B433,"")</f>
        <v/>
      </c>
      <c r="K365" s="142" t="str">
        <f>IF([1]Template!G430&gt;0,[1]Template!G430,"")</f>
        <v/>
      </c>
      <c r="L365" s="142" t="str">
        <f>IF([1]Template!H433&gt;0,[1]Template!H433,"")</f>
        <v/>
      </c>
      <c r="M365" s="91" t="str">
        <f>IF([1]Template!C433&lt;&gt;0,[1]Template!C433,"")</f>
        <v/>
      </c>
      <c r="N365" s="91" t="str">
        <f>IF(I365&lt;&gt;"",[1]Template!$D$14,"")</f>
        <v/>
      </c>
      <c r="O365" s="91" t="str">
        <f>IF(I365&lt;&gt;"",[1]Template!F433,"")</f>
        <v/>
      </c>
    </row>
    <row r="366" spans="9:15" x14ac:dyDescent="0.25">
      <c r="I366" s="91" t="str">
        <f>IF([1]Template!G431&gt;0,40,IF([1]Template!H434&gt;0,50,""))</f>
        <v/>
      </c>
      <c r="J366" s="91" t="str">
        <f>IF([1]Template!B434&lt;&gt;0,[1]Template!B434,"")</f>
        <v/>
      </c>
      <c r="K366" s="142" t="str">
        <f>IF([1]Template!G431&gt;0,[1]Template!G431,"")</f>
        <v/>
      </c>
      <c r="L366" s="142" t="str">
        <f>IF([1]Template!H434&gt;0,[1]Template!H434,"")</f>
        <v/>
      </c>
      <c r="M366" s="91" t="str">
        <f>IF([1]Template!C434&lt;&gt;0,[1]Template!C434,"")</f>
        <v/>
      </c>
      <c r="N366" s="91" t="str">
        <f>IF(I366&lt;&gt;"",[1]Template!$D$14,"")</f>
        <v/>
      </c>
      <c r="O366" s="91" t="str">
        <f>IF(I366&lt;&gt;"",[1]Template!F434,"")</f>
        <v/>
      </c>
    </row>
    <row r="367" spans="9:15" x14ac:dyDescent="0.25">
      <c r="I367" s="91" t="str">
        <f>IF([1]Template!G432&gt;0,40,IF([1]Template!H435&gt;0,50,""))</f>
        <v/>
      </c>
      <c r="J367" s="91" t="str">
        <f>IF([1]Template!B435&lt;&gt;0,[1]Template!B435,"")</f>
        <v/>
      </c>
      <c r="K367" s="142" t="str">
        <f>IF([1]Template!G432&gt;0,[1]Template!G432,"")</f>
        <v/>
      </c>
      <c r="L367" s="142" t="str">
        <f>IF([1]Template!H435&gt;0,[1]Template!H435,"")</f>
        <v/>
      </c>
      <c r="M367" s="91" t="str">
        <f>IF([1]Template!C435&lt;&gt;0,[1]Template!C435,"")</f>
        <v/>
      </c>
      <c r="N367" s="91" t="str">
        <f>IF(I367&lt;&gt;"",[1]Template!$D$14,"")</f>
        <v/>
      </c>
      <c r="O367" s="91" t="str">
        <f>IF(I367&lt;&gt;"",[1]Template!F435,"")</f>
        <v/>
      </c>
    </row>
    <row r="368" spans="9:15" x14ac:dyDescent="0.25">
      <c r="I368" s="91" t="str">
        <f>IF([1]Template!G433&gt;0,40,IF([1]Template!H436&gt;0,50,""))</f>
        <v/>
      </c>
      <c r="J368" s="91" t="str">
        <f>IF([1]Template!B436&lt;&gt;0,[1]Template!B436,"")</f>
        <v/>
      </c>
      <c r="K368" s="142" t="str">
        <f>IF([1]Template!G433&gt;0,[1]Template!G433,"")</f>
        <v/>
      </c>
      <c r="L368" s="142" t="str">
        <f>IF([1]Template!H436&gt;0,[1]Template!H436,"")</f>
        <v/>
      </c>
      <c r="M368" s="91" t="str">
        <f>IF([1]Template!C436&lt;&gt;0,[1]Template!C436,"")</f>
        <v/>
      </c>
      <c r="N368" s="91" t="str">
        <f>IF(I368&lt;&gt;"",[1]Template!$D$14,"")</f>
        <v/>
      </c>
      <c r="O368" s="91" t="str">
        <f>IF(I368&lt;&gt;"",[1]Template!F436,"")</f>
        <v/>
      </c>
    </row>
    <row r="369" spans="9:15" x14ac:dyDescent="0.25">
      <c r="I369" s="91" t="str">
        <f>IF([1]Template!G434&gt;0,40,IF([1]Template!H437&gt;0,50,""))</f>
        <v/>
      </c>
      <c r="J369" s="91" t="str">
        <f>IF([1]Template!B437&lt;&gt;0,[1]Template!B437,"")</f>
        <v/>
      </c>
      <c r="K369" s="142" t="str">
        <f>IF([1]Template!G434&gt;0,[1]Template!G434,"")</f>
        <v/>
      </c>
      <c r="L369" s="142" t="str">
        <f>IF([1]Template!H437&gt;0,[1]Template!H437,"")</f>
        <v/>
      </c>
      <c r="M369" s="91" t="str">
        <f>IF([1]Template!C437&lt;&gt;0,[1]Template!C437,"")</f>
        <v/>
      </c>
      <c r="N369" s="91" t="str">
        <f>IF(I369&lt;&gt;"",[1]Template!$D$14,"")</f>
        <v/>
      </c>
      <c r="O369" s="91" t="str">
        <f>IF(I369&lt;&gt;"",[1]Template!F437,"")</f>
        <v/>
      </c>
    </row>
    <row r="370" spans="9:15" x14ac:dyDescent="0.25">
      <c r="I370" s="91" t="str">
        <f>IF([1]Template!G435&gt;0,40,IF([1]Template!H438&gt;0,50,""))</f>
        <v/>
      </c>
      <c r="J370" s="91" t="str">
        <f>IF([1]Template!B438&lt;&gt;0,[1]Template!B438,"")</f>
        <v/>
      </c>
      <c r="K370" s="142" t="str">
        <f>IF([1]Template!G435&gt;0,[1]Template!G435,"")</f>
        <v/>
      </c>
      <c r="L370" s="142" t="str">
        <f>IF([1]Template!H438&gt;0,[1]Template!H438,"")</f>
        <v/>
      </c>
      <c r="M370" s="91" t="str">
        <f>IF([1]Template!C438&lt;&gt;0,[1]Template!C438,"")</f>
        <v/>
      </c>
      <c r="N370" s="91" t="str">
        <f>IF(I370&lt;&gt;"",[1]Template!$D$14,"")</f>
        <v/>
      </c>
      <c r="O370" s="91" t="str">
        <f>IF(I370&lt;&gt;"",[1]Template!F438,"")</f>
        <v/>
      </c>
    </row>
    <row r="371" spans="9:15" x14ac:dyDescent="0.25">
      <c r="I371" s="91" t="str">
        <f>IF([1]Template!G436&gt;0,40,IF([1]Template!H439&gt;0,50,""))</f>
        <v/>
      </c>
      <c r="J371" s="91" t="str">
        <f>IF([1]Template!B439&lt;&gt;0,[1]Template!B439,"")</f>
        <v/>
      </c>
      <c r="K371" s="142" t="str">
        <f>IF([1]Template!G436&gt;0,[1]Template!G436,"")</f>
        <v/>
      </c>
      <c r="L371" s="142" t="str">
        <f>IF([1]Template!H439&gt;0,[1]Template!H439,"")</f>
        <v/>
      </c>
      <c r="M371" s="91" t="str">
        <f>IF([1]Template!C439&lt;&gt;0,[1]Template!C439,"")</f>
        <v/>
      </c>
      <c r="N371" s="91" t="str">
        <f>IF(I371&lt;&gt;"",[1]Template!$D$14,"")</f>
        <v/>
      </c>
      <c r="O371" s="91" t="str">
        <f>IF(I371&lt;&gt;"",[1]Template!F439,"")</f>
        <v/>
      </c>
    </row>
    <row r="372" spans="9:15" x14ac:dyDescent="0.25">
      <c r="I372" s="91" t="str">
        <f>IF([1]Template!G437&gt;0,40,IF([1]Template!H440&gt;0,50,""))</f>
        <v/>
      </c>
      <c r="J372" s="91" t="str">
        <f>IF([1]Template!B440&lt;&gt;0,[1]Template!B440,"")</f>
        <v/>
      </c>
      <c r="K372" s="142" t="str">
        <f>IF([1]Template!G437&gt;0,[1]Template!G437,"")</f>
        <v/>
      </c>
      <c r="L372" s="142" t="str">
        <f>IF([1]Template!H440&gt;0,[1]Template!H440,"")</f>
        <v/>
      </c>
      <c r="M372" s="91" t="str">
        <f>IF([1]Template!C440&lt;&gt;0,[1]Template!C440,"")</f>
        <v/>
      </c>
      <c r="N372" s="91" t="str">
        <f>IF(I372&lt;&gt;"",[1]Template!$D$14,"")</f>
        <v/>
      </c>
      <c r="O372" s="91" t="str">
        <f>IF(I372&lt;&gt;"",[1]Template!F440,"")</f>
        <v/>
      </c>
    </row>
    <row r="373" spans="9:15" x14ac:dyDescent="0.25">
      <c r="I373" s="91" t="str">
        <f>IF([1]Template!G438&gt;0,40,IF([1]Template!H441&gt;0,50,""))</f>
        <v/>
      </c>
      <c r="J373" s="91" t="str">
        <f>IF([1]Template!B441&lt;&gt;0,[1]Template!B441,"")</f>
        <v/>
      </c>
      <c r="K373" s="142" t="str">
        <f>IF([1]Template!G438&gt;0,[1]Template!G438,"")</f>
        <v/>
      </c>
      <c r="L373" s="142" t="str">
        <f>IF([1]Template!H441&gt;0,[1]Template!H441,"")</f>
        <v/>
      </c>
      <c r="M373" s="91" t="str">
        <f>IF([1]Template!C441&lt;&gt;0,[1]Template!C441,"")</f>
        <v/>
      </c>
      <c r="N373" s="91" t="str">
        <f>IF(I373&lt;&gt;"",[1]Template!$D$14,"")</f>
        <v/>
      </c>
      <c r="O373" s="91" t="str">
        <f>IF(I373&lt;&gt;"",[1]Template!F441,"")</f>
        <v/>
      </c>
    </row>
    <row r="374" spans="9:15" x14ac:dyDescent="0.25">
      <c r="I374" s="91" t="str">
        <f>IF([1]Template!G439&gt;0,40,IF([1]Template!H442&gt;0,50,""))</f>
        <v/>
      </c>
      <c r="J374" s="91" t="str">
        <f>IF([1]Template!B442&lt;&gt;0,[1]Template!B442,"")</f>
        <v/>
      </c>
      <c r="K374" s="142" t="str">
        <f>IF([1]Template!G439&gt;0,[1]Template!G439,"")</f>
        <v/>
      </c>
      <c r="L374" s="142" t="str">
        <f>IF([1]Template!H442&gt;0,[1]Template!H442,"")</f>
        <v/>
      </c>
      <c r="M374" s="91" t="str">
        <f>IF([1]Template!C442&lt;&gt;0,[1]Template!C442,"")</f>
        <v/>
      </c>
      <c r="N374" s="91" t="str">
        <f>IF(I374&lt;&gt;"",[1]Template!$D$14,"")</f>
        <v/>
      </c>
      <c r="O374" s="91" t="str">
        <f>IF(I374&lt;&gt;"",[1]Template!F442,"")</f>
        <v/>
      </c>
    </row>
  </sheetData>
  <mergeCells count="2">
    <mergeCell ref="A3:H3"/>
    <mergeCell ref="I3:AE3"/>
  </mergeCells>
  <conditionalFormatting sqref="K1">
    <cfRule type="expression" dxfId="1" priority="2">
      <formula>$K$1-$L$1&lt;&gt;0</formula>
    </cfRule>
  </conditionalFormatting>
  <conditionalFormatting sqref="L1">
    <cfRule type="expression" dxfId="0" priority="1">
      <formula>$L$1-$K$1&lt;&gt;0</formula>
    </cfRule>
  </conditionalFormatting>
  <pageMargins left="0.7" right="0.7" top="0.75" bottom="0.75" header="0.3" footer="0.3"/>
  <pageSetup paperSize="9" orientation="portrait" r:id="rId1"/>
  <customProperties>
    <customPr name="EpmWorksheetKeyString_GUID" r:id="rId2"/>
  </customPropertie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7"/>
  <sheetViews>
    <sheetView workbookViewId="0">
      <selection activeCell="E9" sqref="E9"/>
    </sheetView>
  </sheetViews>
  <sheetFormatPr defaultRowHeight="12.75" x14ac:dyDescent="0.2"/>
  <sheetData>
    <row r="1" spans="1:2" x14ac:dyDescent="0.2">
      <c r="A1">
        <v>995</v>
      </c>
      <c r="B1">
        <v>99</v>
      </c>
    </row>
    <row r="2" spans="1:2" x14ac:dyDescent="0.2">
      <c r="A2">
        <v>132</v>
      </c>
      <c r="B2">
        <v>143</v>
      </c>
    </row>
    <row r="3" spans="1:2" x14ac:dyDescent="0.2">
      <c r="A3">
        <v>994</v>
      </c>
      <c r="B3">
        <v>994</v>
      </c>
    </row>
    <row r="4" spans="1:2" x14ac:dyDescent="0.2">
      <c r="A4">
        <v>99</v>
      </c>
    </row>
    <row r="5" spans="1:2" x14ac:dyDescent="0.2">
      <c r="A5">
        <v>143</v>
      </c>
    </row>
    <row r="6" spans="1:2" x14ac:dyDescent="0.2">
      <c r="A6">
        <v>998</v>
      </c>
    </row>
    <row r="7" spans="1:2" x14ac:dyDescent="0.2">
      <c r="A7">
        <v>979</v>
      </c>
    </row>
    <row r="8" spans="1:2" x14ac:dyDescent="0.2">
      <c r="A8">
        <v>6351</v>
      </c>
    </row>
    <row r="9" spans="1:2" x14ac:dyDescent="0.2">
      <c r="A9">
        <v>7542</v>
      </c>
    </row>
    <row r="10" spans="1:2" x14ac:dyDescent="0.2">
      <c r="A10">
        <v>8317</v>
      </c>
    </row>
    <row r="11" spans="1:2" x14ac:dyDescent="0.2">
      <c r="A11">
        <v>8530</v>
      </c>
    </row>
    <row r="12" spans="1:2" x14ac:dyDescent="0.2">
      <c r="A12">
        <v>6799</v>
      </c>
    </row>
    <row r="13" spans="1:2" x14ac:dyDescent="0.2">
      <c r="A13">
        <v>903</v>
      </c>
    </row>
    <row r="14" spans="1:2" x14ac:dyDescent="0.2">
      <c r="A14">
        <v>402</v>
      </c>
    </row>
    <row r="15" spans="1:2" x14ac:dyDescent="0.2">
      <c r="A15">
        <v>8913</v>
      </c>
    </row>
    <row r="16" spans="1:2" x14ac:dyDescent="0.2">
      <c r="A16">
        <v>7032</v>
      </c>
    </row>
    <row r="17" spans="1:1" x14ac:dyDescent="0.2">
      <c r="A17">
        <v>8639</v>
      </c>
    </row>
    <row r="18" spans="1:1" x14ac:dyDescent="0.2">
      <c r="A18">
        <v>8640</v>
      </c>
    </row>
    <row r="19" spans="1:1" x14ac:dyDescent="0.2">
      <c r="A19">
        <v>6283</v>
      </c>
    </row>
    <row r="20" spans="1:1" x14ac:dyDescent="0.2">
      <c r="A20">
        <v>149</v>
      </c>
    </row>
    <row r="21" spans="1:1" x14ac:dyDescent="0.2">
      <c r="A21">
        <v>6798</v>
      </c>
    </row>
    <row r="22" spans="1:1" x14ac:dyDescent="0.2">
      <c r="A22">
        <v>142</v>
      </c>
    </row>
    <row r="23" spans="1:1" x14ac:dyDescent="0.2">
      <c r="A23">
        <v>210</v>
      </c>
    </row>
    <row r="24" spans="1:1" x14ac:dyDescent="0.2">
      <c r="A24">
        <v>298</v>
      </c>
    </row>
    <row r="25" spans="1:1" x14ac:dyDescent="0.2">
      <c r="A25">
        <v>8963</v>
      </c>
    </row>
    <row r="26" spans="1:1" x14ac:dyDescent="0.2">
      <c r="A26">
        <v>7266</v>
      </c>
    </row>
    <row r="27" spans="1:1" x14ac:dyDescent="0.2">
      <c r="A27">
        <v>8309</v>
      </c>
    </row>
  </sheetData>
  <sortState ref="A1:A21">
    <sortCondition ref="A1"/>
  </sortState>
  <pageMargins left="0.7" right="0.7" top="0.75" bottom="0.75" header="0.3" footer="0.3"/>
  <customProperties>
    <customPr name="EpmWorksheetKeyString_GU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Summary Interco</vt:lpstr>
      <vt:lpstr>Data</vt:lpstr>
      <vt:lpstr>missing documents</vt:lpstr>
      <vt:lpstr>Accounts</vt:lpstr>
      <vt:lpstr>Template</vt:lpstr>
      <vt:lpstr>UPLOAD</vt:lpstr>
      <vt:lpstr>List of PC</vt:lpstr>
      <vt:lpstr>DocType</vt:lpstr>
      <vt:lpstr>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Benjamin Mercier</cp:lastModifiedBy>
  <cp:revision>1</cp:revision>
  <dcterms:created xsi:type="dcterms:W3CDTF">2017-09-07T09:28:02Z</dcterms:created>
  <dcterms:modified xsi:type="dcterms:W3CDTF">2019-03-12T09:21:46Z</dcterms:modified>
  <cp:category/>
</cp:coreProperties>
</file>